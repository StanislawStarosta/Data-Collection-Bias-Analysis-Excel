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a\W_Z\MRD\"/>
    </mc:Choice>
  </mc:AlternateContent>
  <xr:revisionPtr revIDLastSave="0" documentId="8_{E616B58A-43E4-466A-8A5A-B69525574F55}" xr6:coauthVersionLast="47" xr6:coauthVersionMax="47" xr10:uidLastSave="{00000000-0000-0000-0000-000000000000}"/>
  <bookViews>
    <workbookView xWindow="-108" yWindow="-108" windowWidth="23256" windowHeight="13896" xr2:uid="{FEE0B77D-122E-4856-90EE-0BC03D25A965}"/>
  </bookViews>
  <sheets>
    <sheet name="Projekt" sheetId="27" r:id="rId1"/>
    <sheet name="Dane" sheetId="1" r:id="rId2"/>
    <sheet name="1.1 Losowanie proste" sheetId="2" r:id="rId3"/>
    <sheet name="lpbz" sheetId="9" r:id="rId4"/>
    <sheet name="1.2 Losowanie proste ez" sheetId="11" r:id="rId5"/>
    <sheet name="2. Losowanie proste frakcji" sheetId="3" r:id="rId6"/>
    <sheet name="lw" sheetId="12" r:id="rId7"/>
    <sheet name="MD" sheetId="16" r:id="rId8"/>
    <sheet name="MZ" sheetId="15" r:id="rId9"/>
    <sheet name="KD" sheetId="13" r:id="rId10"/>
    <sheet name="KZ" sheetId="14" r:id="rId11"/>
    <sheet name="3.1 Losowanie warstwowe PROP" sheetId="4" r:id="rId12"/>
    <sheet name="3.2 Losowanie warstwowe RÓW" sheetId="19" r:id="rId13"/>
    <sheet name="3.3 Losowanie warstwowe OPT" sheetId="17" r:id="rId14"/>
    <sheet name="3.4 Losowanie warstwowe POST" sheetId="18" r:id="rId15"/>
    <sheet name="lz" sheetId="21" r:id="rId16"/>
    <sheet name="4.1 Losowanie zespołowe RÓW" sheetId="5" r:id="rId17"/>
    <sheet name="lz2" sheetId="22" r:id="rId18"/>
    <sheet name="4.2 Losowanie zespołowe RÓŻN" sheetId="20" r:id="rId19"/>
    <sheet name="5.1 Kalibracja wag PROP" sheetId="6" r:id="rId20"/>
    <sheet name="5.2 Kalibracja wag RÓWN" sheetId="23" r:id="rId21"/>
    <sheet name="dane_wagi" sheetId="26" r:id="rId22"/>
    <sheet name="5.3 Kalibracja wag InfoS" sheetId="24" r:id="rId23"/>
    <sheet name="5.4 Kalibracja wag RAKING" sheetId="25" r:id="rId24"/>
  </sheets>
  <definedNames>
    <definedName name="_xlnm._FilterDatabase" localSheetId="6" hidden="1">lw!$A$1:$G$1001</definedName>
    <definedName name="_xlnm._FilterDatabase" localSheetId="15" hidden="1">lz!$A$1:$H$1001</definedName>
    <definedName name="_xlnm._FilterDatabase" localSheetId="17" hidden="1">'lz2'!$A$1:$I$1001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7" i="11" l="1"/>
  <c r="F31" i="17"/>
  <c r="I24" i="17"/>
  <c r="J28" i="24"/>
  <c r="J16" i="24"/>
  <c r="L21" i="25"/>
  <c r="F60" i="25"/>
  <c r="F61" i="25"/>
  <c r="F62" i="25"/>
  <c r="F63" i="25"/>
  <c r="F64" i="25"/>
  <c r="F65" i="25"/>
  <c r="F66" i="25"/>
  <c r="F67" i="25"/>
  <c r="F68" i="25"/>
  <c r="F69" i="25"/>
  <c r="F70" i="25"/>
  <c r="F71" i="25"/>
  <c r="F72" i="25"/>
  <c r="F73" i="25"/>
  <c r="F74" i="25"/>
  <c r="F75" i="25"/>
  <c r="F76" i="25"/>
  <c r="F77" i="25"/>
  <c r="F78" i="25"/>
  <c r="F79" i="25"/>
  <c r="F80" i="25"/>
  <c r="F81" i="25"/>
  <c r="F82" i="25"/>
  <c r="F83" i="25"/>
  <c r="F84" i="25"/>
  <c r="F85" i="25"/>
  <c r="F86" i="25"/>
  <c r="F87" i="25"/>
  <c r="F88" i="25"/>
  <c r="F89" i="25"/>
  <c r="F90" i="25"/>
  <c r="F91" i="25"/>
  <c r="F92" i="25"/>
  <c r="F93" i="25"/>
  <c r="F94" i="25"/>
  <c r="F95" i="25"/>
  <c r="F96" i="25"/>
  <c r="F97" i="25"/>
  <c r="F98" i="25"/>
  <c r="F99" i="25"/>
  <c r="F100" i="25"/>
  <c r="F101" i="25"/>
  <c r="F102" i="25"/>
  <c r="F103" i="25"/>
  <c r="F104" i="25"/>
  <c r="F105" i="25"/>
  <c r="F106" i="25"/>
  <c r="F107" i="25"/>
  <c r="F108" i="25"/>
  <c r="F109" i="25"/>
  <c r="F110" i="25"/>
  <c r="F111" i="25"/>
  <c r="F112" i="25"/>
  <c r="F113" i="25"/>
  <c r="F114" i="25"/>
  <c r="F115" i="25"/>
  <c r="F116" i="25"/>
  <c r="F117" i="25"/>
  <c r="F118" i="25"/>
  <c r="F119" i="25"/>
  <c r="F120" i="25"/>
  <c r="F121" i="25"/>
  <c r="F122" i="25"/>
  <c r="F123" i="25"/>
  <c r="F124" i="25"/>
  <c r="F125" i="25"/>
  <c r="F126" i="25"/>
  <c r="F127" i="25"/>
  <c r="F128" i="25"/>
  <c r="F129" i="25"/>
  <c r="F130" i="25"/>
  <c r="F131" i="25"/>
  <c r="F132" i="25"/>
  <c r="F133" i="25"/>
  <c r="F134" i="25"/>
  <c r="F135" i="25"/>
  <c r="F136" i="25"/>
  <c r="F137" i="25"/>
  <c r="F138" i="25"/>
  <c r="F139" i="25"/>
  <c r="F140" i="25"/>
  <c r="F141" i="25"/>
  <c r="F142" i="25"/>
  <c r="F143" i="25"/>
  <c r="F144" i="25"/>
  <c r="F145" i="25"/>
  <c r="F146" i="25"/>
  <c r="F147" i="25"/>
  <c r="F148" i="25"/>
  <c r="F149" i="25"/>
  <c r="F150" i="25"/>
  <c r="F151" i="25"/>
  <c r="F152" i="25"/>
  <c r="F153" i="25"/>
  <c r="F154" i="25"/>
  <c r="F155" i="25"/>
  <c r="F156" i="25"/>
  <c r="F157" i="25"/>
  <c r="F158" i="25"/>
  <c r="F159" i="25"/>
  <c r="F160" i="25"/>
  <c r="F161" i="25"/>
  <c r="F162" i="25"/>
  <c r="F163" i="25"/>
  <c r="F164" i="25"/>
  <c r="F165" i="25"/>
  <c r="F166" i="25"/>
  <c r="F167" i="25"/>
  <c r="F168" i="25"/>
  <c r="F169" i="25"/>
  <c r="F170" i="25"/>
  <c r="F171" i="25"/>
  <c r="F172" i="25"/>
  <c r="F173" i="25"/>
  <c r="F174" i="25"/>
  <c r="F175" i="25"/>
  <c r="F176" i="25"/>
  <c r="F177" i="25"/>
  <c r="F178" i="25"/>
  <c r="F179" i="25"/>
  <c r="F180" i="25"/>
  <c r="F181" i="25"/>
  <c r="F182" i="25"/>
  <c r="F183" i="25"/>
  <c r="F184" i="25"/>
  <c r="F185" i="25"/>
  <c r="F186" i="25"/>
  <c r="F187" i="25"/>
  <c r="F188" i="25"/>
  <c r="F189" i="25"/>
  <c r="F190" i="25"/>
  <c r="F191" i="25"/>
  <c r="F192" i="25"/>
  <c r="F193" i="25"/>
  <c r="F194" i="25"/>
  <c r="F195" i="25"/>
  <c r="F196" i="25"/>
  <c r="F197" i="25"/>
  <c r="F198" i="25"/>
  <c r="F199" i="25"/>
  <c r="F200" i="25"/>
  <c r="F201" i="25"/>
  <c r="F202" i="25"/>
  <c r="F203" i="25"/>
  <c r="F204" i="25"/>
  <c r="F205" i="25"/>
  <c r="F206" i="25"/>
  <c r="F207" i="25"/>
  <c r="F208" i="25"/>
  <c r="F209" i="25"/>
  <c r="F210" i="25"/>
  <c r="F211" i="25"/>
  <c r="F212" i="25"/>
  <c r="F213" i="25"/>
  <c r="F214" i="25"/>
  <c r="F215" i="25"/>
  <c r="F216" i="25"/>
  <c r="F217" i="25"/>
  <c r="F218" i="25"/>
  <c r="F219" i="25"/>
  <c r="F220" i="25"/>
  <c r="F221" i="25"/>
  <c r="F222" i="25"/>
  <c r="F223" i="25"/>
  <c r="F224" i="25"/>
  <c r="F225" i="25"/>
  <c r="F226" i="25"/>
  <c r="F227" i="25"/>
  <c r="F228" i="25"/>
  <c r="F229" i="25"/>
  <c r="F230" i="25"/>
  <c r="F231" i="25"/>
  <c r="F232" i="25"/>
  <c r="F233" i="25"/>
  <c r="F234" i="25"/>
  <c r="F235" i="25"/>
  <c r="F236" i="25"/>
  <c r="F237" i="25"/>
  <c r="F238" i="25"/>
  <c r="F239" i="25"/>
  <c r="F240" i="25"/>
  <c r="F241" i="25"/>
  <c r="F242" i="25"/>
  <c r="F243" i="25"/>
  <c r="F244" i="25"/>
  <c r="F245" i="25"/>
  <c r="F246" i="25"/>
  <c r="F247" i="25"/>
  <c r="F248" i="25"/>
  <c r="F249" i="25"/>
  <c r="F250" i="25"/>
  <c r="F251" i="25"/>
  <c r="F252" i="25"/>
  <c r="F253" i="25"/>
  <c r="F254" i="25"/>
  <c r="F255" i="25"/>
  <c r="F256" i="25"/>
  <c r="F257" i="25"/>
  <c r="F258" i="25"/>
  <c r="F259" i="25"/>
  <c r="F260" i="25"/>
  <c r="F261" i="25"/>
  <c r="F262" i="25"/>
  <c r="F263" i="25"/>
  <c r="F264" i="25"/>
  <c r="F265" i="25"/>
  <c r="F266" i="25"/>
  <c r="F267" i="25"/>
  <c r="F268" i="25"/>
  <c r="F269" i="25"/>
  <c r="F270" i="25"/>
  <c r="F271" i="25"/>
  <c r="F272" i="25"/>
  <c r="F273" i="25"/>
  <c r="F274" i="25"/>
  <c r="F275" i="25"/>
  <c r="F276" i="25"/>
  <c r="F277" i="25"/>
  <c r="F278" i="25"/>
  <c r="F279" i="25"/>
  <c r="F280" i="25"/>
  <c r="F281" i="25"/>
  <c r="F282" i="25"/>
  <c r="F283" i="25"/>
  <c r="F284" i="25"/>
  <c r="F285" i="25"/>
  <c r="F286" i="25"/>
  <c r="F287" i="25"/>
  <c r="F288" i="25"/>
  <c r="F289" i="25"/>
  <c r="F290" i="25"/>
  <c r="F291" i="25"/>
  <c r="F292" i="25"/>
  <c r="F293" i="25"/>
  <c r="F294" i="25"/>
  <c r="F295" i="25"/>
  <c r="F296" i="25"/>
  <c r="F297" i="25"/>
  <c r="F298" i="25"/>
  <c r="F299" i="25"/>
  <c r="F300" i="25"/>
  <c r="F301" i="25"/>
  <c r="F302" i="25"/>
  <c r="F303" i="25"/>
  <c r="F304" i="25"/>
  <c r="F305" i="25"/>
  <c r="F306" i="25"/>
  <c r="F307" i="25"/>
  <c r="F308" i="25"/>
  <c r="F309" i="25"/>
  <c r="F310" i="25"/>
  <c r="F311" i="25"/>
  <c r="F312" i="25"/>
  <c r="F313" i="25"/>
  <c r="F314" i="25"/>
  <c r="F315" i="25"/>
  <c r="F316" i="25"/>
  <c r="F317" i="25"/>
  <c r="F318" i="25"/>
  <c r="F319" i="25"/>
  <c r="F320" i="25"/>
  <c r="F321" i="25"/>
  <c r="F322" i="25"/>
  <c r="F323" i="25"/>
  <c r="F324" i="25"/>
  <c r="F325" i="25"/>
  <c r="F326" i="25"/>
  <c r="F327" i="25"/>
  <c r="F328" i="25"/>
  <c r="F329" i="25"/>
  <c r="F330" i="25"/>
  <c r="F331" i="25"/>
  <c r="F332" i="25"/>
  <c r="F333" i="25"/>
  <c r="F334" i="25"/>
  <c r="F335" i="25"/>
  <c r="F336" i="25"/>
  <c r="F337" i="25"/>
  <c r="F338" i="25"/>
  <c r="F339" i="25"/>
  <c r="F340" i="25"/>
  <c r="F341" i="25"/>
  <c r="F342" i="25"/>
  <c r="F343" i="25"/>
  <c r="F344" i="25"/>
  <c r="F345" i="25"/>
  <c r="F346" i="25"/>
  <c r="F347" i="25"/>
  <c r="F348" i="25"/>
  <c r="F349" i="25"/>
  <c r="F350" i="25"/>
  <c r="F351" i="25"/>
  <c r="F352" i="25"/>
  <c r="F353" i="25"/>
  <c r="F354" i="25"/>
  <c r="F355" i="25"/>
  <c r="F356" i="25"/>
  <c r="F357" i="25"/>
  <c r="F358" i="25"/>
  <c r="F59" i="25"/>
  <c r="J13" i="24"/>
  <c r="G10" i="24"/>
  <c r="E358" i="25"/>
  <c r="E357" i="25"/>
  <c r="E356" i="25"/>
  <c r="E355" i="25"/>
  <c r="E354" i="25"/>
  <c r="E353" i="25"/>
  <c r="E352" i="25"/>
  <c r="E351" i="25"/>
  <c r="E350" i="25"/>
  <c r="E349" i="25"/>
  <c r="E348" i="25"/>
  <c r="E347" i="25"/>
  <c r="E346" i="25"/>
  <c r="E345" i="25"/>
  <c r="E344" i="25"/>
  <c r="E343" i="25"/>
  <c r="E342" i="25"/>
  <c r="E341" i="25"/>
  <c r="E340" i="25"/>
  <c r="E339" i="25"/>
  <c r="E338" i="25"/>
  <c r="E337" i="25"/>
  <c r="E336" i="25"/>
  <c r="E335" i="25"/>
  <c r="E334" i="25"/>
  <c r="E333" i="25"/>
  <c r="E332" i="25"/>
  <c r="E331" i="25"/>
  <c r="E330" i="25"/>
  <c r="E329" i="25"/>
  <c r="E328" i="25"/>
  <c r="E327" i="25"/>
  <c r="E326" i="25"/>
  <c r="E325" i="25"/>
  <c r="E324" i="25"/>
  <c r="E323" i="25"/>
  <c r="E322" i="25"/>
  <c r="E321" i="25"/>
  <c r="E320" i="25"/>
  <c r="E319" i="25"/>
  <c r="E318" i="25"/>
  <c r="E317" i="25"/>
  <c r="E316" i="25"/>
  <c r="E315" i="25"/>
  <c r="E314" i="25"/>
  <c r="E313" i="25"/>
  <c r="E312" i="25"/>
  <c r="E311" i="25"/>
  <c r="E310" i="25"/>
  <c r="E309" i="25"/>
  <c r="E308" i="25"/>
  <c r="E307" i="25"/>
  <c r="E306" i="25"/>
  <c r="E305" i="25"/>
  <c r="E304" i="25"/>
  <c r="E303" i="25"/>
  <c r="E302" i="25"/>
  <c r="E301" i="25"/>
  <c r="E300" i="25"/>
  <c r="E299" i="25"/>
  <c r="E298" i="25"/>
  <c r="E297" i="25"/>
  <c r="E296" i="25"/>
  <c r="E295" i="25"/>
  <c r="E294" i="25"/>
  <c r="E293" i="25"/>
  <c r="E292" i="25"/>
  <c r="E291" i="25"/>
  <c r="E290" i="25"/>
  <c r="E289" i="25"/>
  <c r="E288" i="25"/>
  <c r="E287" i="25"/>
  <c r="E286" i="25"/>
  <c r="E285" i="25"/>
  <c r="E284" i="25"/>
  <c r="E283" i="25"/>
  <c r="E282" i="25"/>
  <c r="E281" i="25"/>
  <c r="E280" i="25"/>
  <c r="E279" i="25"/>
  <c r="E278" i="25"/>
  <c r="E277" i="25"/>
  <c r="E276" i="25"/>
  <c r="E275" i="25"/>
  <c r="E274" i="25"/>
  <c r="E273" i="25"/>
  <c r="E272" i="25"/>
  <c r="E271" i="25"/>
  <c r="E270" i="25"/>
  <c r="E269" i="25"/>
  <c r="E268" i="25"/>
  <c r="E267" i="25"/>
  <c r="E266" i="25"/>
  <c r="E265" i="25"/>
  <c r="E264" i="25"/>
  <c r="E263" i="25"/>
  <c r="E262" i="25"/>
  <c r="E261" i="25"/>
  <c r="E260" i="25"/>
  <c r="E259" i="25"/>
  <c r="E258" i="25"/>
  <c r="E257" i="25"/>
  <c r="E256" i="25"/>
  <c r="E255" i="25"/>
  <c r="E254" i="25"/>
  <c r="E253" i="25"/>
  <c r="E252" i="25"/>
  <c r="E251" i="25"/>
  <c r="E250" i="25"/>
  <c r="E249" i="25"/>
  <c r="E248" i="25"/>
  <c r="E247" i="25"/>
  <c r="E246" i="25"/>
  <c r="E245" i="25"/>
  <c r="E244" i="25"/>
  <c r="E243" i="25"/>
  <c r="E242" i="25"/>
  <c r="E241" i="25"/>
  <c r="E240" i="25"/>
  <c r="E239" i="25"/>
  <c r="E238" i="25"/>
  <c r="E237" i="25"/>
  <c r="E236" i="25"/>
  <c r="E235" i="25"/>
  <c r="E234" i="25"/>
  <c r="E233" i="25"/>
  <c r="E232" i="25"/>
  <c r="E231" i="25"/>
  <c r="E230" i="25"/>
  <c r="E229" i="25"/>
  <c r="E228" i="25"/>
  <c r="E227" i="25"/>
  <c r="E226" i="25"/>
  <c r="E225" i="25"/>
  <c r="E224" i="25"/>
  <c r="E223" i="25"/>
  <c r="E222" i="25"/>
  <c r="E221" i="25"/>
  <c r="E220" i="25"/>
  <c r="E219" i="25"/>
  <c r="E218" i="25"/>
  <c r="E217" i="25"/>
  <c r="E216" i="25"/>
  <c r="E215" i="25"/>
  <c r="E214" i="25"/>
  <c r="E213" i="25"/>
  <c r="E212" i="25"/>
  <c r="E211" i="25"/>
  <c r="E210" i="25"/>
  <c r="E209" i="25"/>
  <c r="E208" i="25"/>
  <c r="E207" i="25"/>
  <c r="E206" i="25"/>
  <c r="E205" i="25"/>
  <c r="E204" i="25"/>
  <c r="E203" i="25"/>
  <c r="E202" i="25"/>
  <c r="E201" i="25"/>
  <c r="E200" i="25"/>
  <c r="E199" i="25"/>
  <c r="E198" i="25"/>
  <c r="E197" i="25"/>
  <c r="E196" i="25"/>
  <c r="E195" i="25"/>
  <c r="E194" i="25"/>
  <c r="E193" i="25"/>
  <c r="E192" i="25"/>
  <c r="E191" i="25"/>
  <c r="E190" i="25"/>
  <c r="E189" i="25"/>
  <c r="E188" i="25"/>
  <c r="E187" i="25"/>
  <c r="E186" i="25"/>
  <c r="E185" i="25"/>
  <c r="E184" i="25"/>
  <c r="E183" i="25"/>
  <c r="E182" i="25"/>
  <c r="E181" i="25"/>
  <c r="E180" i="25"/>
  <c r="E179" i="25"/>
  <c r="E178" i="25"/>
  <c r="E177" i="25"/>
  <c r="E176" i="25"/>
  <c r="E175" i="25"/>
  <c r="E174" i="25"/>
  <c r="E173" i="25"/>
  <c r="E172" i="25"/>
  <c r="E171" i="25"/>
  <c r="E170" i="25"/>
  <c r="E169" i="25"/>
  <c r="E168" i="25"/>
  <c r="E167" i="25"/>
  <c r="E166" i="25"/>
  <c r="E165" i="25"/>
  <c r="E164" i="25"/>
  <c r="E163" i="25"/>
  <c r="E162" i="25"/>
  <c r="E161" i="25"/>
  <c r="E160" i="25"/>
  <c r="E159" i="25"/>
  <c r="E158" i="25"/>
  <c r="E157" i="25"/>
  <c r="E156" i="25"/>
  <c r="E155" i="25"/>
  <c r="E154" i="25"/>
  <c r="E153" i="25"/>
  <c r="E152" i="25"/>
  <c r="E151" i="25"/>
  <c r="E150" i="25"/>
  <c r="E149" i="25"/>
  <c r="E148" i="25"/>
  <c r="E147" i="25"/>
  <c r="E146" i="25"/>
  <c r="E145" i="25"/>
  <c r="E144" i="25"/>
  <c r="E143" i="25"/>
  <c r="E142" i="25"/>
  <c r="E141" i="25"/>
  <c r="E140" i="25"/>
  <c r="E139" i="25"/>
  <c r="E138" i="25"/>
  <c r="E137" i="25"/>
  <c r="E136" i="25"/>
  <c r="E135" i="25"/>
  <c r="E134" i="25"/>
  <c r="E133" i="25"/>
  <c r="E132" i="25"/>
  <c r="E131" i="25"/>
  <c r="E130" i="25"/>
  <c r="E129" i="25"/>
  <c r="E128" i="25"/>
  <c r="E127" i="25"/>
  <c r="E126" i="25"/>
  <c r="E125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111" i="25"/>
  <c r="E110" i="25"/>
  <c r="E109" i="25"/>
  <c r="E108" i="25"/>
  <c r="E107" i="25"/>
  <c r="E106" i="25"/>
  <c r="E105" i="25"/>
  <c r="E104" i="25"/>
  <c r="E103" i="25"/>
  <c r="E102" i="25"/>
  <c r="E101" i="25"/>
  <c r="E100" i="25"/>
  <c r="E99" i="25"/>
  <c r="E98" i="25"/>
  <c r="E97" i="25"/>
  <c r="E96" i="25"/>
  <c r="E95" i="25"/>
  <c r="E94" i="25"/>
  <c r="E93" i="25"/>
  <c r="E92" i="25"/>
  <c r="E91" i="25"/>
  <c r="E90" i="25"/>
  <c r="E89" i="25"/>
  <c r="E88" i="25"/>
  <c r="E87" i="25"/>
  <c r="E86" i="25"/>
  <c r="E85" i="25"/>
  <c r="E84" i="25"/>
  <c r="E83" i="25"/>
  <c r="E82" i="25"/>
  <c r="E81" i="25"/>
  <c r="E80" i="25"/>
  <c r="E79" i="25"/>
  <c r="E78" i="25"/>
  <c r="E77" i="25"/>
  <c r="E76" i="25"/>
  <c r="E75" i="25"/>
  <c r="E74" i="25"/>
  <c r="E73" i="25"/>
  <c r="E72" i="25"/>
  <c r="E71" i="25"/>
  <c r="E70" i="25"/>
  <c r="E69" i="25"/>
  <c r="E68" i="25"/>
  <c r="E67" i="25"/>
  <c r="E66" i="25"/>
  <c r="E65" i="25"/>
  <c r="E64" i="25"/>
  <c r="E63" i="25"/>
  <c r="E62" i="25"/>
  <c r="E61" i="25"/>
  <c r="E60" i="25"/>
  <c r="E59" i="25"/>
  <c r="I11" i="25"/>
  <c r="M21" i="24"/>
  <c r="L21" i="24"/>
  <c r="K21" i="24"/>
  <c r="J21" i="24"/>
  <c r="L23" i="23"/>
  <c r="J23" i="23"/>
  <c r="L10" i="23"/>
  <c r="K10" i="23"/>
  <c r="K20" i="6"/>
  <c r="J20" i="6"/>
  <c r="J23" i="6"/>
  <c r="I20" i="6"/>
  <c r="L10" i="6"/>
  <c r="K10" i="6"/>
  <c r="G55" i="20"/>
  <c r="G39" i="20" a="1"/>
  <c r="G41" i="20"/>
  <c r="G54" i="20"/>
  <c r="F56" i="20"/>
  <c r="F55" i="20"/>
  <c r="F42" i="20"/>
  <c r="F41" i="20"/>
  <c r="G28" i="20"/>
  <c r="G25" i="20"/>
  <c r="G80" i="5"/>
  <c r="G78" i="5"/>
  <c r="G79" i="5"/>
  <c r="G64" i="5"/>
  <c r="G83" i="5"/>
  <c r="F81" i="5"/>
  <c r="F80" i="5"/>
  <c r="G81" i="5"/>
  <c r="G77" i="5"/>
  <c r="F78" i="5"/>
  <c r="F71" i="5"/>
  <c r="F79" i="5"/>
  <c r="F65" i="5"/>
  <c r="F64" i="5"/>
  <c r="G55" i="5"/>
  <c r="F55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34" i="5"/>
  <c r="G28" i="5" a="1"/>
  <c r="H12" i="5"/>
  <c r="G45" i="18"/>
  <c r="F32" i="18"/>
  <c r="F31" i="18"/>
  <c r="F30" i="18"/>
  <c r="J17" i="18" a="1"/>
  <c r="I17" i="18"/>
  <c r="F47" i="17"/>
  <c r="F41" i="17"/>
  <c r="F40" i="17"/>
  <c r="F34" i="17"/>
  <c r="F33" i="17"/>
  <c r="H21" i="4"/>
  <c r="H21" i="17"/>
  <c r="I20" i="17"/>
  <c r="I18" i="17"/>
  <c r="I19" i="17"/>
  <c r="I17" i="17"/>
  <c r="H17" i="17"/>
  <c r="G12" i="17"/>
  <c r="G44" i="19"/>
  <c r="I17" i="19"/>
  <c r="J17" i="19" a="1"/>
  <c r="K17" i="19"/>
  <c r="H18" i="19"/>
  <c r="G12" i="19"/>
  <c r="G48" i="4"/>
  <c r="G45" i="4"/>
  <c r="G38" i="4"/>
  <c r="G37" i="4"/>
  <c r="G31" i="4"/>
  <c r="G30" i="4"/>
  <c r="J25" i="4"/>
  <c r="J24" i="4"/>
  <c r="I17" i="4"/>
  <c r="H17" i="4"/>
  <c r="J17" i="4" a="1"/>
  <c r="G12" i="4"/>
  <c r="G23" i="3"/>
  <c r="G13" i="3"/>
  <c r="G44" i="3"/>
  <c r="G43" i="3"/>
  <c r="G42" i="3"/>
  <c r="G39" i="3"/>
  <c r="G38" i="3"/>
  <c r="G36" i="3"/>
  <c r="G28" i="3"/>
  <c r="G22" i="3"/>
  <c r="G21" i="3"/>
  <c r="G14" i="3"/>
  <c r="G12" i="3"/>
  <c r="G87" i="11"/>
  <c r="I85" i="11"/>
  <c r="H85" i="11"/>
  <c r="G85" i="11"/>
  <c r="I84" i="11"/>
  <c r="H84" i="11"/>
  <c r="I76" i="11"/>
  <c r="H76" i="11"/>
  <c r="G76" i="11"/>
  <c r="G70" i="11" a="1"/>
  <c r="G64" i="11" a="1"/>
  <c r="G28" i="11" a="1"/>
  <c r="G63" i="11"/>
  <c r="G62" i="11"/>
  <c r="G59" i="11"/>
  <c r="G54" i="11"/>
  <c r="I40" i="11"/>
  <c r="H40" i="11"/>
  <c r="G40" i="11"/>
  <c r="G34" i="11" a="1"/>
  <c r="G26" i="11"/>
  <c r="G23" i="11"/>
  <c r="G18" i="11"/>
  <c r="G16" i="11"/>
  <c r="G13" i="11"/>
  <c r="F39" i="2"/>
  <c r="E25" i="2"/>
  <c r="K22" i="24"/>
  <c r="K23" i="24"/>
  <c r="K24" i="24"/>
  <c r="J22" i="24"/>
  <c r="J23" i="24"/>
  <c r="J24" i="24"/>
  <c r="F12" i="25"/>
  <c r="F13" i="25"/>
  <c r="F14" i="25"/>
  <c r="F11" i="25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G642" i="26"/>
  <c r="G643" i="26"/>
  <c r="G644" i="26"/>
  <c r="G645" i="26"/>
  <c r="G646" i="26"/>
  <c r="G647" i="26"/>
  <c r="G648" i="26"/>
  <c r="G649" i="26"/>
  <c r="G650" i="26"/>
  <c r="G651" i="26"/>
  <c r="G652" i="26"/>
  <c r="G653" i="26"/>
  <c r="G654" i="26"/>
  <c r="G655" i="26"/>
  <c r="G656" i="26"/>
  <c r="G657" i="26"/>
  <c r="G658" i="26"/>
  <c r="G659" i="26"/>
  <c r="G660" i="26"/>
  <c r="G661" i="26"/>
  <c r="G662" i="26"/>
  <c r="G663" i="26"/>
  <c r="G664" i="26"/>
  <c r="G665" i="26"/>
  <c r="G666" i="26"/>
  <c r="G667" i="26"/>
  <c r="G668" i="26"/>
  <c r="G669" i="26"/>
  <c r="G670" i="26"/>
  <c r="G671" i="26"/>
  <c r="G672" i="26"/>
  <c r="G673" i="26"/>
  <c r="G674" i="26"/>
  <c r="G675" i="26"/>
  <c r="G676" i="26"/>
  <c r="G677" i="26"/>
  <c r="G678" i="26"/>
  <c r="G679" i="26"/>
  <c r="G680" i="26"/>
  <c r="G681" i="26"/>
  <c r="G682" i="26"/>
  <c r="G683" i="26"/>
  <c r="G684" i="26"/>
  <c r="G685" i="26"/>
  <c r="G686" i="26"/>
  <c r="G687" i="26"/>
  <c r="G688" i="26"/>
  <c r="G689" i="26"/>
  <c r="G690" i="26"/>
  <c r="G691" i="26"/>
  <c r="G692" i="26"/>
  <c r="G693" i="26"/>
  <c r="G694" i="26"/>
  <c r="G695" i="26"/>
  <c r="G696" i="26"/>
  <c r="G697" i="26"/>
  <c r="G698" i="26"/>
  <c r="G699" i="26"/>
  <c r="G700" i="26"/>
  <c r="G701" i="26"/>
  <c r="G702" i="26"/>
  <c r="G703" i="26"/>
  <c r="G704" i="26"/>
  <c r="G705" i="26"/>
  <c r="G706" i="26"/>
  <c r="G707" i="26"/>
  <c r="G708" i="26"/>
  <c r="G709" i="26"/>
  <c r="G710" i="26"/>
  <c r="G711" i="26"/>
  <c r="G712" i="26"/>
  <c r="G713" i="26"/>
  <c r="G714" i="26"/>
  <c r="G715" i="26"/>
  <c r="G716" i="26"/>
  <c r="G717" i="26"/>
  <c r="G718" i="26"/>
  <c r="G719" i="26"/>
  <c r="G720" i="26"/>
  <c r="G721" i="26"/>
  <c r="G722" i="26"/>
  <c r="G723" i="26"/>
  <c r="G724" i="26"/>
  <c r="G725" i="26"/>
  <c r="G726" i="26"/>
  <c r="G727" i="26"/>
  <c r="G728" i="26"/>
  <c r="G729" i="26"/>
  <c r="G730" i="26"/>
  <c r="G731" i="26"/>
  <c r="G732" i="26"/>
  <c r="G733" i="26"/>
  <c r="G734" i="26"/>
  <c r="G735" i="26"/>
  <c r="G736" i="26"/>
  <c r="G737" i="26"/>
  <c r="G738" i="26"/>
  <c r="G739" i="26"/>
  <c r="G740" i="26"/>
  <c r="G741" i="26"/>
  <c r="G742" i="26"/>
  <c r="G743" i="26"/>
  <c r="G744" i="26"/>
  <c r="G745" i="26"/>
  <c r="G746" i="26"/>
  <c r="G747" i="26"/>
  <c r="G748" i="26"/>
  <c r="G749" i="26"/>
  <c r="G750" i="26"/>
  <c r="G751" i="26"/>
  <c r="G752" i="26"/>
  <c r="G753" i="26"/>
  <c r="G754" i="26"/>
  <c r="G755" i="26"/>
  <c r="G756" i="26"/>
  <c r="G757" i="26"/>
  <c r="G758" i="26"/>
  <c r="G759" i="26"/>
  <c r="G760" i="26"/>
  <c r="G761" i="26"/>
  <c r="G762" i="26"/>
  <c r="G763" i="26"/>
  <c r="G764" i="26"/>
  <c r="G765" i="26"/>
  <c r="G766" i="26"/>
  <c r="G767" i="26"/>
  <c r="G768" i="26"/>
  <c r="G769" i="26"/>
  <c r="G770" i="26"/>
  <c r="G771" i="26"/>
  <c r="G772" i="26"/>
  <c r="G773" i="26"/>
  <c r="G774" i="26"/>
  <c r="G775" i="26"/>
  <c r="G776" i="26"/>
  <c r="G777" i="26"/>
  <c r="G778" i="26"/>
  <c r="G779" i="26"/>
  <c r="G780" i="26"/>
  <c r="G781" i="26"/>
  <c r="G782" i="26"/>
  <c r="G783" i="26"/>
  <c r="G784" i="26"/>
  <c r="G785" i="26"/>
  <c r="G786" i="26"/>
  <c r="G787" i="26"/>
  <c r="G788" i="26"/>
  <c r="G789" i="26"/>
  <c r="G790" i="26"/>
  <c r="G791" i="26"/>
  <c r="G792" i="26"/>
  <c r="G793" i="26"/>
  <c r="G794" i="26"/>
  <c r="G795" i="26"/>
  <c r="G796" i="26"/>
  <c r="G797" i="26"/>
  <c r="G798" i="26"/>
  <c r="G799" i="26"/>
  <c r="G800" i="26"/>
  <c r="G801" i="26"/>
  <c r="G802" i="26"/>
  <c r="G803" i="26"/>
  <c r="G804" i="26"/>
  <c r="G805" i="26"/>
  <c r="G806" i="26"/>
  <c r="G807" i="26"/>
  <c r="G808" i="26"/>
  <c r="G809" i="26"/>
  <c r="G810" i="26"/>
  <c r="G811" i="26"/>
  <c r="G812" i="26"/>
  <c r="G813" i="26"/>
  <c r="G814" i="26"/>
  <c r="G815" i="26"/>
  <c r="G816" i="26"/>
  <c r="G817" i="26"/>
  <c r="G818" i="26"/>
  <c r="G819" i="26"/>
  <c r="G820" i="26"/>
  <c r="G821" i="26"/>
  <c r="G822" i="26"/>
  <c r="G823" i="26"/>
  <c r="G824" i="26"/>
  <c r="G825" i="26"/>
  <c r="G826" i="26"/>
  <c r="G827" i="26"/>
  <c r="G828" i="26"/>
  <c r="G829" i="26"/>
  <c r="G830" i="26"/>
  <c r="G831" i="26"/>
  <c r="G832" i="26"/>
  <c r="G833" i="26"/>
  <c r="G834" i="26"/>
  <c r="G835" i="26"/>
  <c r="G836" i="26"/>
  <c r="G837" i="26"/>
  <c r="G838" i="26"/>
  <c r="G839" i="26"/>
  <c r="G840" i="26"/>
  <c r="G841" i="26"/>
  <c r="G842" i="26"/>
  <c r="G843" i="26"/>
  <c r="G844" i="26"/>
  <c r="G845" i="26"/>
  <c r="G846" i="26"/>
  <c r="G847" i="26"/>
  <c r="G848" i="26"/>
  <c r="G849" i="26"/>
  <c r="G850" i="26"/>
  <c r="G851" i="26"/>
  <c r="G852" i="26"/>
  <c r="G853" i="26"/>
  <c r="G854" i="26"/>
  <c r="G855" i="26"/>
  <c r="G856" i="26"/>
  <c r="G857" i="26"/>
  <c r="G858" i="26"/>
  <c r="G859" i="26"/>
  <c r="G860" i="26"/>
  <c r="G861" i="26"/>
  <c r="G862" i="26"/>
  <c r="G863" i="26"/>
  <c r="G864" i="26"/>
  <c r="G865" i="26"/>
  <c r="G866" i="26"/>
  <c r="G867" i="26"/>
  <c r="G868" i="26"/>
  <c r="G869" i="26"/>
  <c r="G870" i="26"/>
  <c r="G871" i="26"/>
  <c r="G872" i="26"/>
  <c r="G873" i="26"/>
  <c r="G874" i="26"/>
  <c r="G875" i="26"/>
  <c r="G876" i="26"/>
  <c r="G877" i="26"/>
  <c r="G878" i="26"/>
  <c r="G879" i="26"/>
  <c r="G880" i="26"/>
  <c r="G881" i="26"/>
  <c r="G882" i="26"/>
  <c r="G883" i="26"/>
  <c r="G884" i="26"/>
  <c r="G885" i="26"/>
  <c r="G886" i="26"/>
  <c r="G887" i="26"/>
  <c r="G888" i="26"/>
  <c r="G889" i="26"/>
  <c r="G890" i="26"/>
  <c r="G891" i="26"/>
  <c r="G892" i="26"/>
  <c r="G893" i="26"/>
  <c r="G894" i="26"/>
  <c r="G895" i="26"/>
  <c r="G896" i="26"/>
  <c r="G897" i="26"/>
  <c r="G898" i="26"/>
  <c r="G899" i="26"/>
  <c r="G900" i="26"/>
  <c r="G901" i="26"/>
  <c r="G902" i="26"/>
  <c r="G903" i="26"/>
  <c r="G904" i="26"/>
  <c r="G905" i="26"/>
  <c r="G906" i="26"/>
  <c r="G907" i="26"/>
  <c r="G908" i="26"/>
  <c r="G909" i="26"/>
  <c r="G910" i="26"/>
  <c r="G911" i="26"/>
  <c r="G912" i="26"/>
  <c r="G913" i="26"/>
  <c r="G914" i="26"/>
  <c r="G915" i="26"/>
  <c r="G916" i="26"/>
  <c r="G917" i="26"/>
  <c r="G918" i="26"/>
  <c r="G919" i="26"/>
  <c r="G920" i="26"/>
  <c r="G921" i="26"/>
  <c r="G922" i="26"/>
  <c r="G923" i="26"/>
  <c r="G924" i="26"/>
  <c r="G925" i="26"/>
  <c r="G926" i="26"/>
  <c r="G927" i="26"/>
  <c r="G928" i="26"/>
  <c r="G929" i="26"/>
  <c r="G930" i="26"/>
  <c r="G931" i="26"/>
  <c r="G932" i="26"/>
  <c r="G933" i="26"/>
  <c r="G934" i="26"/>
  <c r="G935" i="26"/>
  <c r="G936" i="26"/>
  <c r="G937" i="26"/>
  <c r="G938" i="26"/>
  <c r="G939" i="26"/>
  <c r="G940" i="26"/>
  <c r="G941" i="26"/>
  <c r="G942" i="26"/>
  <c r="G943" i="26"/>
  <c r="G944" i="26"/>
  <c r="G945" i="26"/>
  <c r="G946" i="26"/>
  <c r="G947" i="26"/>
  <c r="G948" i="26"/>
  <c r="G949" i="26"/>
  <c r="G950" i="26"/>
  <c r="G951" i="26"/>
  <c r="G952" i="26"/>
  <c r="G953" i="26"/>
  <c r="G954" i="26"/>
  <c r="G955" i="26"/>
  <c r="G956" i="26"/>
  <c r="G957" i="26"/>
  <c r="G958" i="26"/>
  <c r="G959" i="26"/>
  <c r="G960" i="26"/>
  <c r="G961" i="26"/>
  <c r="G962" i="26"/>
  <c r="G963" i="26"/>
  <c r="G964" i="26"/>
  <c r="G965" i="26"/>
  <c r="G966" i="26"/>
  <c r="G967" i="26"/>
  <c r="G968" i="26"/>
  <c r="G969" i="26"/>
  <c r="G970" i="26"/>
  <c r="G971" i="26"/>
  <c r="G972" i="26"/>
  <c r="G973" i="26"/>
  <c r="G974" i="26"/>
  <c r="G975" i="26"/>
  <c r="G976" i="26"/>
  <c r="G977" i="26"/>
  <c r="G978" i="26"/>
  <c r="G979" i="26"/>
  <c r="G980" i="26"/>
  <c r="G981" i="26"/>
  <c r="G982" i="26"/>
  <c r="G983" i="26"/>
  <c r="G984" i="26"/>
  <c r="G985" i="26"/>
  <c r="G986" i="26"/>
  <c r="G987" i="26"/>
  <c r="G988" i="26"/>
  <c r="G989" i="26"/>
  <c r="G990" i="26"/>
  <c r="G991" i="26"/>
  <c r="G992" i="26"/>
  <c r="G993" i="26"/>
  <c r="G994" i="26"/>
  <c r="G995" i="26"/>
  <c r="G996" i="26"/>
  <c r="G997" i="26"/>
  <c r="G998" i="26"/>
  <c r="G999" i="26"/>
  <c r="G1000" i="26"/>
  <c r="G1001" i="26"/>
  <c r="G2" i="26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02" i="23"/>
  <c r="F203" i="23"/>
  <c r="F204" i="23"/>
  <c r="F205" i="23"/>
  <c r="F206" i="23"/>
  <c r="F207" i="23"/>
  <c r="F208" i="23"/>
  <c r="F209" i="23"/>
  <c r="F10" i="23"/>
  <c r="J10" i="23"/>
  <c r="J11" i="23"/>
  <c r="K11" i="23" s="1"/>
  <c r="L11" i="23" s="1"/>
  <c r="J12" i="23"/>
  <c r="K12" i="23" s="1"/>
  <c r="L12" i="23" s="1"/>
  <c r="J13" i="23"/>
  <c r="K13" i="23" s="1"/>
  <c r="L13" i="23" s="1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51" i="23"/>
  <c r="E152" i="23"/>
  <c r="E153" i="23"/>
  <c r="E154" i="23"/>
  <c r="E155" i="23"/>
  <c r="E156" i="23"/>
  <c r="E157" i="23"/>
  <c r="E158" i="23"/>
  <c r="E159" i="23"/>
  <c r="E160" i="23"/>
  <c r="E161" i="23"/>
  <c r="E162" i="23"/>
  <c r="E163" i="23"/>
  <c r="E164" i="23"/>
  <c r="E165" i="23"/>
  <c r="E166" i="23"/>
  <c r="E167" i="23"/>
  <c r="E168" i="23"/>
  <c r="E169" i="23"/>
  <c r="E170" i="23"/>
  <c r="E171" i="23"/>
  <c r="E172" i="23"/>
  <c r="E173" i="23"/>
  <c r="E174" i="23"/>
  <c r="E175" i="23"/>
  <c r="E176" i="23"/>
  <c r="E177" i="23"/>
  <c r="E178" i="23"/>
  <c r="E179" i="23"/>
  <c r="E180" i="23"/>
  <c r="E181" i="23"/>
  <c r="E182" i="23"/>
  <c r="E183" i="23"/>
  <c r="E184" i="23"/>
  <c r="E185" i="23"/>
  <c r="E186" i="23"/>
  <c r="E187" i="23"/>
  <c r="E188" i="23"/>
  <c r="E189" i="23"/>
  <c r="E190" i="23"/>
  <c r="E191" i="23"/>
  <c r="E192" i="23"/>
  <c r="E193" i="23"/>
  <c r="E194" i="23"/>
  <c r="E195" i="23"/>
  <c r="E196" i="23"/>
  <c r="E197" i="23"/>
  <c r="E198" i="23"/>
  <c r="E199" i="23"/>
  <c r="E200" i="23"/>
  <c r="E201" i="23"/>
  <c r="E202" i="23"/>
  <c r="E203" i="23"/>
  <c r="E204" i="23"/>
  <c r="E205" i="23"/>
  <c r="E206" i="23"/>
  <c r="E207" i="23"/>
  <c r="E208" i="23"/>
  <c r="E209" i="23"/>
  <c r="E10" i="23"/>
  <c r="J11" i="6"/>
  <c r="J12" i="6"/>
  <c r="J13" i="6"/>
  <c r="J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F49" i="20"/>
  <c r="F48" i="20"/>
  <c r="H11" i="20"/>
  <c r="H12" i="20"/>
  <c r="H13" i="20"/>
  <c r="H14" i="20"/>
  <c r="H15" i="20"/>
  <c r="H16" i="20"/>
  <c r="H17" i="20"/>
  <c r="H18" i="20"/>
  <c r="H19" i="20"/>
  <c r="H10" i="20"/>
  <c r="G19" i="20"/>
  <c r="G13" i="20"/>
  <c r="G11" i="20"/>
  <c r="G12" i="20"/>
  <c r="G17" i="20"/>
  <c r="G14" i="20"/>
  <c r="G16" i="20"/>
  <c r="G18" i="20"/>
  <c r="G10" i="20"/>
  <c r="G15" i="20"/>
  <c r="F30" i="20"/>
  <c r="F28" i="20"/>
  <c r="F25" i="20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I201" i="22"/>
  <c r="I202" i="22"/>
  <c r="I203" i="22"/>
  <c r="I204" i="22"/>
  <c r="I205" i="22"/>
  <c r="I206" i="22"/>
  <c r="I207" i="22"/>
  <c r="I208" i="22"/>
  <c r="I209" i="22"/>
  <c r="I210" i="22"/>
  <c r="I211" i="22"/>
  <c r="I212" i="22"/>
  <c r="I213" i="22"/>
  <c r="I214" i="22"/>
  <c r="I215" i="22"/>
  <c r="I216" i="22"/>
  <c r="I217" i="22"/>
  <c r="I218" i="22"/>
  <c r="I219" i="22"/>
  <c r="I220" i="22"/>
  <c r="I221" i="22"/>
  <c r="I222" i="22"/>
  <c r="I223" i="22"/>
  <c r="I224" i="22"/>
  <c r="I225" i="22"/>
  <c r="I226" i="22"/>
  <c r="I227" i="22"/>
  <c r="I228" i="22"/>
  <c r="I229" i="22"/>
  <c r="I230" i="22"/>
  <c r="I231" i="22"/>
  <c r="I232" i="22"/>
  <c r="I233" i="22"/>
  <c r="I234" i="22"/>
  <c r="I235" i="22"/>
  <c r="I236" i="22"/>
  <c r="I237" i="22"/>
  <c r="I238" i="22"/>
  <c r="I239" i="22"/>
  <c r="I240" i="22"/>
  <c r="I241" i="22"/>
  <c r="I242" i="22"/>
  <c r="I243" i="22"/>
  <c r="I244" i="22"/>
  <c r="I245" i="22"/>
  <c r="I246" i="22"/>
  <c r="I247" i="22"/>
  <c r="I248" i="22"/>
  <c r="I249" i="22"/>
  <c r="I250" i="22"/>
  <c r="I251" i="22"/>
  <c r="I252" i="22"/>
  <c r="I253" i="22"/>
  <c r="I254" i="22"/>
  <c r="I255" i="22"/>
  <c r="I256" i="22"/>
  <c r="I257" i="22"/>
  <c r="I258" i="22"/>
  <c r="I259" i="22"/>
  <c r="I260" i="22"/>
  <c r="I261" i="22"/>
  <c r="I262" i="22"/>
  <c r="I263" i="22"/>
  <c r="I264" i="22"/>
  <c r="I265" i="22"/>
  <c r="I266" i="22"/>
  <c r="I267" i="22"/>
  <c r="I268" i="22"/>
  <c r="I269" i="22"/>
  <c r="I270" i="22"/>
  <c r="I271" i="22"/>
  <c r="I272" i="22"/>
  <c r="I273" i="22"/>
  <c r="I274" i="22"/>
  <c r="I275" i="22"/>
  <c r="I276" i="22"/>
  <c r="I277" i="22"/>
  <c r="I278" i="22"/>
  <c r="I279" i="22"/>
  <c r="I280" i="22"/>
  <c r="I281" i="22"/>
  <c r="I282" i="22"/>
  <c r="I283" i="22"/>
  <c r="I284" i="22"/>
  <c r="I285" i="22"/>
  <c r="I286" i="22"/>
  <c r="I287" i="22"/>
  <c r="I288" i="22"/>
  <c r="I289" i="22"/>
  <c r="I290" i="22"/>
  <c r="I291" i="22"/>
  <c r="I292" i="22"/>
  <c r="I293" i="22"/>
  <c r="I294" i="22"/>
  <c r="I295" i="22"/>
  <c r="I296" i="22"/>
  <c r="I297" i="22"/>
  <c r="I298" i="22"/>
  <c r="I299" i="22"/>
  <c r="I300" i="22"/>
  <c r="I301" i="22"/>
  <c r="I302" i="22"/>
  <c r="I303" i="22"/>
  <c r="I304" i="22"/>
  <c r="I305" i="22"/>
  <c r="I306" i="22"/>
  <c r="I307" i="22"/>
  <c r="I308" i="22"/>
  <c r="I309" i="22"/>
  <c r="I310" i="22"/>
  <c r="I311" i="22"/>
  <c r="I312" i="22"/>
  <c r="I313" i="22"/>
  <c r="I314" i="22"/>
  <c r="I315" i="22"/>
  <c r="I316" i="22"/>
  <c r="I317" i="22"/>
  <c r="I318" i="22"/>
  <c r="I319" i="22"/>
  <c r="I320" i="22"/>
  <c r="I321" i="22"/>
  <c r="I322" i="22"/>
  <c r="I323" i="22"/>
  <c r="I324" i="22"/>
  <c r="I325" i="22"/>
  <c r="I326" i="22"/>
  <c r="I327" i="22"/>
  <c r="I328" i="22"/>
  <c r="I329" i="22"/>
  <c r="I330" i="22"/>
  <c r="I331" i="22"/>
  <c r="I332" i="22"/>
  <c r="I333" i="22"/>
  <c r="I334" i="22"/>
  <c r="I335" i="22"/>
  <c r="I336" i="22"/>
  <c r="I337" i="22"/>
  <c r="I338" i="22"/>
  <c r="I339" i="22"/>
  <c r="I340" i="22"/>
  <c r="I341" i="22"/>
  <c r="I342" i="22"/>
  <c r="I343" i="22"/>
  <c r="I344" i="22"/>
  <c r="I345" i="22"/>
  <c r="I346" i="22"/>
  <c r="I347" i="22"/>
  <c r="I348" i="22"/>
  <c r="I349" i="22"/>
  <c r="I350" i="22"/>
  <c r="I351" i="22"/>
  <c r="I352" i="22"/>
  <c r="I353" i="22"/>
  <c r="I354" i="22"/>
  <c r="I355" i="22"/>
  <c r="I356" i="22"/>
  <c r="I357" i="22"/>
  <c r="I358" i="22"/>
  <c r="I359" i="22"/>
  <c r="I360" i="22"/>
  <c r="I361" i="22"/>
  <c r="I362" i="22"/>
  <c r="I363" i="22"/>
  <c r="I364" i="22"/>
  <c r="I365" i="22"/>
  <c r="I366" i="22"/>
  <c r="I367" i="22"/>
  <c r="I368" i="22"/>
  <c r="I369" i="22"/>
  <c r="I370" i="22"/>
  <c r="I371" i="22"/>
  <c r="I372" i="22"/>
  <c r="I373" i="22"/>
  <c r="I374" i="22"/>
  <c r="I375" i="22"/>
  <c r="I376" i="22"/>
  <c r="I377" i="22"/>
  <c r="I378" i="22"/>
  <c r="I379" i="22"/>
  <c r="I380" i="22"/>
  <c r="I381" i="22"/>
  <c r="I382" i="22"/>
  <c r="I383" i="22"/>
  <c r="I384" i="22"/>
  <c r="I385" i="22"/>
  <c r="I386" i="22"/>
  <c r="I387" i="22"/>
  <c r="I388" i="22"/>
  <c r="I389" i="22"/>
  <c r="I390" i="22"/>
  <c r="I391" i="22"/>
  <c r="I392" i="22"/>
  <c r="I393" i="22"/>
  <c r="I394" i="22"/>
  <c r="I395" i="22"/>
  <c r="I396" i="22"/>
  <c r="I397" i="22"/>
  <c r="I398" i="22"/>
  <c r="I399" i="22"/>
  <c r="I400" i="22"/>
  <c r="I401" i="22"/>
  <c r="I402" i="22"/>
  <c r="I403" i="22"/>
  <c r="I404" i="22"/>
  <c r="I405" i="22"/>
  <c r="I406" i="22"/>
  <c r="I407" i="22"/>
  <c r="I408" i="22"/>
  <c r="I409" i="22"/>
  <c r="I410" i="22"/>
  <c r="I411" i="22"/>
  <c r="I412" i="22"/>
  <c r="I413" i="22"/>
  <c r="I414" i="22"/>
  <c r="I415" i="22"/>
  <c r="I416" i="22"/>
  <c r="I417" i="22"/>
  <c r="I418" i="22"/>
  <c r="I419" i="22"/>
  <c r="I420" i="22"/>
  <c r="I421" i="22"/>
  <c r="I422" i="22"/>
  <c r="I423" i="22"/>
  <c r="I424" i="22"/>
  <c r="I425" i="22"/>
  <c r="I426" i="22"/>
  <c r="I427" i="22"/>
  <c r="I428" i="22"/>
  <c r="I429" i="22"/>
  <c r="I430" i="22"/>
  <c r="I431" i="22"/>
  <c r="I432" i="22"/>
  <c r="I433" i="22"/>
  <c r="I434" i="22"/>
  <c r="I435" i="22"/>
  <c r="I436" i="22"/>
  <c r="I437" i="22"/>
  <c r="I438" i="22"/>
  <c r="I439" i="22"/>
  <c r="I440" i="22"/>
  <c r="I441" i="22"/>
  <c r="I442" i="22"/>
  <c r="I443" i="22"/>
  <c r="I444" i="22"/>
  <c r="I445" i="22"/>
  <c r="I446" i="22"/>
  <c r="I447" i="22"/>
  <c r="I448" i="22"/>
  <c r="I449" i="22"/>
  <c r="I450" i="22"/>
  <c r="I451" i="22"/>
  <c r="I452" i="22"/>
  <c r="I453" i="22"/>
  <c r="I454" i="22"/>
  <c r="I455" i="22"/>
  <c r="I456" i="22"/>
  <c r="I457" i="22"/>
  <c r="I458" i="22"/>
  <c r="I459" i="22"/>
  <c r="I460" i="22"/>
  <c r="I461" i="22"/>
  <c r="I462" i="22"/>
  <c r="I463" i="22"/>
  <c r="I464" i="22"/>
  <c r="I465" i="22"/>
  <c r="I466" i="22"/>
  <c r="I467" i="22"/>
  <c r="I468" i="22"/>
  <c r="I469" i="22"/>
  <c r="I470" i="22"/>
  <c r="I471" i="22"/>
  <c r="I472" i="22"/>
  <c r="I473" i="22"/>
  <c r="I474" i="22"/>
  <c r="I475" i="22"/>
  <c r="I476" i="22"/>
  <c r="I477" i="22"/>
  <c r="I478" i="22"/>
  <c r="I479" i="22"/>
  <c r="I480" i="22"/>
  <c r="I481" i="22"/>
  <c r="I482" i="22"/>
  <c r="I483" i="22"/>
  <c r="I484" i="22"/>
  <c r="I485" i="22"/>
  <c r="I486" i="22"/>
  <c r="I487" i="22"/>
  <c r="I488" i="22"/>
  <c r="I489" i="22"/>
  <c r="I490" i="22"/>
  <c r="I491" i="22"/>
  <c r="I492" i="22"/>
  <c r="I493" i="22"/>
  <c r="I494" i="22"/>
  <c r="I495" i="22"/>
  <c r="I496" i="22"/>
  <c r="I497" i="22"/>
  <c r="I498" i="22"/>
  <c r="I499" i="22"/>
  <c r="I500" i="22"/>
  <c r="I501" i="22"/>
  <c r="I502" i="22"/>
  <c r="I503" i="22"/>
  <c r="I504" i="22"/>
  <c r="I505" i="22"/>
  <c r="I506" i="22"/>
  <c r="I507" i="22"/>
  <c r="I508" i="22"/>
  <c r="I509" i="22"/>
  <c r="I510" i="22"/>
  <c r="I511" i="22"/>
  <c r="I512" i="22"/>
  <c r="I513" i="22"/>
  <c r="I514" i="22"/>
  <c r="I515" i="22"/>
  <c r="I516" i="22"/>
  <c r="I517" i="22"/>
  <c r="I518" i="22"/>
  <c r="I519" i="22"/>
  <c r="I520" i="22"/>
  <c r="I521" i="22"/>
  <c r="I522" i="22"/>
  <c r="I523" i="22"/>
  <c r="I524" i="22"/>
  <c r="I525" i="22"/>
  <c r="I526" i="22"/>
  <c r="I527" i="22"/>
  <c r="I528" i="22"/>
  <c r="I529" i="22"/>
  <c r="I530" i="22"/>
  <c r="I531" i="22"/>
  <c r="I532" i="22"/>
  <c r="I533" i="22"/>
  <c r="I534" i="22"/>
  <c r="I535" i="22"/>
  <c r="I536" i="22"/>
  <c r="I537" i="22"/>
  <c r="I538" i="22"/>
  <c r="I539" i="22"/>
  <c r="I540" i="22"/>
  <c r="I541" i="22"/>
  <c r="I542" i="22"/>
  <c r="I543" i="22"/>
  <c r="I544" i="22"/>
  <c r="I545" i="22"/>
  <c r="I546" i="22"/>
  <c r="I547" i="22"/>
  <c r="I548" i="22"/>
  <c r="I549" i="22"/>
  <c r="I550" i="22"/>
  <c r="I551" i="22"/>
  <c r="I552" i="22"/>
  <c r="I553" i="22"/>
  <c r="I554" i="22"/>
  <c r="I555" i="22"/>
  <c r="I556" i="22"/>
  <c r="I557" i="22"/>
  <c r="I558" i="22"/>
  <c r="I559" i="22"/>
  <c r="I560" i="22"/>
  <c r="I561" i="22"/>
  <c r="I562" i="22"/>
  <c r="I563" i="22"/>
  <c r="I564" i="22"/>
  <c r="I565" i="22"/>
  <c r="I566" i="22"/>
  <c r="I567" i="22"/>
  <c r="I568" i="22"/>
  <c r="I569" i="22"/>
  <c r="I570" i="22"/>
  <c r="I571" i="22"/>
  <c r="I572" i="22"/>
  <c r="I573" i="22"/>
  <c r="I574" i="22"/>
  <c r="I575" i="22"/>
  <c r="I576" i="22"/>
  <c r="I577" i="22"/>
  <c r="I578" i="22"/>
  <c r="I579" i="22"/>
  <c r="I580" i="22"/>
  <c r="I581" i="22"/>
  <c r="I582" i="22"/>
  <c r="I583" i="22"/>
  <c r="I584" i="22"/>
  <c r="I585" i="22"/>
  <c r="I586" i="22"/>
  <c r="I587" i="22"/>
  <c r="I588" i="22"/>
  <c r="I589" i="22"/>
  <c r="I590" i="22"/>
  <c r="I591" i="22"/>
  <c r="I592" i="22"/>
  <c r="I593" i="22"/>
  <c r="I594" i="22"/>
  <c r="I595" i="22"/>
  <c r="I596" i="22"/>
  <c r="I597" i="22"/>
  <c r="I598" i="22"/>
  <c r="I599" i="22"/>
  <c r="I600" i="22"/>
  <c r="I601" i="22"/>
  <c r="I602" i="22"/>
  <c r="I603" i="22"/>
  <c r="I604" i="22"/>
  <c r="I605" i="22"/>
  <c r="I606" i="22"/>
  <c r="I607" i="22"/>
  <c r="I608" i="22"/>
  <c r="I609" i="22"/>
  <c r="I610" i="22"/>
  <c r="I611" i="22"/>
  <c r="I612" i="22"/>
  <c r="I613" i="22"/>
  <c r="I614" i="22"/>
  <c r="I615" i="22"/>
  <c r="I616" i="22"/>
  <c r="I617" i="22"/>
  <c r="I618" i="22"/>
  <c r="I619" i="22"/>
  <c r="I620" i="22"/>
  <c r="I621" i="22"/>
  <c r="I622" i="22"/>
  <c r="I623" i="22"/>
  <c r="I624" i="22"/>
  <c r="I625" i="22"/>
  <c r="I626" i="22"/>
  <c r="I627" i="22"/>
  <c r="I628" i="22"/>
  <c r="I629" i="22"/>
  <c r="I630" i="22"/>
  <c r="I631" i="22"/>
  <c r="I632" i="22"/>
  <c r="I633" i="22"/>
  <c r="I634" i="22"/>
  <c r="I635" i="22"/>
  <c r="I636" i="22"/>
  <c r="I637" i="22"/>
  <c r="I638" i="22"/>
  <c r="I639" i="22"/>
  <c r="I640" i="22"/>
  <c r="I641" i="22"/>
  <c r="I642" i="22"/>
  <c r="I643" i="22"/>
  <c r="I644" i="22"/>
  <c r="I645" i="22"/>
  <c r="I646" i="22"/>
  <c r="I647" i="22"/>
  <c r="I648" i="22"/>
  <c r="I649" i="22"/>
  <c r="I650" i="22"/>
  <c r="I651" i="22"/>
  <c r="I652" i="22"/>
  <c r="I653" i="22"/>
  <c r="I654" i="22"/>
  <c r="I655" i="22"/>
  <c r="I656" i="22"/>
  <c r="I657" i="22"/>
  <c r="I658" i="22"/>
  <c r="I659" i="22"/>
  <c r="I660" i="22"/>
  <c r="I661" i="22"/>
  <c r="I662" i="22"/>
  <c r="I663" i="22"/>
  <c r="I664" i="22"/>
  <c r="I665" i="22"/>
  <c r="I666" i="22"/>
  <c r="I667" i="22"/>
  <c r="I668" i="22"/>
  <c r="I669" i="22"/>
  <c r="I670" i="22"/>
  <c r="I671" i="22"/>
  <c r="I672" i="22"/>
  <c r="I673" i="22"/>
  <c r="I674" i="22"/>
  <c r="I675" i="22"/>
  <c r="I676" i="22"/>
  <c r="I677" i="22"/>
  <c r="I678" i="22"/>
  <c r="I679" i="22"/>
  <c r="I680" i="22"/>
  <c r="I681" i="22"/>
  <c r="I682" i="22"/>
  <c r="I683" i="22"/>
  <c r="I684" i="22"/>
  <c r="I685" i="22"/>
  <c r="I686" i="22"/>
  <c r="I687" i="22"/>
  <c r="I688" i="22"/>
  <c r="I689" i="22"/>
  <c r="I690" i="22"/>
  <c r="I691" i="22"/>
  <c r="I692" i="22"/>
  <c r="I693" i="22"/>
  <c r="I694" i="22"/>
  <c r="I695" i="22"/>
  <c r="I696" i="22"/>
  <c r="I697" i="22"/>
  <c r="I698" i="22"/>
  <c r="I699" i="22"/>
  <c r="I700" i="22"/>
  <c r="I701" i="22"/>
  <c r="I702" i="22"/>
  <c r="I703" i="22"/>
  <c r="I704" i="22"/>
  <c r="I705" i="22"/>
  <c r="I706" i="22"/>
  <c r="I707" i="22"/>
  <c r="I708" i="22"/>
  <c r="I709" i="22"/>
  <c r="I710" i="22"/>
  <c r="I711" i="22"/>
  <c r="I712" i="22"/>
  <c r="I713" i="22"/>
  <c r="I714" i="22"/>
  <c r="I715" i="22"/>
  <c r="I716" i="22"/>
  <c r="I717" i="22"/>
  <c r="I718" i="22"/>
  <c r="I719" i="22"/>
  <c r="I720" i="22"/>
  <c r="I721" i="22"/>
  <c r="I722" i="22"/>
  <c r="I723" i="22"/>
  <c r="I724" i="22"/>
  <c r="I725" i="22"/>
  <c r="I726" i="22"/>
  <c r="I727" i="22"/>
  <c r="I728" i="22"/>
  <c r="I729" i="22"/>
  <c r="I730" i="22"/>
  <c r="I731" i="22"/>
  <c r="I732" i="22"/>
  <c r="I733" i="22"/>
  <c r="I734" i="22"/>
  <c r="I735" i="22"/>
  <c r="I736" i="22"/>
  <c r="I737" i="22"/>
  <c r="I738" i="22"/>
  <c r="I739" i="22"/>
  <c r="I740" i="22"/>
  <c r="I741" i="22"/>
  <c r="I742" i="22"/>
  <c r="I743" i="22"/>
  <c r="I744" i="22"/>
  <c r="I745" i="22"/>
  <c r="I746" i="22"/>
  <c r="I747" i="22"/>
  <c r="I748" i="22"/>
  <c r="I749" i="22"/>
  <c r="I750" i="22"/>
  <c r="I751" i="22"/>
  <c r="I752" i="22"/>
  <c r="I753" i="22"/>
  <c r="I754" i="22"/>
  <c r="I755" i="22"/>
  <c r="I756" i="22"/>
  <c r="I757" i="22"/>
  <c r="I758" i="22"/>
  <c r="I759" i="22"/>
  <c r="I760" i="22"/>
  <c r="I761" i="22"/>
  <c r="I762" i="22"/>
  <c r="I763" i="22"/>
  <c r="I764" i="22"/>
  <c r="I765" i="22"/>
  <c r="I766" i="22"/>
  <c r="I767" i="22"/>
  <c r="I768" i="22"/>
  <c r="I769" i="22"/>
  <c r="I770" i="22"/>
  <c r="I771" i="22"/>
  <c r="I772" i="22"/>
  <c r="I773" i="22"/>
  <c r="I774" i="22"/>
  <c r="I775" i="22"/>
  <c r="I776" i="22"/>
  <c r="I777" i="22"/>
  <c r="I778" i="22"/>
  <c r="I779" i="22"/>
  <c r="I780" i="22"/>
  <c r="I781" i="22"/>
  <c r="I782" i="22"/>
  <c r="I783" i="22"/>
  <c r="I784" i="22"/>
  <c r="I785" i="22"/>
  <c r="I786" i="22"/>
  <c r="I787" i="22"/>
  <c r="I788" i="22"/>
  <c r="I789" i="22"/>
  <c r="I790" i="22"/>
  <c r="I791" i="22"/>
  <c r="I792" i="22"/>
  <c r="I793" i="22"/>
  <c r="I794" i="22"/>
  <c r="I795" i="22"/>
  <c r="I796" i="22"/>
  <c r="I797" i="22"/>
  <c r="I798" i="22"/>
  <c r="I799" i="22"/>
  <c r="I800" i="22"/>
  <c r="I801" i="22"/>
  <c r="I802" i="22"/>
  <c r="I803" i="22"/>
  <c r="I804" i="22"/>
  <c r="I805" i="22"/>
  <c r="I806" i="22"/>
  <c r="I807" i="22"/>
  <c r="I808" i="22"/>
  <c r="I809" i="22"/>
  <c r="I810" i="22"/>
  <c r="I811" i="22"/>
  <c r="I812" i="22"/>
  <c r="I813" i="22"/>
  <c r="I814" i="22"/>
  <c r="I815" i="22"/>
  <c r="I816" i="22"/>
  <c r="I817" i="22"/>
  <c r="I818" i="22"/>
  <c r="I819" i="22"/>
  <c r="I820" i="22"/>
  <c r="I821" i="22"/>
  <c r="I822" i="22"/>
  <c r="I823" i="22"/>
  <c r="I824" i="22"/>
  <c r="I825" i="22"/>
  <c r="I826" i="22"/>
  <c r="I827" i="22"/>
  <c r="I828" i="22"/>
  <c r="I829" i="22"/>
  <c r="I830" i="22"/>
  <c r="I831" i="22"/>
  <c r="I832" i="22"/>
  <c r="I833" i="22"/>
  <c r="I834" i="22"/>
  <c r="I835" i="22"/>
  <c r="I836" i="22"/>
  <c r="I837" i="22"/>
  <c r="I838" i="22"/>
  <c r="I839" i="22"/>
  <c r="I840" i="22"/>
  <c r="I841" i="22"/>
  <c r="I842" i="22"/>
  <c r="I843" i="22"/>
  <c r="I844" i="22"/>
  <c r="I845" i="22"/>
  <c r="I846" i="22"/>
  <c r="I847" i="22"/>
  <c r="I848" i="22"/>
  <c r="I849" i="22"/>
  <c r="I850" i="22"/>
  <c r="I851" i="22"/>
  <c r="I852" i="22"/>
  <c r="I853" i="22"/>
  <c r="I854" i="22"/>
  <c r="I855" i="22"/>
  <c r="I856" i="22"/>
  <c r="I857" i="22"/>
  <c r="I858" i="22"/>
  <c r="I859" i="22"/>
  <c r="I860" i="22"/>
  <c r="I861" i="22"/>
  <c r="I862" i="22"/>
  <c r="I863" i="22"/>
  <c r="I864" i="22"/>
  <c r="I865" i="22"/>
  <c r="I866" i="22"/>
  <c r="I867" i="22"/>
  <c r="I868" i="22"/>
  <c r="I869" i="22"/>
  <c r="I870" i="22"/>
  <c r="I871" i="22"/>
  <c r="I872" i="22"/>
  <c r="I873" i="22"/>
  <c r="I874" i="22"/>
  <c r="I875" i="22"/>
  <c r="I876" i="22"/>
  <c r="I877" i="22"/>
  <c r="I878" i="22"/>
  <c r="I879" i="22"/>
  <c r="I880" i="22"/>
  <c r="I881" i="22"/>
  <c r="I882" i="22"/>
  <c r="I883" i="22"/>
  <c r="I884" i="22"/>
  <c r="I885" i="22"/>
  <c r="I886" i="22"/>
  <c r="I887" i="22"/>
  <c r="I888" i="22"/>
  <c r="I889" i="22"/>
  <c r="I890" i="22"/>
  <c r="I891" i="22"/>
  <c r="I892" i="22"/>
  <c r="I893" i="22"/>
  <c r="I894" i="22"/>
  <c r="I895" i="22"/>
  <c r="I896" i="22"/>
  <c r="I897" i="22"/>
  <c r="I898" i="22"/>
  <c r="I899" i="22"/>
  <c r="I900" i="22"/>
  <c r="I901" i="22"/>
  <c r="I902" i="22"/>
  <c r="I903" i="22"/>
  <c r="I904" i="22"/>
  <c r="I905" i="22"/>
  <c r="I906" i="22"/>
  <c r="I907" i="22"/>
  <c r="I908" i="22"/>
  <c r="I909" i="22"/>
  <c r="I910" i="22"/>
  <c r="I911" i="22"/>
  <c r="I912" i="22"/>
  <c r="I913" i="22"/>
  <c r="I914" i="22"/>
  <c r="I915" i="22"/>
  <c r="I916" i="22"/>
  <c r="I917" i="22"/>
  <c r="I918" i="22"/>
  <c r="I919" i="22"/>
  <c r="I920" i="22"/>
  <c r="I921" i="22"/>
  <c r="I922" i="22"/>
  <c r="I923" i="22"/>
  <c r="I924" i="22"/>
  <c r="I925" i="22"/>
  <c r="I926" i="22"/>
  <c r="I927" i="22"/>
  <c r="I928" i="22"/>
  <c r="I929" i="22"/>
  <c r="I930" i="22"/>
  <c r="I931" i="22"/>
  <c r="I932" i="22"/>
  <c r="I933" i="22"/>
  <c r="I934" i="22"/>
  <c r="I935" i="22"/>
  <c r="I936" i="22"/>
  <c r="I937" i="22"/>
  <c r="I938" i="22"/>
  <c r="I939" i="22"/>
  <c r="I940" i="22"/>
  <c r="I941" i="22"/>
  <c r="I942" i="22"/>
  <c r="I943" i="22"/>
  <c r="I944" i="22"/>
  <c r="I945" i="22"/>
  <c r="I946" i="22"/>
  <c r="I947" i="22"/>
  <c r="I948" i="22"/>
  <c r="I949" i="22"/>
  <c r="I950" i="22"/>
  <c r="I951" i="22"/>
  <c r="I952" i="22"/>
  <c r="I953" i="22"/>
  <c r="I954" i="22"/>
  <c r="I955" i="22"/>
  <c r="I956" i="22"/>
  <c r="I957" i="22"/>
  <c r="I958" i="22"/>
  <c r="I959" i="22"/>
  <c r="I960" i="22"/>
  <c r="I961" i="22"/>
  <c r="I962" i="22"/>
  <c r="I963" i="22"/>
  <c r="I964" i="22"/>
  <c r="I965" i="22"/>
  <c r="I966" i="22"/>
  <c r="I967" i="22"/>
  <c r="I968" i="22"/>
  <c r="I969" i="22"/>
  <c r="I970" i="22"/>
  <c r="I971" i="22"/>
  <c r="I972" i="22"/>
  <c r="I973" i="22"/>
  <c r="I974" i="22"/>
  <c r="I975" i="22"/>
  <c r="I976" i="22"/>
  <c r="I977" i="22"/>
  <c r="I978" i="22"/>
  <c r="I979" i="22"/>
  <c r="I980" i="22"/>
  <c r="I981" i="22"/>
  <c r="I982" i="22"/>
  <c r="I983" i="22"/>
  <c r="I984" i="22"/>
  <c r="I985" i="22"/>
  <c r="I986" i="22"/>
  <c r="I987" i="22"/>
  <c r="I988" i="22"/>
  <c r="I989" i="22"/>
  <c r="I990" i="22"/>
  <c r="I991" i="22"/>
  <c r="I992" i="22"/>
  <c r="I993" i="22"/>
  <c r="I994" i="22"/>
  <c r="I995" i="22"/>
  <c r="I996" i="22"/>
  <c r="I997" i="22"/>
  <c r="I998" i="22"/>
  <c r="I999" i="22"/>
  <c r="I1000" i="22"/>
  <c r="I1001" i="22"/>
  <c r="I2" i="22"/>
  <c r="L4" i="22"/>
  <c r="L3" i="22"/>
  <c r="O3" i="22" s="1"/>
  <c r="F72" i="5"/>
  <c r="G11" i="5"/>
  <c r="G12" i="5"/>
  <c r="G13" i="5"/>
  <c r="G14" i="5"/>
  <c r="G15" i="5"/>
  <c r="G16" i="5"/>
  <c r="G17" i="5"/>
  <c r="G18" i="5"/>
  <c r="G19" i="5"/>
  <c r="G20" i="5"/>
  <c r="G26" i="5"/>
  <c r="F26" i="5"/>
  <c r="G44" i="18"/>
  <c r="K18" i="18"/>
  <c r="K19" i="18"/>
  <c r="K20" i="18"/>
  <c r="K17" i="18"/>
  <c r="J18" i="18" a="1"/>
  <c r="J19" i="18" a="1"/>
  <c r="J20" i="18" a="1"/>
  <c r="I18" i="18"/>
  <c r="I19" i="18"/>
  <c r="I20" i="18"/>
  <c r="M18" i="17"/>
  <c r="M19" i="17"/>
  <c r="M20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G21" i="17"/>
  <c r="H18" i="17" s="1"/>
  <c r="F31" i="19"/>
  <c r="F30" i="19"/>
  <c r="K18" i="19"/>
  <c r="K19" i="19"/>
  <c r="K20" i="19"/>
  <c r="J20" i="19" a="1"/>
  <c r="J19" i="19" a="1"/>
  <c r="J18" i="19" a="1"/>
  <c r="I18" i="19"/>
  <c r="I19" i="19"/>
  <c r="I20" i="19"/>
  <c r="G21" i="19"/>
  <c r="G43" i="19"/>
  <c r="F44" i="19"/>
  <c r="F37" i="19"/>
  <c r="F38" i="19"/>
  <c r="F39" i="18"/>
  <c r="F38" i="18"/>
  <c r="F45" i="18"/>
  <c r="G21" i="18"/>
  <c r="F39" i="4"/>
  <c r="F38" i="4"/>
  <c r="F31" i="4"/>
  <c r="F32" i="4"/>
  <c r="F86" i="11"/>
  <c r="F85" i="11"/>
  <c r="F89" i="11"/>
  <c r="F88" i="11"/>
  <c r="F49" i="11"/>
  <c r="F13" i="11"/>
  <c r="F23" i="11"/>
  <c r="G49" i="11"/>
  <c r="G53" i="11"/>
  <c r="G52" i="11"/>
  <c r="G25" i="11"/>
  <c r="G17" i="11"/>
  <c r="G21" i="11"/>
  <c r="E32" i="2"/>
  <c r="E31" i="2"/>
  <c r="E24" i="2"/>
  <c r="F45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10" i="4"/>
  <c r="F44" i="3"/>
  <c r="F43" i="3"/>
  <c r="C211" i="3"/>
  <c r="D211" i="3" s="1"/>
  <c r="C212" i="3"/>
  <c r="D212" i="3" s="1"/>
  <c r="C213" i="3"/>
  <c r="D213" i="3" s="1"/>
  <c r="C214" i="3"/>
  <c r="D214" i="3" s="1"/>
  <c r="C215" i="3"/>
  <c r="D215" i="3" s="1"/>
  <c r="C216" i="3"/>
  <c r="D216" i="3" s="1"/>
  <c r="C217" i="3"/>
  <c r="D217" i="3" s="1"/>
  <c r="C218" i="3"/>
  <c r="D218" i="3" s="1"/>
  <c r="C219" i="3"/>
  <c r="D219" i="3" s="1"/>
  <c r="C220" i="3"/>
  <c r="D220" i="3" s="1"/>
  <c r="C221" i="3"/>
  <c r="D221" i="3" s="1"/>
  <c r="C222" i="3"/>
  <c r="D222" i="3" s="1"/>
  <c r="C223" i="3"/>
  <c r="D223" i="3" s="1"/>
  <c r="C224" i="3"/>
  <c r="D224" i="3" s="1"/>
  <c r="C225" i="3"/>
  <c r="D225" i="3" s="1"/>
  <c r="C226" i="3"/>
  <c r="D226" i="3" s="1"/>
  <c r="C227" i="3"/>
  <c r="D227" i="3" s="1"/>
  <c r="C228" i="3"/>
  <c r="D228" i="3" s="1"/>
  <c r="C229" i="3"/>
  <c r="D229" i="3" s="1"/>
  <c r="C230" i="3"/>
  <c r="D230" i="3" s="1"/>
  <c r="C231" i="3"/>
  <c r="D231" i="3" s="1"/>
  <c r="C232" i="3"/>
  <c r="D232" i="3" s="1"/>
  <c r="C233" i="3"/>
  <c r="D233" i="3" s="1"/>
  <c r="C234" i="3"/>
  <c r="D234" i="3" s="1"/>
  <c r="C235" i="3"/>
  <c r="D235" i="3" s="1"/>
  <c r="C236" i="3"/>
  <c r="D236" i="3" s="1"/>
  <c r="C237" i="3"/>
  <c r="D237" i="3" s="1"/>
  <c r="C238" i="3"/>
  <c r="D238" i="3" s="1"/>
  <c r="C239" i="3"/>
  <c r="D239" i="3" s="1"/>
  <c r="C240" i="3"/>
  <c r="D240" i="3" s="1"/>
  <c r="C241" i="3"/>
  <c r="D241" i="3" s="1"/>
  <c r="C242" i="3"/>
  <c r="D242" i="3" s="1"/>
  <c r="C243" i="3"/>
  <c r="D243" i="3" s="1"/>
  <c r="C244" i="3"/>
  <c r="D244" i="3" s="1"/>
  <c r="C245" i="3"/>
  <c r="D245" i="3" s="1"/>
  <c r="C246" i="3"/>
  <c r="D246" i="3" s="1"/>
  <c r="C247" i="3"/>
  <c r="D247" i="3" s="1"/>
  <c r="C248" i="3"/>
  <c r="D248" i="3" s="1"/>
  <c r="C249" i="3"/>
  <c r="D249" i="3" s="1"/>
  <c r="C250" i="3"/>
  <c r="D250" i="3" s="1"/>
  <c r="C251" i="3"/>
  <c r="D251" i="3" s="1"/>
  <c r="C252" i="3"/>
  <c r="D252" i="3" s="1"/>
  <c r="C253" i="3"/>
  <c r="D253" i="3" s="1"/>
  <c r="C254" i="3"/>
  <c r="D254" i="3" s="1"/>
  <c r="C255" i="3"/>
  <c r="D255" i="3" s="1"/>
  <c r="C256" i="3"/>
  <c r="D256" i="3" s="1"/>
  <c r="C257" i="3"/>
  <c r="D257" i="3" s="1"/>
  <c r="C258" i="3"/>
  <c r="D258" i="3" s="1"/>
  <c r="C209" i="3"/>
  <c r="D209" i="3" s="1"/>
  <c r="C210" i="3"/>
  <c r="D210" i="3" s="1"/>
  <c r="C15" i="3"/>
  <c r="D15" i="3" s="1"/>
  <c r="C10" i="3"/>
  <c r="D10" i="3" s="1"/>
  <c r="C11" i="3"/>
  <c r="D11" i="3" s="1"/>
  <c r="C12" i="3"/>
  <c r="D12" i="3" s="1"/>
  <c r="C13" i="3"/>
  <c r="D13" i="3" s="1"/>
  <c r="C14" i="3"/>
  <c r="D14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D53" i="3" s="1"/>
  <c r="C54" i="3"/>
  <c r="D54" i="3" s="1"/>
  <c r="C55" i="3"/>
  <c r="D55" i="3" s="1"/>
  <c r="C56" i="3"/>
  <c r="D56" i="3" s="1"/>
  <c r="C57" i="3"/>
  <c r="D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D65" i="3" s="1"/>
  <c r="C66" i="3"/>
  <c r="D66" i="3" s="1"/>
  <c r="C67" i="3"/>
  <c r="D67" i="3" s="1"/>
  <c r="C68" i="3"/>
  <c r="D68" i="3" s="1"/>
  <c r="C69" i="3"/>
  <c r="D69" i="3" s="1"/>
  <c r="C70" i="3"/>
  <c r="D70" i="3" s="1"/>
  <c r="C71" i="3"/>
  <c r="D71" i="3" s="1"/>
  <c r="C72" i="3"/>
  <c r="D72" i="3" s="1"/>
  <c r="C73" i="3"/>
  <c r="D73" i="3" s="1"/>
  <c r="C74" i="3"/>
  <c r="D74" i="3" s="1"/>
  <c r="C75" i="3"/>
  <c r="D75" i="3" s="1"/>
  <c r="C76" i="3"/>
  <c r="D76" i="3" s="1"/>
  <c r="C77" i="3"/>
  <c r="D77" i="3" s="1"/>
  <c r="C78" i="3"/>
  <c r="D78" i="3" s="1"/>
  <c r="C79" i="3"/>
  <c r="D79" i="3" s="1"/>
  <c r="C80" i="3"/>
  <c r="D80" i="3" s="1"/>
  <c r="C81" i="3"/>
  <c r="D81" i="3" s="1"/>
  <c r="C82" i="3"/>
  <c r="D82" i="3" s="1"/>
  <c r="C83" i="3"/>
  <c r="D83" i="3" s="1"/>
  <c r="C84" i="3"/>
  <c r="D84" i="3" s="1"/>
  <c r="C85" i="3"/>
  <c r="D85" i="3" s="1"/>
  <c r="C86" i="3"/>
  <c r="D86" i="3" s="1"/>
  <c r="C87" i="3"/>
  <c r="D87" i="3" s="1"/>
  <c r="C88" i="3"/>
  <c r="D88" i="3" s="1"/>
  <c r="C89" i="3"/>
  <c r="D89" i="3" s="1"/>
  <c r="C90" i="3"/>
  <c r="D90" i="3" s="1"/>
  <c r="C91" i="3"/>
  <c r="D91" i="3" s="1"/>
  <c r="C92" i="3"/>
  <c r="D92" i="3" s="1"/>
  <c r="C93" i="3"/>
  <c r="D93" i="3" s="1"/>
  <c r="C94" i="3"/>
  <c r="D94" i="3" s="1"/>
  <c r="C95" i="3"/>
  <c r="D95" i="3" s="1"/>
  <c r="C96" i="3"/>
  <c r="D96" i="3" s="1"/>
  <c r="C97" i="3"/>
  <c r="D97" i="3" s="1"/>
  <c r="C98" i="3"/>
  <c r="D98" i="3" s="1"/>
  <c r="C99" i="3"/>
  <c r="D99" i="3" s="1"/>
  <c r="C100" i="3"/>
  <c r="D100" i="3" s="1"/>
  <c r="C101" i="3"/>
  <c r="D101" i="3" s="1"/>
  <c r="C102" i="3"/>
  <c r="D102" i="3" s="1"/>
  <c r="C103" i="3"/>
  <c r="D103" i="3" s="1"/>
  <c r="C104" i="3"/>
  <c r="D104" i="3" s="1"/>
  <c r="C105" i="3"/>
  <c r="D105" i="3" s="1"/>
  <c r="C106" i="3"/>
  <c r="D106" i="3" s="1"/>
  <c r="C107" i="3"/>
  <c r="D107" i="3" s="1"/>
  <c r="C108" i="3"/>
  <c r="D108" i="3" s="1"/>
  <c r="C109" i="3"/>
  <c r="D109" i="3" s="1"/>
  <c r="C110" i="3"/>
  <c r="D110" i="3" s="1"/>
  <c r="C111" i="3"/>
  <c r="D111" i="3" s="1"/>
  <c r="C112" i="3"/>
  <c r="D112" i="3" s="1"/>
  <c r="C113" i="3"/>
  <c r="D113" i="3" s="1"/>
  <c r="C114" i="3"/>
  <c r="D114" i="3" s="1"/>
  <c r="C115" i="3"/>
  <c r="D115" i="3" s="1"/>
  <c r="C116" i="3"/>
  <c r="D116" i="3" s="1"/>
  <c r="C117" i="3"/>
  <c r="D117" i="3" s="1"/>
  <c r="C118" i="3"/>
  <c r="D118" i="3" s="1"/>
  <c r="C119" i="3"/>
  <c r="D119" i="3" s="1"/>
  <c r="C120" i="3"/>
  <c r="D120" i="3" s="1"/>
  <c r="C121" i="3"/>
  <c r="D121" i="3" s="1"/>
  <c r="C122" i="3"/>
  <c r="D122" i="3" s="1"/>
  <c r="C123" i="3"/>
  <c r="D123" i="3" s="1"/>
  <c r="C124" i="3"/>
  <c r="D124" i="3" s="1"/>
  <c r="C125" i="3"/>
  <c r="D125" i="3" s="1"/>
  <c r="C126" i="3"/>
  <c r="D126" i="3" s="1"/>
  <c r="C127" i="3"/>
  <c r="D127" i="3" s="1"/>
  <c r="C128" i="3"/>
  <c r="D128" i="3" s="1"/>
  <c r="C129" i="3"/>
  <c r="D129" i="3" s="1"/>
  <c r="C130" i="3"/>
  <c r="D130" i="3" s="1"/>
  <c r="C131" i="3"/>
  <c r="D131" i="3" s="1"/>
  <c r="C132" i="3"/>
  <c r="D132" i="3" s="1"/>
  <c r="C133" i="3"/>
  <c r="D133" i="3" s="1"/>
  <c r="C134" i="3"/>
  <c r="D134" i="3" s="1"/>
  <c r="C135" i="3"/>
  <c r="D135" i="3" s="1"/>
  <c r="C136" i="3"/>
  <c r="D136" i="3" s="1"/>
  <c r="C137" i="3"/>
  <c r="D137" i="3" s="1"/>
  <c r="C138" i="3"/>
  <c r="D138" i="3" s="1"/>
  <c r="C139" i="3"/>
  <c r="D139" i="3" s="1"/>
  <c r="C140" i="3"/>
  <c r="D140" i="3" s="1"/>
  <c r="C141" i="3"/>
  <c r="D141" i="3" s="1"/>
  <c r="C142" i="3"/>
  <c r="D142" i="3" s="1"/>
  <c r="C143" i="3"/>
  <c r="D143" i="3" s="1"/>
  <c r="C144" i="3"/>
  <c r="D144" i="3" s="1"/>
  <c r="C145" i="3"/>
  <c r="D145" i="3" s="1"/>
  <c r="C146" i="3"/>
  <c r="D146" i="3" s="1"/>
  <c r="C147" i="3"/>
  <c r="D147" i="3" s="1"/>
  <c r="C148" i="3"/>
  <c r="D148" i="3" s="1"/>
  <c r="C149" i="3"/>
  <c r="D149" i="3" s="1"/>
  <c r="C150" i="3"/>
  <c r="D150" i="3" s="1"/>
  <c r="C151" i="3"/>
  <c r="D151" i="3" s="1"/>
  <c r="C152" i="3"/>
  <c r="D152" i="3" s="1"/>
  <c r="C153" i="3"/>
  <c r="D153" i="3" s="1"/>
  <c r="C154" i="3"/>
  <c r="D154" i="3" s="1"/>
  <c r="C155" i="3"/>
  <c r="D155" i="3" s="1"/>
  <c r="C156" i="3"/>
  <c r="D156" i="3" s="1"/>
  <c r="C157" i="3"/>
  <c r="D157" i="3" s="1"/>
  <c r="C158" i="3"/>
  <c r="D158" i="3" s="1"/>
  <c r="C159" i="3"/>
  <c r="D159" i="3" s="1"/>
  <c r="C160" i="3"/>
  <c r="D160" i="3" s="1"/>
  <c r="C161" i="3"/>
  <c r="D161" i="3" s="1"/>
  <c r="C162" i="3"/>
  <c r="D162" i="3" s="1"/>
  <c r="C163" i="3"/>
  <c r="D163" i="3" s="1"/>
  <c r="C164" i="3"/>
  <c r="D164" i="3" s="1"/>
  <c r="C165" i="3"/>
  <c r="D165" i="3" s="1"/>
  <c r="C166" i="3"/>
  <c r="D166" i="3" s="1"/>
  <c r="C167" i="3"/>
  <c r="D167" i="3" s="1"/>
  <c r="C168" i="3"/>
  <c r="D168" i="3" s="1"/>
  <c r="C169" i="3"/>
  <c r="D169" i="3" s="1"/>
  <c r="C170" i="3"/>
  <c r="D170" i="3" s="1"/>
  <c r="C171" i="3"/>
  <c r="D171" i="3" s="1"/>
  <c r="C172" i="3"/>
  <c r="D172" i="3" s="1"/>
  <c r="C173" i="3"/>
  <c r="D173" i="3" s="1"/>
  <c r="C174" i="3"/>
  <c r="D174" i="3" s="1"/>
  <c r="C175" i="3"/>
  <c r="D175" i="3" s="1"/>
  <c r="C176" i="3"/>
  <c r="D176" i="3" s="1"/>
  <c r="C177" i="3"/>
  <c r="D177" i="3" s="1"/>
  <c r="C178" i="3"/>
  <c r="D178" i="3" s="1"/>
  <c r="C179" i="3"/>
  <c r="D179" i="3" s="1"/>
  <c r="C180" i="3"/>
  <c r="D180" i="3" s="1"/>
  <c r="C181" i="3"/>
  <c r="D181" i="3" s="1"/>
  <c r="C182" i="3"/>
  <c r="D182" i="3" s="1"/>
  <c r="C183" i="3"/>
  <c r="D183" i="3" s="1"/>
  <c r="C184" i="3"/>
  <c r="D184" i="3" s="1"/>
  <c r="C185" i="3"/>
  <c r="D185" i="3" s="1"/>
  <c r="C186" i="3"/>
  <c r="D186" i="3" s="1"/>
  <c r="C187" i="3"/>
  <c r="D187" i="3" s="1"/>
  <c r="C188" i="3"/>
  <c r="D188" i="3" s="1"/>
  <c r="C189" i="3"/>
  <c r="D189" i="3" s="1"/>
  <c r="C190" i="3"/>
  <c r="D190" i="3" s="1"/>
  <c r="C191" i="3"/>
  <c r="D191" i="3" s="1"/>
  <c r="C192" i="3"/>
  <c r="D192" i="3" s="1"/>
  <c r="C193" i="3"/>
  <c r="D193" i="3" s="1"/>
  <c r="C194" i="3"/>
  <c r="D194" i="3" s="1"/>
  <c r="C195" i="3"/>
  <c r="D195" i="3" s="1"/>
  <c r="C196" i="3"/>
  <c r="D196" i="3" s="1"/>
  <c r="C197" i="3"/>
  <c r="D197" i="3" s="1"/>
  <c r="C198" i="3"/>
  <c r="D198" i="3" s="1"/>
  <c r="C199" i="3"/>
  <c r="D199" i="3" s="1"/>
  <c r="C200" i="3"/>
  <c r="D200" i="3" s="1"/>
  <c r="C201" i="3"/>
  <c r="D201" i="3" s="1"/>
  <c r="C202" i="3"/>
  <c r="D202" i="3" s="1"/>
  <c r="C203" i="3"/>
  <c r="D203" i="3" s="1"/>
  <c r="C204" i="3"/>
  <c r="D204" i="3" s="1"/>
  <c r="C205" i="3"/>
  <c r="D205" i="3" s="1"/>
  <c r="C206" i="3"/>
  <c r="D206" i="3" s="1"/>
  <c r="C207" i="3"/>
  <c r="D207" i="3" s="1"/>
  <c r="C208" i="3"/>
  <c r="D208" i="3" s="1"/>
  <c r="C9" i="3"/>
  <c r="D9" i="3" s="1"/>
  <c r="F29" i="3"/>
  <c r="F28" i="3"/>
  <c r="G84" i="11"/>
  <c r="G61" i="11"/>
  <c r="G60" i="11"/>
  <c r="G58" i="11"/>
  <c r="G57" i="11"/>
  <c r="F62" i="11"/>
  <c r="F60" i="11"/>
  <c r="F59" i="11"/>
  <c r="F57" i="11"/>
  <c r="G24" i="11"/>
  <c r="G22" i="11"/>
  <c r="F26" i="11"/>
  <c r="F24" i="11"/>
  <c r="F21" i="11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10" i="2"/>
  <c r="G46" i="17" l="1"/>
  <c r="J18" i="17" a="1"/>
  <c r="J17" i="17" a="1"/>
  <c r="N102" i="11"/>
  <c r="I102" i="11"/>
  <c r="G88" i="11"/>
  <c r="J17" i="24"/>
  <c r="C20" i="25"/>
  <c r="G58" i="20"/>
  <c r="G40" i="20"/>
  <c r="G47" i="20" s="1"/>
  <c r="G32" i="20"/>
  <c r="G30" i="20" a="1"/>
  <c r="G62" i="5"/>
  <c r="G57" i="5"/>
  <c r="G63" i="5"/>
  <c r="H34" i="5"/>
  <c r="H44" i="5"/>
  <c r="H45" i="5"/>
  <c r="H46" i="5"/>
  <c r="H47" i="5"/>
  <c r="H48" i="5"/>
  <c r="H49" i="5"/>
  <c r="G29" i="5"/>
  <c r="H43" i="5"/>
  <c r="H41" i="5"/>
  <c r="H40" i="5"/>
  <c r="H38" i="5"/>
  <c r="H35" i="5"/>
  <c r="H42" i="5"/>
  <c r="H37" i="5"/>
  <c r="H36" i="5"/>
  <c r="H39" i="5"/>
  <c r="H17" i="19"/>
  <c r="G71" i="11" a="1"/>
  <c r="G35" i="11" a="1"/>
  <c r="F309" i="24"/>
  <c r="K13" i="6"/>
  <c r="L13" i="6" s="1"/>
  <c r="F191" i="6"/>
  <c r="F198" i="6"/>
  <c r="F203" i="6"/>
  <c r="F207" i="6"/>
  <c r="K12" i="6"/>
  <c r="L12" i="6" s="1"/>
  <c r="F150" i="6"/>
  <c r="F152" i="6"/>
  <c r="F154" i="6"/>
  <c r="F156" i="6"/>
  <c r="F160" i="6"/>
  <c r="F163" i="6"/>
  <c r="F165" i="6"/>
  <c r="F168" i="6"/>
  <c r="F171" i="6"/>
  <c r="F173" i="6"/>
  <c r="F175" i="6"/>
  <c r="F179" i="6"/>
  <c r="F181" i="6"/>
  <c r="F184" i="6"/>
  <c r="F187" i="6"/>
  <c r="K11" i="6"/>
  <c r="L11" i="6" s="1"/>
  <c r="F96" i="6"/>
  <c r="F105" i="6"/>
  <c r="F109" i="6"/>
  <c r="F113" i="6"/>
  <c r="F117" i="6"/>
  <c r="F122" i="6"/>
  <c r="F126" i="6"/>
  <c r="F130" i="6"/>
  <c r="F137" i="6"/>
  <c r="F142" i="6"/>
  <c r="F146" i="6"/>
  <c r="I10" i="20"/>
  <c r="I11" i="20"/>
  <c r="I12" i="20"/>
  <c r="I13" i="20"/>
  <c r="I15" i="20"/>
  <c r="I16" i="20"/>
  <c r="I17" i="20"/>
  <c r="I18" i="20"/>
  <c r="I19" i="20"/>
  <c r="I14" i="20"/>
  <c r="H11" i="5"/>
  <c r="H13" i="5"/>
  <c r="H14" i="5"/>
  <c r="H15" i="5"/>
  <c r="H16" i="5"/>
  <c r="H17" i="5"/>
  <c r="H18" i="5"/>
  <c r="H19" i="5"/>
  <c r="H20" i="5"/>
  <c r="H20" i="18"/>
  <c r="H19" i="18"/>
  <c r="H18" i="18"/>
  <c r="H17" i="18"/>
  <c r="I20" i="23"/>
  <c r="K22" i="23"/>
  <c r="I22" i="23"/>
  <c r="K20" i="23"/>
  <c r="J11" i="25"/>
  <c r="K11" i="25"/>
  <c r="I13" i="25"/>
  <c r="C22" i="25" s="1"/>
  <c r="J13" i="25"/>
  <c r="D22" i="25" s="1"/>
  <c r="K13" i="25"/>
  <c r="E22" i="25" s="1"/>
  <c r="K12" i="25"/>
  <c r="E21" i="25" s="1"/>
  <c r="J12" i="25"/>
  <c r="D21" i="25" s="1"/>
  <c r="I12" i="25"/>
  <c r="D15" i="25"/>
  <c r="C15" i="25"/>
  <c r="F15" i="25" s="1"/>
  <c r="K14" i="25"/>
  <c r="E23" i="25" s="1"/>
  <c r="E15" i="25"/>
  <c r="J14" i="25"/>
  <c r="D23" i="25" s="1"/>
  <c r="I14" i="25"/>
  <c r="K21" i="23"/>
  <c r="I21" i="23"/>
  <c r="I21" i="6"/>
  <c r="I22" i="6"/>
  <c r="F116" i="24"/>
  <c r="F125" i="24"/>
  <c r="F130" i="24"/>
  <c r="F140" i="24"/>
  <c r="F143" i="24"/>
  <c r="F151" i="24"/>
  <c r="F158" i="24"/>
  <c r="F160" i="24"/>
  <c r="F164" i="24"/>
  <c r="F173" i="24"/>
  <c r="F174" i="24"/>
  <c r="F180" i="24"/>
  <c r="F185" i="24"/>
  <c r="F190" i="24"/>
  <c r="F192" i="24"/>
  <c r="F194" i="24"/>
  <c r="F198" i="24"/>
  <c r="F199" i="24"/>
  <c r="F205" i="24"/>
  <c r="F206" i="24"/>
  <c r="F211" i="24"/>
  <c r="F215" i="24"/>
  <c r="F217" i="24"/>
  <c r="F222" i="24"/>
  <c r="F229" i="24"/>
  <c r="F236" i="24"/>
  <c r="F244" i="24"/>
  <c r="F248" i="24"/>
  <c r="F251" i="24"/>
  <c r="F254" i="24"/>
  <c r="F263" i="24"/>
  <c r="F270" i="24"/>
  <c r="F273" i="24"/>
  <c r="F283" i="24"/>
  <c r="F285" i="24"/>
  <c r="F292" i="24"/>
  <c r="F295" i="24"/>
  <c r="F23" i="24"/>
  <c r="F27" i="24"/>
  <c r="F30" i="24"/>
  <c r="F33" i="24"/>
  <c r="F36" i="24"/>
  <c r="F41" i="24"/>
  <c r="F44" i="24"/>
  <c r="F46" i="24"/>
  <c r="F50" i="24"/>
  <c r="F55" i="24"/>
  <c r="F60" i="24"/>
  <c r="F63" i="24"/>
  <c r="F66" i="24"/>
  <c r="F69" i="24"/>
  <c r="F78" i="24"/>
  <c r="F81" i="24"/>
  <c r="F87" i="24"/>
  <c r="F93" i="24"/>
  <c r="F97" i="24"/>
  <c r="F105" i="24"/>
  <c r="F108" i="24"/>
  <c r="F111" i="24"/>
  <c r="F122" i="24"/>
  <c r="F127" i="24"/>
  <c r="F147" i="24"/>
  <c r="F150" i="24"/>
  <c r="F155" i="24"/>
  <c r="F169" i="24"/>
  <c r="F183" i="24"/>
  <c r="F188" i="24"/>
  <c r="F196" i="24"/>
  <c r="F201" i="24"/>
  <c r="F237" i="24"/>
  <c r="F242" i="24"/>
  <c r="F245" i="24"/>
  <c r="F256" i="24"/>
  <c r="F259" i="24"/>
  <c r="F269" i="24"/>
  <c r="F278" i="24"/>
  <c r="F282" i="24"/>
  <c r="F289" i="24"/>
  <c r="F304" i="24"/>
  <c r="F307" i="24"/>
  <c r="F308" i="24"/>
  <c r="F11" i="24"/>
  <c r="F13" i="24"/>
  <c r="F14" i="24"/>
  <c r="F15" i="24"/>
  <c r="F16" i="24"/>
  <c r="F17" i="24"/>
  <c r="F18" i="24"/>
  <c r="F20" i="24"/>
  <c r="F21" i="24"/>
  <c r="F22" i="24"/>
  <c r="F24" i="24"/>
  <c r="F25" i="24"/>
  <c r="F26" i="24"/>
  <c r="F28" i="24"/>
  <c r="F32" i="24"/>
  <c r="F34" i="24"/>
  <c r="F37" i="24"/>
  <c r="F43" i="24"/>
  <c r="F45" i="24"/>
  <c r="F48" i="24"/>
  <c r="F56" i="24"/>
  <c r="F61" i="24"/>
  <c r="F65" i="24"/>
  <c r="F68" i="24"/>
  <c r="F70" i="24"/>
  <c r="F79" i="24"/>
  <c r="F83" i="24"/>
  <c r="F85" i="24"/>
  <c r="F94" i="24"/>
  <c r="F98" i="24"/>
  <c r="F114" i="24"/>
  <c r="F118" i="24"/>
  <c r="F123" i="24"/>
  <c r="F129" i="24"/>
  <c r="F137" i="24"/>
  <c r="F146" i="24"/>
  <c r="F177" i="24"/>
  <c r="F179" i="24"/>
  <c r="F182" i="24"/>
  <c r="F186" i="24"/>
  <c r="F191" i="24"/>
  <c r="F200" i="24"/>
  <c r="F216" i="24"/>
  <c r="F223" i="24"/>
  <c r="F227" i="24"/>
  <c r="F258" i="24"/>
  <c r="F260" i="24"/>
  <c r="F288" i="24"/>
  <c r="F293" i="24"/>
  <c r="F300" i="24"/>
  <c r="F302" i="24"/>
  <c r="F306" i="24"/>
  <c r="F12" i="24"/>
  <c r="F29" i="24"/>
  <c r="F39" i="24"/>
  <c r="F42" i="24"/>
  <c r="F47" i="24"/>
  <c r="F51" i="24"/>
  <c r="F53" i="24"/>
  <c r="F58" i="24"/>
  <c r="F64" i="24"/>
  <c r="F71" i="24"/>
  <c r="F74" i="24"/>
  <c r="F76" i="24"/>
  <c r="F86" i="24"/>
  <c r="F89" i="24"/>
  <c r="F99" i="24"/>
  <c r="F102" i="24"/>
  <c r="F119" i="24"/>
  <c r="F126" i="24"/>
  <c r="F135" i="24"/>
  <c r="F148" i="24"/>
  <c r="F156" i="24"/>
  <c r="F167" i="24"/>
  <c r="F203" i="24"/>
  <c r="F230" i="24"/>
  <c r="F235" i="24"/>
  <c r="F243" i="24"/>
  <c r="F253" i="24"/>
  <c r="F262" i="24"/>
  <c r="F266" i="24"/>
  <c r="F284" i="24"/>
  <c r="F296" i="24"/>
  <c r="F10" i="24"/>
  <c r="F59" i="24"/>
  <c r="F72" i="24"/>
  <c r="F75" i="24"/>
  <c r="F80" i="24"/>
  <c r="F82" i="24"/>
  <c r="F84" i="24"/>
  <c r="F90" i="24"/>
  <c r="F92" i="24"/>
  <c r="F95" i="24"/>
  <c r="F103" i="24"/>
  <c r="F107" i="24"/>
  <c r="F109" i="24"/>
  <c r="F112" i="24"/>
  <c r="F113" i="24"/>
  <c r="F117" i="24"/>
  <c r="F121" i="24"/>
  <c r="F134" i="24"/>
  <c r="F136" i="24"/>
  <c r="F142" i="24"/>
  <c r="F144" i="24"/>
  <c r="F153" i="24"/>
  <c r="F154" i="24"/>
  <c r="F161" i="24"/>
  <c r="F166" i="24"/>
  <c r="F170" i="24"/>
  <c r="F172" i="24"/>
  <c r="F176" i="24"/>
  <c r="F181" i="24"/>
  <c r="F187" i="24"/>
  <c r="F189" i="24"/>
  <c r="F193" i="24"/>
  <c r="F197" i="24"/>
  <c r="F202" i="24"/>
  <c r="F209" i="24"/>
  <c r="F214" i="24"/>
  <c r="F219" i="24"/>
  <c r="F224" i="24"/>
  <c r="F228" i="24"/>
  <c r="F232" i="24"/>
  <c r="F239" i="24"/>
  <c r="F240" i="24"/>
  <c r="F247" i="24"/>
  <c r="F249" i="24"/>
  <c r="F264" i="24"/>
  <c r="F267" i="24"/>
  <c r="F268" i="24"/>
  <c r="F271" i="24"/>
  <c r="F274" i="24"/>
  <c r="F277" i="24"/>
  <c r="F280" i="24"/>
  <c r="F286" i="24"/>
  <c r="F290" i="24"/>
  <c r="F299" i="24"/>
  <c r="F301" i="24"/>
  <c r="F303" i="24"/>
  <c r="F305" i="24"/>
  <c r="F19" i="24"/>
  <c r="F31" i="24"/>
  <c r="F35" i="24"/>
  <c r="F38" i="24"/>
  <c r="F40" i="24"/>
  <c r="F49" i="24"/>
  <c r="F52" i="24"/>
  <c r="F54" i="24"/>
  <c r="F57" i="24"/>
  <c r="F62" i="24"/>
  <c r="F67" i="24"/>
  <c r="F73" i="24"/>
  <c r="F77" i="24"/>
  <c r="F88" i="24"/>
  <c r="F91" i="24"/>
  <c r="F100" i="24"/>
  <c r="F101" i="24"/>
  <c r="F104" i="24"/>
  <c r="F110" i="24"/>
  <c r="F120" i="24"/>
  <c r="F139" i="24"/>
  <c r="F152" i="24"/>
  <c r="F165" i="24"/>
  <c r="F168" i="24"/>
  <c r="F171" i="24"/>
  <c r="F184" i="24"/>
  <c r="F204" i="24"/>
  <c r="F210" i="24"/>
  <c r="F213" i="24"/>
  <c r="F218" i="24"/>
  <c r="F221" i="24"/>
  <c r="F226" i="24"/>
  <c r="F231" i="24"/>
  <c r="F234" i="24"/>
  <c r="F241" i="24"/>
  <c r="F265" i="24"/>
  <c r="F281" i="24"/>
  <c r="F298" i="24"/>
  <c r="F96" i="24"/>
  <c r="F106" i="24"/>
  <c r="F115" i="24"/>
  <c r="F124" i="24"/>
  <c r="F128" i="24"/>
  <c r="F131" i="24"/>
  <c r="F132" i="24"/>
  <c r="F133" i="24"/>
  <c r="F138" i="24"/>
  <c r="F141" i="24"/>
  <c r="F145" i="24"/>
  <c r="F149" i="24"/>
  <c r="F157" i="24"/>
  <c r="F159" i="24"/>
  <c r="F162" i="24"/>
  <c r="F163" i="24"/>
  <c r="F175" i="24"/>
  <c r="F178" i="24"/>
  <c r="F195" i="24"/>
  <c r="F207" i="24"/>
  <c r="F208" i="24"/>
  <c r="F212" i="24"/>
  <c r="F220" i="24"/>
  <c r="F225" i="24"/>
  <c r="F233" i="24"/>
  <c r="F238" i="24"/>
  <c r="F246" i="24"/>
  <c r="F250" i="24"/>
  <c r="F252" i="24"/>
  <c r="F255" i="24"/>
  <c r="F257" i="24"/>
  <c r="F261" i="24"/>
  <c r="F272" i="24"/>
  <c r="F275" i="24"/>
  <c r="F276" i="24"/>
  <c r="F279" i="24"/>
  <c r="F287" i="24"/>
  <c r="F291" i="24"/>
  <c r="F294" i="24"/>
  <c r="F297" i="24"/>
  <c r="J25" i="24"/>
  <c r="L24" i="24"/>
  <c r="L23" i="24"/>
  <c r="L22" i="24"/>
  <c r="K25" i="24"/>
  <c r="L5" i="22"/>
  <c r="O4" i="22" s="1"/>
  <c r="O5" i="22" s="1"/>
  <c r="O6" i="22" s="1"/>
  <c r="O7" i="22" s="1"/>
  <c r="O8" i="22" s="1"/>
  <c r="O9" i="22" s="1"/>
  <c r="O10" i="22" s="1"/>
  <c r="O11" i="22" s="1"/>
  <c r="O12" i="22" s="1"/>
  <c r="O13" i="22" s="1"/>
  <c r="O14" i="22" s="1"/>
  <c r="O15" i="22" s="1"/>
  <c r="V3" i="22"/>
  <c r="V5" i="22"/>
  <c r="V6" i="22"/>
  <c r="V7" i="22"/>
  <c r="V8" i="22"/>
  <c r="V9" i="22"/>
  <c r="V10" i="22"/>
  <c r="V11" i="22"/>
  <c r="V13" i="22"/>
  <c r="V14" i="22"/>
  <c r="V15" i="22"/>
  <c r="V16" i="22"/>
  <c r="V17" i="22"/>
  <c r="V18" i="22"/>
  <c r="V23" i="22"/>
  <c r="V24" i="22"/>
  <c r="V25" i="22"/>
  <c r="V27" i="22"/>
  <c r="V4" i="22"/>
  <c r="V12" i="22"/>
  <c r="V19" i="22"/>
  <c r="V20" i="22"/>
  <c r="V21" i="22"/>
  <c r="V22" i="22"/>
  <c r="V26" i="22"/>
  <c r="H3" i="22"/>
  <c r="H4" i="22"/>
  <c r="H1001" i="22"/>
  <c r="H1000" i="22"/>
  <c r="H999" i="22"/>
  <c r="H998" i="22"/>
  <c r="H996" i="22"/>
  <c r="H995" i="22"/>
  <c r="H994" i="22"/>
  <c r="H992" i="22"/>
  <c r="H991" i="22"/>
  <c r="H990" i="22"/>
  <c r="H989" i="22"/>
  <c r="H987" i="22"/>
  <c r="H983" i="22"/>
  <c r="H980" i="22"/>
  <c r="H977" i="22"/>
  <c r="H971" i="22"/>
  <c r="H969" i="22"/>
  <c r="H966" i="22"/>
  <c r="H965" i="22"/>
  <c r="H963" i="22"/>
  <c r="H962" i="22"/>
  <c r="H960" i="22"/>
  <c r="H952" i="22"/>
  <c r="H948" i="22"/>
  <c r="H947" i="22"/>
  <c r="H946" i="22"/>
  <c r="H945" i="22"/>
  <c r="H944" i="22"/>
  <c r="H943" i="22"/>
  <c r="H942" i="22"/>
  <c r="H941" i="22"/>
  <c r="H939" i="22"/>
  <c r="H937" i="22"/>
  <c r="H936" i="22"/>
  <c r="H854" i="22"/>
  <c r="H853" i="22"/>
  <c r="H852" i="22"/>
  <c r="H848" i="22"/>
  <c r="H847" i="22"/>
  <c r="H846" i="22"/>
  <c r="H845" i="22"/>
  <c r="H844" i="22"/>
  <c r="H843" i="22"/>
  <c r="H842" i="22"/>
  <c r="H841" i="22"/>
  <c r="H840" i="22"/>
  <c r="H839" i="22"/>
  <c r="H838" i="22"/>
  <c r="H837" i="22"/>
  <c r="H836" i="22"/>
  <c r="H835" i="22"/>
  <c r="H834" i="22"/>
  <c r="H833" i="22"/>
  <c r="H832" i="22"/>
  <c r="H830" i="22"/>
  <c r="H829" i="22"/>
  <c r="H828" i="22"/>
  <c r="H827" i="22"/>
  <c r="H825" i="22"/>
  <c r="H824" i="22"/>
  <c r="H823" i="22"/>
  <c r="H822" i="22"/>
  <c r="H821" i="22"/>
  <c r="H819" i="22"/>
  <c r="H818" i="22"/>
  <c r="H817" i="22"/>
  <c r="H816" i="22"/>
  <c r="H815" i="22"/>
  <c r="H814" i="22"/>
  <c r="H813" i="22"/>
  <c r="H812" i="22"/>
  <c r="H811" i="22"/>
  <c r="H810" i="22"/>
  <c r="H808" i="22"/>
  <c r="H807" i="22"/>
  <c r="H806" i="22"/>
  <c r="H805" i="22"/>
  <c r="H804" i="22"/>
  <c r="H802" i="22"/>
  <c r="H801" i="22"/>
  <c r="H786" i="22"/>
  <c r="H785" i="22"/>
  <c r="H784" i="22"/>
  <c r="H783" i="22"/>
  <c r="H782" i="22"/>
  <c r="H781" i="22"/>
  <c r="H780" i="22"/>
  <c r="H779" i="22"/>
  <c r="H778" i="22"/>
  <c r="H777" i="22"/>
  <c r="H776" i="22"/>
  <c r="H775" i="22"/>
  <c r="H774" i="22"/>
  <c r="H773" i="22"/>
  <c r="H772" i="22"/>
  <c r="H771" i="22"/>
  <c r="H770" i="22"/>
  <c r="H769" i="22"/>
  <c r="H768" i="22"/>
  <c r="H767" i="22"/>
  <c r="H765" i="22"/>
  <c r="H762" i="22"/>
  <c r="H761" i="22"/>
  <c r="H760" i="22"/>
  <c r="H759" i="22"/>
  <c r="H758" i="22"/>
  <c r="H757" i="22"/>
  <c r="H755" i="22"/>
  <c r="H753" i="22"/>
  <c r="H752" i="22"/>
  <c r="H751" i="22"/>
  <c r="H750" i="22"/>
  <c r="H749" i="22"/>
  <c r="H748" i="22"/>
  <c r="H747" i="22"/>
  <c r="H746" i="22"/>
  <c r="H744" i="22"/>
  <c r="H743" i="22"/>
  <c r="H742" i="22"/>
  <c r="H741" i="22"/>
  <c r="H740" i="22"/>
  <c r="H739" i="22"/>
  <c r="H738" i="22"/>
  <c r="H737" i="22"/>
  <c r="H736" i="22"/>
  <c r="H735" i="22"/>
  <c r="H734" i="22"/>
  <c r="H733" i="22"/>
  <c r="H732" i="22"/>
  <c r="H731" i="22"/>
  <c r="H730" i="22"/>
  <c r="H729" i="22"/>
  <c r="H727" i="22"/>
  <c r="H726" i="22"/>
  <c r="H725" i="22"/>
  <c r="H715" i="22"/>
  <c r="H714" i="22"/>
  <c r="H713" i="22"/>
  <c r="H711" i="22"/>
  <c r="H710" i="22"/>
  <c r="H709" i="22"/>
  <c r="H708" i="22"/>
  <c r="H703" i="22"/>
  <c r="H702" i="22"/>
  <c r="H701" i="22"/>
  <c r="H700" i="22"/>
  <c r="H986" i="22"/>
  <c r="H984" i="22"/>
  <c r="H981" i="22"/>
  <c r="H975" i="22"/>
  <c r="H972" i="22"/>
  <c r="H968" i="22"/>
  <c r="H698" i="22"/>
  <c r="H696" i="22"/>
  <c r="H694" i="22"/>
  <c r="H693" i="22"/>
  <c r="H691" i="22"/>
  <c r="H689" i="22"/>
  <c r="H687" i="22"/>
  <c r="H685" i="22"/>
  <c r="H683" i="22"/>
  <c r="H681" i="22"/>
  <c r="H679" i="22"/>
  <c r="H677" i="22"/>
  <c r="H673" i="22"/>
  <c r="H671" i="22"/>
  <c r="H670" i="22"/>
  <c r="H666" i="22"/>
  <c r="H662" i="22"/>
  <c r="H660" i="22"/>
  <c r="H658" i="22"/>
  <c r="H657" i="22"/>
  <c r="H655" i="22"/>
  <c r="H654" i="22"/>
  <c r="H651" i="22"/>
  <c r="H650" i="22"/>
  <c r="H649" i="22"/>
  <c r="H648" i="22"/>
  <c r="H647" i="22"/>
  <c r="H646" i="22"/>
  <c r="H645" i="22"/>
  <c r="H644" i="22"/>
  <c r="H643" i="22"/>
  <c r="H642" i="22"/>
  <c r="H641" i="22"/>
  <c r="H640" i="22"/>
  <c r="H638" i="22"/>
  <c r="H637" i="22"/>
  <c r="H635" i="22"/>
  <c r="H634" i="22"/>
  <c r="H633" i="22"/>
  <c r="H632" i="22"/>
  <c r="H629" i="22"/>
  <c r="H627" i="22"/>
  <c r="H613" i="22"/>
  <c r="H610" i="22"/>
  <c r="H609" i="22"/>
  <c r="H608" i="22"/>
  <c r="H607" i="22"/>
  <c r="H605" i="22"/>
  <c r="H604" i="22"/>
  <c r="H603" i="22"/>
  <c r="H602" i="22"/>
  <c r="H601" i="22"/>
  <c r="H600" i="22"/>
  <c r="H598" i="22"/>
  <c r="H596" i="22"/>
  <c r="H595" i="22"/>
  <c r="H594" i="22"/>
  <c r="H593" i="22"/>
  <c r="H592" i="22"/>
  <c r="H591" i="22"/>
  <c r="H590" i="22"/>
  <c r="H589" i="22"/>
  <c r="H588" i="22"/>
  <c r="H587" i="22"/>
  <c r="H586" i="22"/>
  <c r="H585" i="22"/>
  <c r="H584" i="22"/>
  <c r="H582" i="22"/>
  <c r="H581" i="22"/>
  <c r="H580" i="22"/>
  <c r="H579" i="22"/>
  <c r="H578" i="22"/>
  <c r="H577" i="22"/>
  <c r="H576" i="22"/>
  <c r="H575" i="22"/>
  <c r="H574" i="22"/>
  <c r="H573" i="22"/>
  <c r="H572" i="22"/>
  <c r="H571" i="22"/>
  <c r="H570" i="22"/>
  <c r="H569" i="22"/>
  <c r="H567" i="22"/>
  <c r="H566" i="22"/>
  <c r="H564" i="22"/>
  <c r="H563" i="22"/>
  <c r="H561" i="22"/>
  <c r="H559" i="22"/>
  <c r="H558" i="22"/>
  <c r="H557" i="22"/>
  <c r="H556" i="22"/>
  <c r="H555" i="22"/>
  <c r="H553" i="22"/>
  <c r="H550" i="22"/>
  <c r="H549" i="22"/>
  <c r="H548" i="22"/>
  <c r="H547" i="22"/>
  <c r="H546" i="22"/>
  <c r="H532" i="22"/>
  <c r="H531" i="22"/>
  <c r="H530" i="22"/>
  <c r="H529" i="22"/>
  <c r="H527" i="22"/>
  <c r="H524" i="22"/>
  <c r="H523" i="22"/>
  <c r="H522" i="22"/>
  <c r="H521" i="22"/>
  <c r="H520" i="22"/>
  <c r="H519" i="22"/>
  <c r="H518" i="22"/>
  <c r="H441" i="22"/>
  <c r="H440" i="22"/>
  <c r="H439" i="22"/>
  <c r="H438" i="22"/>
  <c r="H437" i="22"/>
  <c r="H436" i="22"/>
  <c r="H435" i="22"/>
  <c r="H432" i="22"/>
  <c r="H431" i="22"/>
  <c r="H430" i="22"/>
  <c r="H429" i="22"/>
  <c r="H428" i="22"/>
  <c r="H427" i="22"/>
  <c r="H425" i="22"/>
  <c r="H424" i="22"/>
  <c r="H423" i="22"/>
  <c r="H422" i="22"/>
  <c r="H421" i="22"/>
  <c r="H419" i="22"/>
  <c r="H418" i="22"/>
  <c r="H416" i="22"/>
  <c r="H415" i="22"/>
  <c r="H414" i="22"/>
  <c r="H413" i="22"/>
  <c r="H985" i="22"/>
  <c r="H982" i="22"/>
  <c r="H979" i="22"/>
  <c r="H976" i="22"/>
  <c r="H973" i="22"/>
  <c r="H967" i="22"/>
  <c r="H699" i="22"/>
  <c r="H695" i="22"/>
  <c r="H690" i="22"/>
  <c r="H688" i="22"/>
  <c r="H686" i="22"/>
  <c r="H684" i="22"/>
  <c r="H680" i="22"/>
  <c r="H678" i="22"/>
  <c r="H676" i="22"/>
  <c r="H674" i="22"/>
  <c r="H672" i="22"/>
  <c r="H669" i="22"/>
  <c r="H667" i="22"/>
  <c r="H665" i="22"/>
  <c r="H663" i="22"/>
  <c r="H661" i="22"/>
  <c r="H659" i="22"/>
  <c r="H412" i="22"/>
  <c r="H411" i="22"/>
  <c r="H410" i="22"/>
  <c r="H409" i="22"/>
  <c r="H407" i="22"/>
  <c r="H405" i="22"/>
  <c r="H404" i="22"/>
  <c r="H403" i="22"/>
  <c r="H402" i="22"/>
  <c r="H400" i="22"/>
  <c r="H399" i="22"/>
  <c r="H398" i="22"/>
  <c r="H397" i="22"/>
  <c r="H396" i="22"/>
  <c r="H395" i="22"/>
  <c r="H393" i="22"/>
  <c r="H392" i="22"/>
  <c r="H389" i="22"/>
  <c r="H388" i="22"/>
  <c r="H387" i="22"/>
  <c r="H386" i="22"/>
  <c r="H385" i="22"/>
  <c r="H384" i="22"/>
  <c r="H380" i="22"/>
  <c r="H379" i="22"/>
  <c r="H378" i="22"/>
  <c r="H377" i="22"/>
  <c r="H375" i="22"/>
  <c r="H374" i="22"/>
  <c r="H372" i="22"/>
  <c r="H371" i="22"/>
  <c r="H369" i="22"/>
  <c r="H368" i="22"/>
  <c r="H366" i="22"/>
  <c r="H365" i="22"/>
  <c r="H364" i="22"/>
  <c r="H363" i="22"/>
  <c r="H362" i="22"/>
  <c r="H361" i="22"/>
  <c r="H360" i="22"/>
  <c r="H359" i="22"/>
  <c r="H358" i="22"/>
  <c r="H357" i="22"/>
  <c r="H356" i="22"/>
  <c r="H354" i="22"/>
  <c r="H353" i="22"/>
  <c r="H352" i="22"/>
  <c r="H351" i="22"/>
  <c r="H350" i="22"/>
  <c r="H349" i="22"/>
  <c r="H348" i="22"/>
  <c r="H347" i="22"/>
  <c r="H346" i="22"/>
  <c r="H345" i="22"/>
  <c r="H344" i="22"/>
  <c r="H343" i="22"/>
  <c r="H342" i="22"/>
  <c r="H339" i="22"/>
  <c r="H337" i="22"/>
  <c r="H336" i="22"/>
  <c r="H334" i="22"/>
  <c r="H333" i="22"/>
  <c r="H332" i="22"/>
  <c r="H331" i="22"/>
  <c r="H330" i="22"/>
  <c r="H329" i="22"/>
  <c r="H328" i="22"/>
  <c r="H327" i="22"/>
  <c r="H326" i="22"/>
  <c r="H226" i="22"/>
  <c r="H225" i="22"/>
  <c r="H224" i="22"/>
  <c r="H223" i="22"/>
  <c r="H222" i="22"/>
  <c r="H220" i="22"/>
  <c r="H219" i="22"/>
  <c r="H218" i="22"/>
  <c r="H217" i="22"/>
  <c r="H215" i="22"/>
  <c r="H214" i="22"/>
  <c r="H213" i="22"/>
  <c r="H211" i="22"/>
  <c r="H210" i="22"/>
  <c r="H209" i="22"/>
  <c r="H208" i="22"/>
  <c r="H206" i="22"/>
  <c r="H205" i="22"/>
  <c r="H204" i="22"/>
  <c r="H203" i="22"/>
  <c r="H202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2" i="22"/>
  <c r="H181" i="22"/>
  <c r="H180" i="22"/>
  <c r="H179" i="22"/>
  <c r="H178" i="22"/>
  <c r="H177" i="22"/>
  <c r="H175" i="22"/>
  <c r="H174" i="22"/>
  <c r="H173" i="22"/>
  <c r="H172" i="22"/>
  <c r="H171" i="22"/>
  <c r="H170" i="22"/>
  <c r="H168" i="22"/>
  <c r="H167" i="22"/>
  <c r="H166" i="22"/>
  <c r="H164" i="22"/>
  <c r="H163" i="22"/>
  <c r="H161" i="22"/>
  <c r="H159" i="22"/>
  <c r="H158" i="22"/>
  <c r="H157" i="22"/>
  <c r="H155" i="22"/>
  <c r="H154" i="22"/>
  <c r="H153" i="22"/>
  <c r="H152" i="22"/>
  <c r="H151" i="22"/>
  <c r="H150" i="22"/>
  <c r="H148" i="22"/>
  <c r="H146" i="22"/>
  <c r="H145" i="22"/>
  <c r="H144" i="22"/>
  <c r="H143" i="22"/>
  <c r="H142" i="22"/>
  <c r="H140" i="22"/>
  <c r="H139" i="22"/>
  <c r="H138" i="22"/>
  <c r="H137" i="22"/>
  <c r="H134" i="22"/>
  <c r="H133" i="22"/>
  <c r="H132" i="22"/>
  <c r="H131" i="22"/>
  <c r="H130" i="22"/>
  <c r="H129" i="22"/>
  <c r="H127" i="22"/>
  <c r="H126" i="22"/>
  <c r="H123" i="22"/>
  <c r="H114" i="22"/>
  <c r="H106" i="22"/>
  <c r="H80" i="22"/>
  <c r="H77" i="22"/>
  <c r="H70" i="22"/>
  <c r="H65" i="22"/>
  <c r="H60" i="22"/>
  <c r="H54" i="22"/>
  <c r="H49" i="22"/>
  <c r="H44" i="22"/>
  <c r="H37" i="22"/>
  <c r="H32" i="22"/>
  <c r="H28" i="22"/>
  <c r="H7" i="22"/>
  <c r="H110" i="22"/>
  <c r="H96" i="22"/>
  <c r="H88" i="22"/>
  <c r="H82" i="22"/>
  <c r="H69" i="22"/>
  <c r="H63" i="22"/>
  <c r="H51" i="22"/>
  <c r="H43" i="22"/>
  <c r="H39" i="22"/>
  <c r="H29" i="22"/>
  <c r="H23" i="22"/>
  <c r="H15" i="22"/>
  <c r="H10" i="22"/>
  <c r="H119" i="22"/>
  <c r="H113" i="22"/>
  <c r="H104" i="22"/>
  <c r="H100" i="22"/>
  <c r="H93" i="22"/>
  <c r="H86" i="22"/>
  <c r="H81" i="22"/>
  <c r="H76" i="22"/>
  <c r="H72" i="22"/>
  <c r="H67" i="22"/>
  <c r="H61" i="22"/>
  <c r="H56" i="22"/>
  <c r="H52" i="22"/>
  <c r="H47" i="22"/>
  <c r="H42" i="22"/>
  <c r="H36" i="22"/>
  <c r="H24" i="22"/>
  <c r="H20" i="22"/>
  <c r="H13" i="22"/>
  <c r="H6" i="22"/>
  <c r="H5" i="22"/>
  <c r="H120" i="22"/>
  <c r="H115" i="22"/>
  <c r="H98" i="22"/>
  <c r="H92" i="22"/>
  <c r="H78" i="22"/>
  <c r="H74" i="22"/>
  <c r="H68" i="22"/>
  <c r="H62" i="22"/>
  <c r="H58" i="22"/>
  <c r="H91" i="22"/>
  <c r="H87" i="22"/>
  <c r="H83" i="22"/>
  <c r="H75" i="22"/>
  <c r="H71" i="22"/>
  <c r="H53" i="22"/>
  <c r="H38" i="22"/>
  <c r="H35" i="22"/>
  <c r="H27" i="22"/>
  <c r="H22" i="22"/>
  <c r="H18" i="22"/>
  <c r="H14" i="22"/>
  <c r="H11" i="22"/>
  <c r="O16" i="22"/>
  <c r="O17" i="22" s="1"/>
  <c r="O18" i="22" s="1"/>
  <c r="O19" i="22" s="1"/>
  <c r="O20" i="22" s="1"/>
  <c r="O21" i="22" s="1"/>
  <c r="H13" i="18"/>
  <c r="G13" i="18"/>
  <c r="H12" i="18"/>
  <c r="G12" i="18"/>
  <c r="N18" i="17" a="1"/>
  <c r="N20" i="17" a="1"/>
  <c r="J20" i="17" a="1"/>
  <c r="N17" i="17" a="1"/>
  <c r="N19" i="17" a="1"/>
  <c r="J19" i="17" a="1"/>
  <c r="M17" i="17"/>
  <c r="G30" i="17" s="1"/>
  <c r="G39" i="17" s="1"/>
  <c r="H19" i="17"/>
  <c r="H20" i="17"/>
  <c r="H13" i="17"/>
  <c r="G13" i="17"/>
  <c r="H12" i="17"/>
  <c r="H12" i="19"/>
  <c r="G13" i="19"/>
  <c r="H13" i="19"/>
  <c r="H19" i="19"/>
  <c r="H20" i="19"/>
  <c r="F23" i="2"/>
  <c r="F24" i="2" s="1"/>
  <c r="F31" i="2" s="1"/>
  <c r="F32" i="2" s="1"/>
  <c r="F22" i="2"/>
  <c r="F30" i="2" s="1"/>
  <c r="F14" i="2"/>
  <c r="F17" i="2" s="1"/>
  <c r="G44" i="4"/>
  <c r="G29" i="4"/>
  <c r="I87" i="11"/>
  <c r="H87" i="11"/>
  <c r="J19" i="4" a="1"/>
  <c r="J18" i="4" a="1"/>
  <c r="J20" i="4" a="1"/>
  <c r="F15" i="2"/>
  <c r="F16" i="2" s="1"/>
  <c r="G29" i="18" l="1"/>
  <c r="G30" i="18" s="1"/>
  <c r="G31" i="18" s="1" a="1"/>
  <c r="G28" i="18"/>
  <c r="G37" i="18" s="1"/>
  <c r="H21" i="19"/>
  <c r="G30" i="19" a="1"/>
  <c r="G28" i="19"/>
  <c r="G36" i="19" s="1"/>
  <c r="G29" i="19"/>
  <c r="G47" i="17"/>
  <c r="J24" i="17"/>
  <c r="J25" i="17" a="1"/>
  <c r="G32" i="17" a="1"/>
  <c r="G31" i="17"/>
  <c r="G48" i="20"/>
  <c r="G49" i="20" s="1"/>
  <c r="G33" i="20" a="1"/>
  <c r="G34" i="20" s="1"/>
  <c r="G56" i="20"/>
  <c r="G70" i="5"/>
  <c r="G71" i="5"/>
  <c r="G58" i="5"/>
  <c r="H21" i="18"/>
  <c r="G307" i="24"/>
  <c r="G295" i="24"/>
  <c r="G275" i="24"/>
  <c r="G264" i="24"/>
  <c r="G259" i="24"/>
  <c r="G253" i="24"/>
  <c r="G249" i="24"/>
  <c r="G244" i="24"/>
  <c r="G240" i="24"/>
  <c r="G235" i="24"/>
  <c r="G225" i="24"/>
  <c r="G219" i="24"/>
  <c r="G215" i="24"/>
  <c r="G200" i="24"/>
  <c r="G195" i="24"/>
  <c r="G190" i="24"/>
  <c r="G185" i="24"/>
  <c r="G165" i="24"/>
  <c r="G161" i="24"/>
  <c r="G150" i="24"/>
  <c r="G145" i="24"/>
  <c r="G140" i="24"/>
  <c r="G121" i="24"/>
  <c r="G84" i="24"/>
  <c r="G75" i="24"/>
  <c r="G72" i="24"/>
  <c r="G71" i="24"/>
  <c r="G70" i="24"/>
  <c r="G68" i="24"/>
  <c r="G67" i="24"/>
  <c r="G66" i="24"/>
  <c r="G65" i="24"/>
  <c r="G63" i="24"/>
  <c r="G59" i="24"/>
  <c r="G57" i="24"/>
  <c r="G56" i="24"/>
  <c r="G55" i="24"/>
  <c r="G54" i="24"/>
  <c r="G49" i="24"/>
  <c r="G47" i="24"/>
  <c r="G46" i="24"/>
  <c r="G45" i="24"/>
  <c r="G44" i="24"/>
  <c r="G41" i="24"/>
  <c r="G287" i="24"/>
  <c r="G277" i="24"/>
  <c r="G256" i="24"/>
  <c r="G246" i="24"/>
  <c r="G241" i="24"/>
  <c r="G226" i="24"/>
  <c r="G206" i="24"/>
  <c r="G191" i="24"/>
  <c r="G171" i="24"/>
  <c r="G166" i="24"/>
  <c r="G156" i="24"/>
  <c r="G151" i="24"/>
  <c r="G148" i="24"/>
  <c r="G143" i="24"/>
  <c r="G138" i="24"/>
  <c r="G134" i="24"/>
  <c r="G99" i="24"/>
  <c r="G91" i="24"/>
  <c r="G83" i="24"/>
  <c r="G76" i="24"/>
  <c r="G39" i="24"/>
  <c r="G29" i="24"/>
  <c r="G27" i="24"/>
  <c r="G25" i="24"/>
  <c r="G20" i="24"/>
  <c r="G12" i="24"/>
  <c r="G309" i="24"/>
  <c r="G303" i="24"/>
  <c r="G283" i="24"/>
  <c r="G273" i="24"/>
  <c r="G252" i="24"/>
  <c r="G234" i="24"/>
  <c r="G229" i="24"/>
  <c r="G220" i="24"/>
  <c r="G214" i="24"/>
  <c r="G212" i="24"/>
  <c r="G207" i="24"/>
  <c r="G202" i="24"/>
  <c r="G198" i="24"/>
  <c r="G177" i="24"/>
  <c r="G173" i="24"/>
  <c r="G162" i="24"/>
  <c r="G141" i="24"/>
  <c r="G132" i="24"/>
  <c r="G119" i="24"/>
  <c r="G106" i="24"/>
  <c r="G102" i="24"/>
  <c r="G98" i="24"/>
  <c r="G96" i="24"/>
  <c r="G87" i="24"/>
  <c r="G73" i="24"/>
  <c r="G36" i="24"/>
  <c r="G34" i="24"/>
  <c r="G32" i="24"/>
  <c r="G30" i="24"/>
  <c r="G28" i="24"/>
  <c r="G24" i="24"/>
  <c r="G15" i="24"/>
  <c r="G13" i="24"/>
  <c r="G11" i="24"/>
  <c r="G266" i="24"/>
  <c r="G248" i="24"/>
  <c r="G243" i="24"/>
  <c r="G233" i="24"/>
  <c r="G228" i="24"/>
  <c r="G213" i="24"/>
  <c r="G208" i="24"/>
  <c r="G188" i="24"/>
  <c r="G183" i="24"/>
  <c r="G178" i="24"/>
  <c r="G174" i="24"/>
  <c r="G169" i="24"/>
  <c r="G158" i="24"/>
  <c r="G154" i="24"/>
  <c r="G144" i="24"/>
  <c r="G139" i="24"/>
  <c r="G136" i="24"/>
  <c r="G128" i="24"/>
  <c r="G89" i="24"/>
  <c r="G305" i="24"/>
  <c r="G274" i="24"/>
  <c r="G258" i="24"/>
  <c r="G227" i="24"/>
  <c r="G194" i="24"/>
  <c r="G189" i="24"/>
  <c r="G184" i="24"/>
  <c r="G168" i="24"/>
  <c r="G163" i="24"/>
  <c r="G159" i="24"/>
  <c r="G109" i="24"/>
  <c r="G97" i="24"/>
  <c r="G94" i="24"/>
  <c r="G90" i="24"/>
  <c r="G85" i="24"/>
  <c r="G82" i="24"/>
  <c r="G74" i="24"/>
  <c r="G21" i="24"/>
  <c r="G285" i="24"/>
  <c r="G308" i="24"/>
  <c r="G302" i="24"/>
  <c r="M24" i="24"/>
  <c r="M23" i="24"/>
  <c r="M22" i="24"/>
  <c r="I23" i="23"/>
  <c r="J20" i="23" s="1"/>
  <c r="K23" i="23"/>
  <c r="L20" i="23" s="1"/>
  <c r="F209" i="6"/>
  <c r="F204" i="6"/>
  <c r="F201" i="6"/>
  <c r="F196" i="6"/>
  <c r="F192" i="6"/>
  <c r="F189" i="6"/>
  <c r="F195" i="6"/>
  <c r="F205" i="6"/>
  <c r="F200" i="6"/>
  <c r="F193" i="6"/>
  <c r="F188" i="6"/>
  <c r="F208" i="6"/>
  <c r="F206" i="6"/>
  <c r="F202" i="6"/>
  <c r="F199" i="6"/>
  <c r="F197" i="6"/>
  <c r="F194" i="6"/>
  <c r="F190" i="6"/>
  <c r="F186" i="6"/>
  <c r="F182" i="6"/>
  <c r="F177" i="6"/>
  <c r="F172" i="6"/>
  <c r="F167" i="6"/>
  <c r="F161" i="6"/>
  <c r="F157" i="6"/>
  <c r="F153" i="6"/>
  <c r="F148" i="6"/>
  <c r="F185" i="6"/>
  <c r="F180" i="6"/>
  <c r="F176" i="6"/>
  <c r="F170" i="6"/>
  <c r="F166" i="6"/>
  <c r="F162" i="6"/>
  <c r="F158" i="6"/>
  <c r="F149" i="6"/>
  <c r="F183" i="6"/>
  <c r="F178" i="6"/>
  <c r="F174" i="6"/>
  <c r="F169" i="6"/>
  <c r="F164" i="6"/>
  <c r="F159" i="6"/>
  <c r="F155" i="6"/>
  <c r="F151" i="6"/>
  <c r="F147" i="6"/>
  <c r="F143" i="6"/>
  <c r="F141" i="6"/>
  <c r="F138" i="6"/>
  <c r="F135" i="6"/>
  <c r="F133" i="6"/>
  <c r="F129" i="6"/>
  <c r="F127" i="6"/>
  <c r="F123" i="6"/>
  <c r="F120" i="6"/>
  <c r="F118" i="6"/>
  <c r="F114" i="6"/>
  <c r="F112" i="6"/>
  <c r="F144" i="6"/>
  <c r="F139" i="6"/>
  <c r="F134" i="6"/>
  <c r="F131" i="6"/>
  <c r="F125" i="6"/>
  <c r="F121" i="6"/>
  <c r="F116" i="6"/>
  <c r="F111" i="6"/>
  <c r="F145" i="6"/>
  <c r="F140" i="6"/>
  <c r="F136" i="6"/>
  <c r="F132" i="6"/>
  <c r="F128" i="6"/>
  <c r="F124" i="6"/>
  <c r="F119" i="6"/>
  <c r="F115" i="6"/>
  <c r="F110" i="6"/>
  <c r="F108" i="6"/>
  <c r="F81" i="6"/>
  <c r="F107" i="6"/>
  <c r="F103" i="6"/>
  <c r="F101" i="6"/>
  <c r="F99" i="6"/>
  <c r="F97" i="6"/>
  <c r="F94" i="6"/>
  <c r="F92" i="6"/>
  <c r="F90" i="6"/>
  <c r="F88" i="6"/>
  <c r="F86" i="6"/>
  <c r="F85" i="6"/>
  <c r="F83" i="6"/>
  <c r="F80" i="6"/>
  <c r="F78" i="6"/>
  <c r="F76" i="6"/>
  <c r="F74" i="6"/>
  <c r="F72" i="6"/>
  <c r="F70" i="6"/>
  <c r="F68" i="6"/>
  <c r="F66" i="6"/>
  <c r="F64" i="6"/>
  <c r="F62" i="6"/>
  <c r="F60" i="6"/>
  <c r="F58" i="6"/>
  <c r="F56" i="6"/>
  <c r="F54" i="6"/>
  <c r="F52" i="6"/>
  <c r="F50" i="6"/>
  <c r="F49" i="6"/>
  <c r="F47" i="6"/>
  <c r="F45" i="6"/>
  <c r="F43" i="6"/>
  <c r="F41" i="6"/>
  <c r="F39" i="6"/>
  <c r="F37" i="6"/>
  <c r="F35" i="6"/>
  <c r="F33" i="6"/>
  <c r="F31" i="6"/>
  <c r="F29" i="6"/>
  <c r="F28" i="6"/>
  <c r="F26" i="6"/>
  <c r="F24" i="6"/>
  <c r="F22" i="6"/>
  <c r="F20" i="6"/>
  <c r="F18" i="6"/>
  <c r="F16" i="6"/>
  <c r="F13" i="6"/>
  <c r="F10" i="6"/>
  <c r="F106" i="6"/>
  <c r="F104" i="6"/>
  <c r="F102" i="6"/>
  <c r="F100" i="6"/>
  <c r="F98" i="6"/>
  <c r="F95" i="6"/>
  <c r="F93" i="6"/>
  <c r="F91" i="6"/>
  <c r="F89" i="6"/>
  <c r="F87" i="6"/>
  <c r="F84" i="6"/>
  <c r="F82" i="6"/>
  <c r="F79" i="6"/>
  <c r="F77" i="6"/>
  <c r="F75" i="6"/>
  <c r="F73" i="6"/>
  <c r="F71" i="6"/>
  <c r="F69" i="6"/>
  <c r="F67" i="6"/>
  <c r="F65" i="6"/>
  <c r="F63" i="6"/>
  <c r="F61" i="6"/>
  <c r="F59" i="6"/>
  <c r="F57" i="6"/>
  <c r="F55" i="6"/>
  <c r="F53" i="6"/>
  <c r="F51" i="6"/>
  <c r="F48" i="6"/>
  <c r="F46" i="6"/>
  <c r="F44" i="6"/>
  <c r="F42" i="6"/>
  <c r="F40" i="6"/>
  <c r="F38" i="6"/>
  <c r="F36" i="6"/>
  <c r="F34" i="6"/>
  <c r="F32" i="6"/>
  <c r="F30" i="6"/>
  <c r="F27" i="6"/>
  <c r="F25" i="6"/>
  <c r="F23" i="6"/>
  <c r="F21" i="6"/>
  <c r="F19" i="6"/>
  <c r="K21" i="6" s="1"/>
  <c r="F17" i="6"/>
  <c r="F15" i="6"/>
  <c r="F14" i="6"/>
  <c r="F12" i="6"/>
  <c r="F11" i="6"/>
  <c r="H974" i="22"/>
  <c r="H961" i="22"/>
  <c r="H940" i="22"/>
  <c r="H756" i="22"/>
  <c r="H997" i="22"/>
  <c r="H988" i="22"/>
  <c r="H964" i="22"/>
  <c r="H938" i="22"/>
  <c r="H754" i="22"/>
  <c r="H583" i="22"/>
  <c r="H568" i="22"/>
  <c r="H565" i="22"/>
  <c r="H552" i="22"/>
  <c r="H551" i="22"/>
  <c r="H763" i="22"/>
  <c r="H745" i="22"/>
  <c r="H728" i="22"/>
  <c r="H724" i="22"/>
  <c r="I23" i="6"/>
  <c r="L13" i="25"/>
  <c r="L11" i="25"/>
  <c r="I15" i="25"/>
  <c r="J15" i="25"/>
  <c r="D20" i="25"/>
  <c r="K15" i="25"/>
  <c r="E20" i="25"/>
  <c r="L12" i="25"/>
  <c r="C21" i="25"/>
  <c r="L14" i="25"/>
  <c r="C23" i="25"/>
  <c r="F21" i="25"/>
  <c r="E24" i="25"/>
  <c r="F20" i="25"/>
  <c r="C29" i="25" s="1"/>
  <c r="C24" i="25"/>
  <c r="F23" i="25"/>
  <c r="C32" i="25" s="1"/>
  <c r="F22" i="25"/>
  <c r="C31" i="25" s="1"/>
  <c r="D24" i="25"/>
  <c r="H959" i="22"/>
  <c r="H958" i="22"/>
  <c r="H957" i="22"/>
  <c r="H956" i="22"/>
  <c r="H955" i="22"/>
  <c r="H954" i="22"/>
  <c r="H953" i="22"/>
  <c r="H121" i="22"/>
  <c r="H789" i="22"/>
  <c r="H117" i="22"/>
  <c r="H800" i="22"/>
  <c r="H798" i="22"/>
  <c r="H797" i="22"/>
  <c r="H795" i="22"/>
  <c r="H794" i="22"/>
  <c r="H790" i="22"/>
  <c r="H112" i="22"/>
  <c r="H788" i="22"/>
  <c r="H787" i="22"/>
  <c r="H723" i="22"/>
  <c r="H722" i="22"/>
  <c r="H721" i="22"/>
  <c r="H720" i="22"/>
  <c r="H719" i="22"/>
  <c r="H718" i="22"/>
  <c r="H717" i="22"/>
  <c r="H716" i="22"/>
  <c r="H109" i="22"/>
  <c r="H105" i="22"/>
  <c r="H99" i="22"/>
  <c r="H94" i="22"/>
  <c r="H626" i="22"/>
  <c r="H625" i="22"/>
  <c r="H624" i="22"/>
  <c r="H623" i="22"/>
  <c r="H621" i="22"/>
  <c r="H620" i="22"/>
  <c r="H619" i="22"/>
  <c r="H618" i="22"/>
  <c r="H617" i="22"/>
  <c r="H615" i="22"/>
  <c r="H545" i="22"/>
  <c r="H544" i="22"/>
  <c r="H543" i="22"/>
  <c r="H541" i="22"/>
  <c r="H540" i="22"/>
  <c r="H539" i="22"/>
  <c r="H537" i="22"/>
  <c r="H536" i="22"/>
  <c r="H535" i="22"/>
  <c r="H534" i="22"/>
  <c r="H533" i="22"/>
  <c r="H50" i="22"/>
  <c r="H46" i="22"/>
  <c r="H31" i="22"/>
  <c r="H21" i="22"/>
  <c r="H125" i="22"/>
  <c r="H951" i="22"/>
  <c r="H949" i="22"/>
  <c r="H950" i="22"/>
  <c r="H712" i="22"/>
  <c r="H706" i="22"/>
  <c r="H705" i="22"/>
  <c r="H704" i="22"/>
  <c r="H528" i="22"/>
  <c r="H525" i="22"/>
  <c r="H935" i="22"/>
  <c r="H934" i="22"/>
  <c r="H933" i="22"/>
  <c r="H932" i="22"/>
  <c r="H931" i="22"/>
  <c r="H930" i="22"/>
  <c r="H928" i="22"/>
  <c r="H927" i="22"/>
  <c r="H925" i="22"/>
  <c r="H924" i="22"/>
  <c r="H923" i="22"/>
  <c r="H922" i="22"/>
  <c r="H921" i="22"/>
  <c r="H920" i="22"/>
  <c r="H919" i="22"/>
  <c r="H918" i="22"/>
  <c r="H917" i="22"/>
  <c r="H916" i="22"/>
  <c r="H915" i="22"/>
  <c r="H913" i="22"/>
  <c r="H912" i="22"/>
  <c r="H911" i="22"/>
  <c r="H910" i="22"/>
  <c r="H909" i="22"/>
  <c r="H908" i="22"/>
  <c r="H907" i="22"/>
  <c r="H904" i="22"/>
  <c r="H901" i="22"/>
  <c r="H900" i="22"/>
  <c r="H899" i="22"/>
  <c r="H898" i="22"/>
  <c r="H897" i="22"/>
  <c r="H896" i="22"/>
  <c r="H895" i="22"/>
  <c r="H894" i="22"/>
  <c r="H893" i="22"/>
  <c r="H892" i="22"/>
  <c r="H891" i="22"/>
  <c r="H890" i="22"/>
  <c r="H888" i="22"/>
  <c r="H887" i="22"/>
  <c r="H886" i="22"/>
  <c r="H885" i="22"/>
  <c r="H883" i="22"/>
  <c r="H882" i="22"/>
  <c r="H881" i="22"/>
  <c r="H880" i="22"/>
  <c r="H879" i="22"/>
  <c r="H878" i="22"/>
  <c r="H877" i="22"/>
  <c r="H876" i="22"/>
  <c r="H875" i="22"/>
  <c r="H874" i="22"/>
  <c r="H873" i="22"/>
  <c r="H872" i="22"/>
  <c r="H871" i="22"/>
  <c r="H870" i="22"/>
  <c r="H869" i="22"/>
  <c r="H868" i="22"/>
  <c r="H867" i="22"/>
  <c r="H866" i="22"/>
  <c r="H865" i="22"/>
  <c r="H864" i="22"/>
  <c r="H863" i="22"/>
  <c r="H862" i="22"/>
  <c r="H861" i="22"/>
  <c r="H860" i="22"/>
  <c r="H859" i="22"/>
  <c r="H858" i="22"/>
  <c r="H856" i="22"/>
  <c r="H855" i="22"/>
  <c r="H73" i="22"/>
  <c r="H66" i="22"/>
  <c r="H55" i="22"/>
  <c r="H48" i="22"/>
  <c r="H40" i="22"/>
  <c r="H33" i="22"/>
  <c r="H25" i="22"/>
  <c r="H12" i="22"/>
  <c r="H8" i="22"/>
  <c r="H122" i="22"/>
  <c r="H116" i="22"/>
  <c r="H517" i="22"/>
  <c r="H515" i="22"/>
  <c r="H514" i="22"/>
  <c r="H513" i="22"/>
  <c r="H512" i="22"/>
  <c r="H511" i="22"/>
  <c r="H510" i="22"/>
  <c r="H509" i="22"/>
  <c r="H507" i="22"/>
  <c r="H506" i="22"/>
  <c r="H505" i="22"/>
  <c r="H503" i="22"/>
  <c r="H502" i="22"/>
  <c r="H501" i="22"/>
  <c r="H500" i="22"/>
  <c r="H499" i="22"/>
  <c r="H498" i="22"/>
  <c r="H497" i="22"/>
  <c r="H496" i="22"/>
  <c r="H495" i="22"/>
  <c r="H494" i="22"/>
  <c r="H493" i="22"/>
  <c r="H492" i="22"/>
  <c r="H490" i="22"/>
  <c r="H489" i="22"/>
  <c r="H488" i="22"/>
  <c r="H487" i="22"/>
  <c r="H486" i="22"/>
  <c r="H485" i="22"/>
  <c r="H484" i="22"/>
  <c r="H483" i="22"/>
  <c r="H482" i="22"/>
  <c r="H481" i="22"/>
  <c r="H480" i="22"/>
  <c r="H479" i="22"/>
  <c r="H478" i="22"/>
  <c r="H477" i="22"/>
  <c r="H476" i="22"/>
  <c r="H475" i="22"/>
  <c r="H474" i="22"/>
  <c r="H471" i="22"/>
  <c r="H470" i="22"/>
  <c r="H469" i="22"/>
  <c r="H467" i="22"/>
  <c r="H466" i="22"/>
  <c r="H464" i="22"/>
  <c r="H463" i="22"/>
  <c r="H462" i="22"/>
  <c r="H461" i="22"/>
  <c r="H460" i="22"/>
  <c r="H459" i="22"/>
  <c r="H458" i="22"/>
  <c r="H457" i="22"/>
  <c r="H456" i="22"/>
  <c r="H454" i="22"/>
  <c r="H453" i="22"/>
  <c r="H452" i="22"/>
  <c r="H451" i="22"/>
  <c r="H449" i="22"/>
  <c r="H448" i="22"/>
  <c r="H447" i="22"/>
  <c r="H446" i="22"/>
  <c r="H445" i="22"/>
  <c r="H444" i="22"/>
  <c r="H443" i="22"/>
  <c r="H442" i="22"/>
  <c r="H325" i="22"/>
  <c r="H324" i="22"/>
  <c r="H323" i="22"/>
  <c r="H322" i="22"/>
  <c r="H321" i="22"/>
  <c r="H320" i="22"/>
  <c r="H318" i="22"/>
  <c r="H317" i="22"/>
  <c r="H316" i="22"/>
  <c r="H315" i="22"/>
  <c r="H313" i="22"/>
  <c r="H312" i="22"/>
  <c r="H311" i="22"/>
  <c r="H310" i="22"/>
  <c r="H308" i="22"/>
  <c r="H307" i="22"/>
  <c r="H305" i="22"/>
  <c r="H304" i="22"/>
  <c r="H303" i="22"/>
  <c r="H302" i="22"/>
  <c r="H300" i="22"/>
  <c r="H299" i="22"/>
  <c r="H298" i="22"/>
  <c r="H297" i="22"/>
  <c r="H296" i="22"/>
  <c r="H294" i="22"/>
  <c r="H293" i="22"/>
  <c r="H291" i="22"/>
  <c r="H290" i="22"/>
  <c r="H289" i="22"/>
  <c r="H288" i="22"/>
  <c r="H287" i="22"/>
  <c r="H286" i="22"/>
  <c r="H285" i="22"/>
  <c r="H284" i="22"/>
  <c r="H283" i="22"/>
  <c r="H282" i="22"/>
  <c r="H281" i="22"/>
  <c r="H279" i="22"/>
  <c r="H278" i="22"/>
  <c r="H277" i="22"/>
  <c r="H276" i="22"/>
  <c r="H275" i="22"/>
  <c r="H274" i="22"/>
  <c r="H273" i="22"/>
  <c r="H272" i="22"/>
  <c r="H271" i="22"/>
  <c r="H270" i="22"/>
  <c r="H268" i="22"/>
  <c r="H267" i="22"/>
  <c r="H266" i="22"/>
  <c r="H265" i="22"/>
  <c r="H264" i="22"/>
  <c r="H263" i="22"/>
  <c r="H262" i="22"/>
  <c r="H261" i="22"/>
  <c r="H260" i="22"/>
  <c r="H258" i="22"/>
  <c r="H256" i="22"/>
  <c r="H255" i="22"/>
  <c r="H253" i="22"/>
  <c r="H252" i="22"/>
  <c r="H251" i="22"/>
  <c r="H250" i="22"/>
  <c r="H249" i="22"/>
  <c r="H246" i="22"/>
  <c r="H245" i="22"/>
  <c r="H244" i="22"/>
  <c r="H243" i="22"/>
  <c r="H242" i="22"/>
  <c r="H241" i="22"/>
  <c r="H240" i="22"/>
  <c r="H239" i="22"/>
  <c r="H238" i="22"/>
  <c r="H237" i="22"/>
  <c r="H236" i="22"/>
  <c r="H235" i="22"/>
  <c r="H234" i="22"/>
  <c r="H233" i="22"/>
  <c r="H232" i="22"/>
  <c r="H231" i="22"/>
  <c r="H230" i="22"/>
  <c r="H229" i="22"/>
  <c r="H228" i="22"/>
  <c r="H227" i="22"/>
  <c r="H124" i="22"/>
  <c r="H118" i="22"/>
  <c r="H111" i="22"/>
  <c r="H107" i="22"/>
  <c r="H101" i="22"/>
  <c r="H95" i="22"/>
  <c r="H90" i="22"/>
  <c r="H85" i="22"/>
  <c r="H79" i="22"/>
  <c r="H851" i="22"/>
  <c r="H850" i="22"/>
  <c r="H831" i="22"/>
  <c r="H826" i="22"/>
  <c r="H820" i="22"/>
  <c r="H809" i="22"/>
  <c r="H803" i="22"/>
  <c r="H796" i="22"/>
  <c r="H793" i="22"/>
  <c r="H792" i="22"/>
  <c r="H791" i="22"/>
  <c r="H516" i="22"/>
  <c r="H508" i="22"/>
  <c r="H504" i="22"/>
  <c r="H491" i="22"/>
  <c r="H472" i="22"/>
  <c r="O22" i="22"/>
  <c r="O23" i="22" s="1"/>
  <c r="O24" i="22" s="1"/>
  <c r="H675" i="22"/>
  <c r="H664" i="22"/>
  <c r="H656" i="22"/>
  <c r="H653" i="22"/>
  <c r="H652" i="22"/>
  <c r="H639" i="22"/>
  <c r="H636" i="22"/>
  <c r="H631" i="22"/>
  <c r="H630" i="22"/>
  <c r="H628" i="22"/>
  <c r="H622" i="22"/>
  <c r="H616" i="22"/>
  <c r="H612" i="22"/>
  <c r="H611" i="22"/>
  <c r="H606" i="22"/>
  <c r="H599" i="22"/>
  <c r="H597" i="22"/>
  <c r="H465" i="22"/>
  <c r="H450" i="22"/>
  <c r="H433" i="22"/>
  <c r="H420" i="22"/>
  <c r="H697" i="22"/>
  <c r="H692" i="22"/>
  <c r="H408" i="22"/>
  <c r="H406" i="22"/>
  <c r="H401" i="22"/>
  <c r="H41" i="22"/>
  <c r="H45" i="22"/>
  <c r="H391" i="22"/>
  <c r="H383" i="22"/>
  <c r="H382" i="22"/>
  <c r="H381" i="22"/>
  <c r="H376" i="22"/>
  <c r="H373" i="22"/>
  <c r="H370" i="22"/>
  <c r="H341" i="22"/>
  <c r="H340" i="22"/>
  <c r="H338" i="22"/>
  <c r="H335" i="22"/>
  <c r="H319" i="22"/>
  <c r="H314" i="22"/>
  <c r="H309" i="22"/>
  <c r="H295" i="22"/>
  <c r="H34" i="22"/>
  <c r="H108" i="22"/>
  <c r="H26" i="22"/>
  <c r="H57" i="22"/>
  <c r="H280" i="22"/>
  <c r="H259" i="22"/>
  <c r="H254" i="22"/>
  <c r="H247" i="22"/>
  <c r="H221" i="22"/>
  <c r="H216" i="22"/>
  <c r="H212" i="22"/>
  <c r="H207" i="22"/>
  <c r="H201" i="22"/>
  <c r="H200" i="22"/>
  <c r="H64" i="22"/>
  <c r="H183" i="22"/>
  <c r="H176" i="22"/>
  <c r="H169" i="22"/>
  <c r="H165" i="22"/>
  <c r="H162" i="22"/>
  <c r="H156" i="22"/>
  <c r="H147" i="22"/>
  <c r="H141" i="22"/>
  <c r="H135" i="22"/>
  <c r="H128" i="22"/>
  <c r="H89" i="22"/>
  <c r="H19" i="22"/>
  <c r="H2" i="22"/>
  <c r="H59" i="22"/>
  <c r="H17" i="22"/>
  <c r="H102" i="22"/>
  <c r="H9" i="22"/>
  <c r="H84" i="22"/>
  <c r="H16" i="22"/>
  <c r="H30" i="22"/>
  <c r="V29" i="22"/>
  <c r="I21" i="19"/>
  <c r="I21" i="18"/>
  <c r="K12" i="18" s="1"/>
  <c r="I86" i="11"/>
  <c r="I88" i="11"/>
  <c r="I89" i="11" s="1"/>
  <c r="G89" i="11"/>
  <c r="F25" i="2"/>
  <c r="G86" i="11"/>
  <c r="G38" i="18" l="1"/>
  <c r="G39" i="18" s="1"/>
  <c r="G48" i="18"/>
  <c r="G37" i="19"/>
  <c r="G38" i="19" s="1"/>
  <c r="G47" i="19"/>
  <c r="G33" i="17"/>
  <c r="G40" i="17"/>
  <c r="G41" i="17" s="1"/>
  <c r="G50" i="17"/>
  <c r="J26" i="17"/>
  <c r="K17" i="17" s="1"/>
  <c r="L17" i="17" s="1"/>
  <c r="D29" i="25"/>
  <c r="C30" i="25"/>
  <c r="G72" i="5"/>
  <c r="L13" i="19"/>
  <c r="K13" i="19"/>
  <c r="L12" i="19"/>
  <c r="K12" i="19"/>
  <c r="G130" i="24"/>
  <c r="G199" i="24"/>
  <c r="G211" i="24"/>
  <c r="G232" i="24"/>
  <c r="G239" i="24"/>
  <c r="G245" i="24"/>
  <c r="G251" i="24"/>
  <c r="G197" i="24"/>
  <c r="G254" i="24"/>
  <c r="G271" i="24"/>
  <c r="G276" i="24"/>
  <c r="G290" i="24"/>
  <c r="G19" i="24"/>
  <c r="G111" i="24"/>
  <c r="G135" i="24"/>
  <c r="G146" i="24"/>
  <c r="G152" i="24"/>
  <c r="G242" i="24"/>
  <c r="G257" i="24"/>
  <c r="G296" i="24"/>
  <c r="G33" i="24"/>
  <c r="G103" i="24"/>
  <c r="G114" i="24"/>
  <c r="G210" i="24"/>
  <c r="G221" i="24"/>
  <c r="G250" i="24"/>
  <c r="G292" i="24"/>
  <c r="G298" i="24"/>
  <c r="G42" i="24"/>
  <c r="G43" i="24"/>
  <c r="G64" i="24"/>
  <c r="G79" i="24"/>
  <c r="G88" i="24"/>
  <c r="G100" i="24"/>
  <c r="G284" i="24"/>
  <c r="G149" i="24"/>
  <c r="G193" i="24"/>
  <c r="G237" i="24"/>
  <c r="G297" i="24"/>
  <c r="G304" i="24"/>
  <c r="G14" i="24"/>
  <c r="G18" i="24"/>
  <c r="G22" i="24"/>
  <c r="G26" i="24"/>
  <c r="G38" i="24"/>
  <c r="G77" i="24"/>
  <c r="G81" i="24"/>
  <c r="G92" i="24"/>
  <c r="G115" i="24"/>
  <c r="G122" i="24"/>
  <c r="G127" i="24"/>
  <c r="G167" i="24"/>
  <c r="G182" i="24"/>
  <c r="G192" i="24"/>
  <c r="G224" i="24"/>
  <c r="G238" i="24"/>
  <c r="G247" i="24"/>
  <c r="G262" i="24"/>
  <c r="G269" i="24"/>
  <c r="G278" i="24"/>
  <c r="G289" i="24"/>
  <c r="G17" i="24"/>
  <c r="G23" i="24"/>
  <c r="G35" i="24"/>
  <c r="G80" i="24"/>
  <c r="G95" i="24"/>
  <c r="G107" i="24"/>
  <c r="G110" i="24"/>
  <c r="G118" i="24"/>
  <c r="G175" i="24"/>
  <c r="G181" i="24"/>
  <c r="G201" i="24"/>
  <c r="G231" i="24"/>
  <c r="G48" i="24"/>
  <c r="G52" i="24"/>
  <c r="G60" i="24"/>
  <c r="G62" i="24"/>
  <c r="G69" i="24"/>
  <c r="G93" i="24"/>
  <c r="G108" i="24"/>
  <c r="G116" i="24"/>
  <c r="G133" i="24"/>
  <c r="G155" i="24"/>
  <c r="G209" i="24"/>
  <c r="G230" i="24"/>
  <c r="G268" i="24"/>
  <c r="G280" i="24"/>
  <c r="G288" i="24"/>
  <c r="G301" i="24"/>
  <c r="G255" i="24"/>
  <c r="G294" i="24"/>
  <c r="G270" i="24"/>
  <c r="G291" i="24"/>
  <c r="G299" i="24"/>
  <c r="G306" i="24"/>
  <c r="G101" i="24"/>
  <c r="G125" i="24"/>
  <c r="G147" i="24"/>
  <c r="G217" i="24"/>
  <c r="G279" i="24"/>
  <c r="G16" i="24"/>
  <c r="G157" i="24"/>
  <c r="G186" i="24"/>
  <c r="G31" i="24"/>
  <c r="G37" i="24"/>
  <c r="G86" i="24"/>
  <c r="G123" i="24"/>
  <c r="G126" i="24"/>
  <c r="G131" i="24"/>
  <c r="G160" i="24"/>
  <c r="G187" i="24"/>
  <c r="G196" i="24"/>
  <c r="G216" i="24"/>
  <c r="G236" i="24"/>
  <c r="G260" i="24"/>
  <c r="G265" i="24"/>
  <c r="G272" i="24"/>
  <c r="G281" i="24"/>
  <c r="G40" i="24"/>
  <c r="G50" i="24"/>
  <c r="G51" i="24"/>
  <c r="G53" i="24"/>
  <c r="G58" i="24"/>
  <c r="G61" i="24"/>
  <c r="G104" i="24"/>
  <c r="G112" i="24"/>
  <c r="G124" i="24"/>
  <c r="G129" i="24"/>
  <c r="G170" i="24"/>
  <c r="G176" i="24"/>
  <c r="G180" i="24"/>
  <c r="G204" i="24"/>
  <c r="G78" i="24"/>
  <c r="G105" i="24"/>
  <c r="G113" i="24"/>
  <c r="G117" i="24"/>
  <c r="G120" i="24"/>
  <c r="G137" i="24"/>
  <c r="G142" i="24"/>
  <c r="G153" i="24"/>
  <c r="G172" i="24"/>
  <c r="G179" i="24"/>
  <c r="G205" i="24"/>
  <c r="G222" i="24"/>
  <c r="G263" i="24"/>
  <c r="G267" i="24"/>
  <c r="G286" i="24"/>
  <c r="G293" i="24"/>
  <c r="G300" i="24"/>
  <c r="G164" i="24"/>
  <c r="G203" i="24"/>
  <c r="G218" i="24"/>
  <c r="G223" i="24"/>
  <c r="G261" i="24"/>
  <c r="G282" i="24"/>
  <c r="J22" i="23"/>
  <c r="J21" i="23"/>
  <c r="L22" i="23"/>
  <c r="L21" i="23"/>
  <c r="K22" i="6"/>
  <c r="G65" i="5"/>
  <c r="G32" i="18"/>
  <c r="L15" i="25"/>
  <c r="J21" i="6"/>
  <c r="J22" i="6"/>
  <c r="E29" i="25"/>
  <c r="D30" i="25"/>
  <c r="E30" i="25"/>
  <c r="D32" i="25"/>
  <c r="E32" i="25"/>
  <c r="D31" i="25"/>
  <c r="E31" i="25"/>
  <c r="H668" i="22"/>
  <c r="H426" i="22"/>
  <c r="H417" i="22"/>
  <c r="H682" i="22"/>
  <c r="H394" i="22"/>
  <c r="H390" i="22"/>
  <c r="H367" i="22"/>
  <c r="H355" i="22"/>
  <c r="H306" i="22"/>
  <c r="H301" i="22"/>
  <c r="H103" i="22"/>
  <c r="H257" i="22"/>
  <c r="H248" i="22"/>
  <c r="H160" i="22"/>
  <c r="H149" i="22"/>
  <c r="H97" i="22"/>
  <c r="H292" i="22"/>
  <c r="H136" i="22"/>
  <c r="O25" i="22"/>
  <c r="O26" i="22" s="1"/>
  <c r="H526" i="22" s="1"/>
  <c r="H614" i="22"/>
  <c r="H468" i="22"/>
  <c r="H473" i="22"/>
  <c r="H799" i="22"/>
  <c r="H766" i="22"/>
  <c r="H764" i="22"/>
  <c r="H978" i="22"/>
  <c r="H929" i="22"/>
  <c r="H902" i="22"/>
  <c r="H884" i="22"/>
  <c r="H562" i="22"/>
  <c r="H560" i="22"/>
  <c r="H554" i="22"/>
  <c r="H542" i="22"/>
  <c r="H538" i="22"/>
  <c r="H903" i="22"/>
  <c r="H857" i="22"/>
  <c r="H926" i="22"/>
  <c r="H905" i="22"/>
  <c r="H889" i="22"/>
  <c r="H849" i="22"/>
  <c r="I21" i="17"/>
  <c r="G31" i="19"/>
  <c r="K13" i="18"/>
  <c r="L13" i="18"/>
  <c r="L12" i="18"/>
  <c r="H88" i="11"/>
  <c r="H89" i="11" s="1"/>
  <c r="H86" i="11"/>
  <c r="F31" i="25" l="1"/>
  <c r="C33" i="25"/>
  <c r="I29" i="25"/>
  <c r="G42" i="20"/>
  <c r="L13" i="17"/>
  <c r="L12" i="17"/>
  <c r="K12" i="17"/>
  <c r="G34" i="17"/>
  <c r="K23" i="6"/>
  <c r="F29" i="25"/>
  <c r="D33" i="25"/>
  <c r="F30" i="25"/>
  <c r="E33" i="25"/>
  <c r="F32" i="25"/>
  <c r="O27" i="22"/>
  <c r="H434" i="22"/>
  <c r="H970" i="22"/>
  <c r="H455" i="22"/>
  <c r="H269" i="22"/>
  <c r="K13" i="17"/>
  <c r="K19" i="17"/>
  <c r="L19" i="17" s="1"/>
  <c r="K20" i="17"/>
  <c r="L20" i="17" s="1"/>
  <c r="K18" i="17"/>
  <c r="L18" i="17" s="1"/>
  <c r="G29" i="3"/>
  <c r="L21" i="17" l="1"/>
  <c r="I32" i="25"/>
  <c r="I31" i="25"/>
  <c r="I30" i="25"/>
  <c r="L21" i="6"/>
  <c r="L20" i="6"/>
  <c r="L23" i="6" s="1"/>
  <c r="L22" i="6"/>
  <c r="J31" i="25"/>
  <c r="J29" i="25"/>
  <c r="J30" i="25"/>
  <c r="J32" i="25"/>
  <c r="K31" i="25"/>
  <c r="K29" i="25"/>
  <c r="K30" i="25"/>
  <c r="K32" i="25"/>
  <c r="H914" i="22"/>
  <c r="H707" i="22"/>
  <c r="H906" i="22"/>
  <c r="H993" i="22"/>
  <c r="P16" i="22"/>
  <c r="P26" i="22"/>
  <c r="P9" i="22"/>
  <c r="P18" i="22"/>
  <c r="P19" i="22"/>
  <c r="P8" i="22"/>
  <c r="P4" i="22"/>
  <c r="P14" i="22"/>
  <c r="P23" i="22"/>
  <c r="P20" i="22"/>
  <c r="P17" i="22"/>
  <c r="P27" i="22"/>
  <c r="P24" i="22"/>
  <c r="P13" i="22"/>
  <c r="P12" i="22"/>
  <c r="P11" i="22"/>
  <c r="P21" i="22"/>
  <c r="P25" i="22"/>
  <c r="P10" i="22"/>
  <c r="P5" i="22"/>
  <c r="P3" i="22"/>
  <c r="P15" i="22"/>
  <c r="P7" i="22"/>
  <c r="P22" i="22"/>
  <c r="P6" i="22"/>
  <c r="K21" i="17"/>
  <c r="G21" i="4"/>
  <c r="I33" i="25" l="1"/>
  <c r="L29" i="25"/>
  <c r="C38" i="25" s="1"/>
  <c r="L31" i="25"/>
  <c r="L30" i="25"/>
  <c r="D39" i="25" s="1"/>
  <c r="J33" i="25"/>
  <c r="L32" i="25"/>
  <c r="D41" i="25" s="1"/>
  <c r="K33" i="25"/>
  <c r="P29" i="22"/>
  <c r="H18" i="4"/>
  <c r="I18" i="4" s="1"/>
  <c r="H13" i="4"/>
  <c r="H12" i="4"/>
  <c r="G13" i="4"/>
  <c r="H20" i="4"/>
  <c r="I20" i="4" s="1"/>
  <c r="H19" i="4"/>
  <c r="I19" i="4" s="1"/>
  <c r="E38" i="25" l="1"/>
  <c r="D38" i="25"/>
  <c r="D40" i="25"/>
  <c r="D42" i="25" s="1"/>
  <c r="J38" i="25" s="1"/>
  <c r="D47" i="25" s="1"/>
  <c r="C40" i="25"/>
  <c r="E40" i="25"/>
  <c r="C39" i="25"/>
  <c r="E39" i="25"/>
  <c r="E41" i="25"/>
  <c r="C41" i="25"/>
  <c r="G148" i="25" l="1"/>
  <c r="G116" i="25"/>
  <c r="G293" i="25"/>
  <c r="G313" i="25"/>
  <c r="G234" i="25"/>
  <c r="G354" i="25"/>
  <c r="G185" i="25"/>
  <c r="G332" i="25"/>
  <c r="G210" i="25"/>
  <c r="G274" i="25"/>
  <c r="G200" i="25"/>
  <c r="G124" i="25"/>
  <c r="G190" i="25"/>
  <c r="G117" i="25"/>
  <c r="G222" i="25"/>
  <c r="G188" i="25"/>
  <c r="G268" i="25"/>
  <c r="G125" i="25"/>
  <c r="F38" i="25"/>
  <c r="F40" i="25"/>
  <c r="E42" i="25"/>
  <c r="F39" i="25"/>
  <c r="J39" i="25"/>
  <c r="D48" i="25" s="1"/>
  <c r="J40" i="25"/>
  <c r="D49" i="25" s="1"/>
  <c r="J41" i="25"/>
  <c r="D50" i="25" s="1"/>
  <c r="C42" i="25"/>
  <c r="F41" i="25"/>
  <c r="G32" i="4"/>
  <c r="G39" i="4"/>
  <c r="I21" i="4"/>
  <c r="K12" i="4" s="1"/>
  <c r="G107" i="25" l="1"/>
  <c r="G285" i="25"/>
  <c r="G135" i="25"/>
  <c r="G169" i="25"/>
  <c r="G331" i="25"/>
  <c r="G80" i="25"/>
  <c r="G235" i="25"/>
  <c r="G202" i="25"/>
  <c r="G71" i="25"/>
  <c r="G126" i="25"/>
  <c r="G156" i="25"/>
  <c r="G157" i="25"/>
  <c r="G101" i="25"/>
  <c r="G230" i="25"/>
  <c r="G353" i="25"/>
  <c r="G63" i="25"/>
  <c r="G66" i="25"/>
  <c r="G327" i="25"/>
  <c r="G72" i="25"/>
  <c r="G280" i="25"/>
  <c r="G328" i="25"/>
  <c r="G150" i="25"/>
  <c r="G348" i="25"/>
  <c r="G266" i="25"/>
  <c r="G118" i="25"/>
  <c r="G75" i="25"/>
  <c r="G250" i="25"/>
  <c r="G273" i="25"/>
  <c r="G288" i="25"/>
  <c r="G149" i="25"/>
  <c r="G201" i="25"/>
  <c r="G347" i="25"/>
  <c r="G68" i="25"/>
  <c r="G341" i="25"/>
  <c r="G291" i="25"/>
  <c r="G300" i="25"/>
  <c r="G320" i="25"/>
  <c r="G184" i="25"/>
  <c r="G195" i="25"/>
  <c r="G92" i="25"/>
  <c r="G260" i="25"/>
  <c r="G113" i="25"/>
  <c r="I41" i="25"/>
  <c r="C50" i="25" s="1"/>
  <c r="I38" i="25"/>
  <c r="C47" i="25" s="1"/>
  <c r="K40" i="25"/>
  <c r="E49" i="25" s="1"/>
  <c r="K39" i="25"/>
  <c r="E48" i="25" s="1"/>
  <c r="K38" i="25"/>
  <c r="E47" i="25" s="1"/>
  <c r="K41" i="25"/>
  <c r="J42" i="25"/>
  <c r="I39" i="25"/>
  <c r="C48" i="25" s="1"/>
  <c r="I40" i="25"/>
  <c r="C49" i="25" s="1"/>
  <c r="K13" i="4"/>
  <c r="L12" i="4"/>
  <c r="L13" i="4"/>
  <c r="G339" i="25" l="1"/>
  <c r="G299" i="25"/>
  <c r="G82" i="25"/>
  <c r="G137" i="25"/>
  <c r="G246" i="25"/>
  <c r="G91" i="25"/>
  <c r="G152" i="25"/>
  <c r="G333" i="25"/>
  <c r="G294" i="25"/>
  <c r="G270" i="25"/>
  <c r="G128" i="25"/>
  <c r="G259" i="25"/>
  <c r="G248" i="25"/>
  <c r="G179" i="25"/>
  <c r="G163" i="25"/>
  <c r="G281" i="25"/>
  <c r="G345" i="25"/>
  <c r="G325" i="25"/>
  <c r="G132" i="25"/>
  <c r="G114" i="25"/>
  <c r="G214" i="25"/>
  <c r="G131" i="25"/>
  <c r="G357" i="25"/>
  <c r="G344" i="25"/>
  <c r="G106" i="25"/>
  <c r="G93" i="25"/>
  <c r="G289" i="25"/>
  <c r="G284" i="25"/>
  <c r="G255" i="25"/>
  <c r="G232" i="25"/>
  <c r="G212" i="25"/>
  <c r="G183" i="25"/>
  <c r="G140" i="25"/>
  <c r="G307" i="25"/>
  <c r="G295" i="25"/>
  <c r="G292" i="25"/>
  <c r="G282" i="25"/>
  <c r="G278" i="25"/>
  <c r="G269" i="25"/>
  <c r="G264" i="25"/>
  <c r="G261" i="25"/>
  <c r="G257" i="25"/>
  <c r="G247" i="25"/>
  <c r="G244" i="25"/>
  <c r="G238" i="25"/>
  <c r="G168" i="25"/>
  <c r="G64" i="25"/>
  <c r="G170" i="25"/>
  <c r="G138" i="25"/>
  <c r="G290" i="25"/>
  <c r="G275" i="25"/>
  <c r="G263" i="25"/>
  <c r="G256" i="25"/>
  <c r="G239" i="25"/>
  <c r="G95" i="25"/>
  <c r="G78" i="25"/>
  <c r="G187" i="25"/>
  <c r="G208" i="25"/>
  <c r="G193" i="25"/>
  <c r="G177" i="25"/>
  <c r="G147" i="25"/>
  <c r="G133" i="25"/>
  <c r="G308" i="25"/>
  <c r="G301" i="25"/>
  <c r="G297" i="25"/>
  <c r="G237" i="25"/>
  <c r="G351" i="25"/>
  <c r="G223" i="25"/>
  <c r="G220" i="25"/>
  <c r="G218" i="25"/>
  <c r="G215" i="25"/>
  <c r="G207" i="25"/>
  <c r="G205" i="25"/>
  <c r="G203" i="25"/>
  <c r="G199" i="25"/>
  <c r="G197" i="25"/>
  <c r="G194" i="25"/>
  <c r="G192" i="25"/>
  <c r="G189" i="25"/>
  <c r="G151" i="25"/>
  <c r="G134" i="25"/>
  <c r="G104" i="25"/>
  <c r="G158" i="25"/>
  <c r="G123" i="25"/>
  <c r="G122" i="25"/>
  <c r="G120" i="25"/>
  <c r="G115" i="25"/>
  <c r="G112" i="25"/>
  <c r="G108" i="25"/>
  <c r="G105" i="25"/>
  <c r="G98" i="25"/>
  <c r="G96" i="25"/>
  <c r="G94" i="25"/>
  <c r="G88" i="25"/>
  <c r="G85" i="25"/>
  <c r="G83" i="25"/>
  <c r="G79" i="25"/>
  <c r="G77" i="25"/>
  <c r="G74" i="25"/>
  <c r="G70" i="25"/>
  <c r="G69" i="25"/>
  <c r="G62" i="25"/>
  <c r="G60" i="25"/>
  <c r="G358" i="25"/>
  <c r="G324" i="25"/>
  <c r="G323" i="25"/>
  <c r="G227" i="25"/>
  <c r="G143" i="25"/>
  <c r="G121" i="25"/>
  <c r="G334" i="25"/>
  <c r="G136" i="25"/>
  <c r="G322" i="25"/>
  <c r="G302" i="25"/>
  <c r="G298" i="25"/>
  <c r="G283" i="25"/>
  <c r="G277" i="25"/>
  <c r="G262" i="25"/>
  <c r="G251" i="25"/>
  <c r="G249" i="25"/>
  <c r="G243" i="25"/>
  <c r="G240" i="25"/>
  <c r="G356" i="25"/>
  <c r="G352" i="25"/>
  <c r="G336" i="25"/>
  <c r="G226" i="25"/>
  <c r="G211" i="25"/>
  <c r="G181" i="25"/>
  <c r="G155" i="25"/>
  <c r="G139" i="25"/>
  <c r="G119" i="25"/>
  <c r="G103" i="25"/>
  <c r="G61" i="25"/>
  <c r="G87" i="25"/>
  <c r="G198" i="25"/>
  <c r="G337" i="25"/>
  <c r="G102" i="25"/>
  <c r="G65" i="25"/>
  <c r="G228" i="25"/>
  <c r="G335" i="25"/>
  <c r="G219" i="25"/>
  <c r="G349" i="25"/>
  <c r="G272" i="25"/>
  <c r="G252" i="25"/>
  <c r="G166" i="25"/>
  <c r="G145" i="25"/>
  <c r="G276" i="25"/>
  <c r="G315" i="25"/>
  <c r="G305" i="25"/>
  <c r="G146" i="25"/>
  <c r="G233" i="25"/>
  <c r="G217" i="25"/>
  <c r="G90" i="25"/>
  <c r="G76" i="25"/>
  <c r="G73" i="25"/>
  <c r="G326" i="25"/>
  <c r="G81" i="25"/>
  <c r="G173" i="25"/>
  <c r="G162" i="25"/>
  <c r="G236" i="25"/>
  <c r="G254" i="25"/>
  <c r="G265" i="25"/>
  <c r="G312" i="25"/>
  <c r="G229" i="25"/>
  <c r="G153" i="25"/>
  <c r="G321" i="25"/>
  <c r="G110" i="25"/>
  <c r="G310" i="25"/>
  <c r="G100" i="25"/>
  <c r="G245" i="25"/>
  <c r="G271" i="25"/>
  <c r="G154" i="25"/>
  <c r="G213" i="25"/>
  <c r="G89" i="25"/>
  <c r="G99" i="25"/>
  <c r="G178" i="25"/>
  <c r="G191" i="25"/>
  <c r="G206" i="25"/>
  <c r="G86" i="25"/>
  <c r="G253" i="25"/>
  <c r="G267" i="25"/>
  <c r="G209" i="25"/>
  <c r="G186" i="25"/>
  <c r="G330" i="25"/>
  <c r="G316" i="25"/>
  <c r="G127" i="25"/>
  <c r="G180" i="25"/>
  <c r="G172" i="25"/>
  <c r="G225" i="25"/>
  <c r="G342" i="25"/>
  <c r="G309" i="25"/>
  <c r="G314" i="25"/>
  <c r="G175" i="25"/>
  <c r="G161" i="25"/>
  <c r="G221" i="25"/>
  <c r="G109" i="25"/>
  <c r="G141" i="25"/>
  <c r="G204" i="25"/>
  <c r="G97" i="25"/>
  <c r="G67" i="25"/>
  <c r="G84" i="25"/>
  <c r="G111" i="25"/>
  <c r="G350" i="25"/>
  <c r="G130" i="25"/>
  <c r="G144" i="25"/>
  <c r="G159" i="25"/>
  <c r="G338" i="25"/>
  <c r="G286" i="25"/>
  <c r="G304" i="25"/>
  <c r="G311" i="25"/>
  <c r="G231" i="25"/>
  <c r="G241" i="25"/>
  <c r="G167" i="25"/>
  <c r="G216" i="25"/>
  <c r="G287" i="25"/>
  <c r="G329" i="25"/>
  <c r="G318" i="25"/>
  <c r="G171" i="25"/>
  <c r="G242" i="25"/>
  <c r="G164" i="25"/>
  <c r="G196" i="25"/>
  <c r="G176" i="25"/>
  <c r="G346" i="25"/>
  <c r="G258" i="25"/>
  <c r="G317" i="25"/>
  <c r="G355" i="25"/>
  <c r="G279" i="25"/>
  <c r="G296" i="25"/>
  <c r="G340" i="25"/>
  <c r="G129" i="25"/>
  <c r="G319" i="25"/>
  <c r="G142" i="25"/>
  <c r="G224" i="25"/>
  <c r="G174" i="25"/>
  <c r="G343" i="25"/>
  <c r="G165" i="25"/>
  <c r="G182" i="25"/>
  <c r="E50" i="25"/>
  <c r="L41" i="25"/>
  <c r="K42" i="25"/>
  <c r="L39" i="25"/>
  <c r="L40" i="25"/>
  <c r="I42" i="25"/>
  <c r="L38" i="25"/>
  <c r="G306" i="25" l="1"/>
  <c r="G160" i="25"/>
  <c r="G303" i="25"/>
  <c r="G59" i="25"/>
  <c r="J60" i="25" s="1"/>
  <c r="L42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<sst xmlns="http://schemas.openxmlformats.org/spreadsheetml/2006/main" count="15511" uniqueCount="286">
  <si>
    <t>wiek</t>
  </si>
  <si>
    <t>mieszkanie</t>
  </si>
  <si>
    <t>klasa</t>
  </si>
  <si>
    <t>mężczyzna singiel</t>
  </si>
  <si>
    <t>własność</t>
  </si>
  <si>
    <t>dobry</t>
  </si>
  <si>
    <t>kobieta</t>
  </si>
  <si>
    <t>zły</t>
  </si>
  <si>
    <t>za darmo</t>
  </si>
  <si>
    <t>wynajem</t>
  </si>
  <si>
    <t>mężczyzna rozwiedziony</t>
  </si>
  <si>
    <t>mężczyzna żonaty</t>
  </si>
  <si>
    <t>k</t>
  </si>
  <si>
    <t>i</t>
  </si>
  <si>
    <t>N</t>
  </si>
  <si>
    <t>n</t>
  </si>
  <si>
    <t>n'</t>
  </si>
  <si>
    <t>s'²</t>
  </si>
  <si>
    <t>β</t>
  </si>
  <si>
    <t>V(s²)</t>
  </si>
  <si>
    <t>d</t>
  </si>
  <si>
    <t>s²</t>
  </si>
  <si>
    <t>ŷ</t>
  </si>
  <si>
    <t>y</t>
  </si>
  <si>
    <t>Wyznaczenie minimalnej liczebności próby</t>
  </si>
  <si>
    <t>r'</t>
  </si>
  <si>
    <t>losowa</t>
  </si>
  <si>
    <t>c'²</t>
  </si>
  <si>
    <t>b</t>
  </si>
  <si>
    <t>a</t>
  </si>
  <si>
    <t>prosty</t>
  </si>
  <si>
    <t>ilorazowy</t>
  </si>
  <si>
    <t>regresyjny</t>
  </si>
  <si>
    <t>ilorazowy vs prosty</t>
  </si>
  <si>
    <t>regresyjny vs prosty</t>
  </si>
  <si>
    <t>p'</t>
  </si>
  <si>
    <t>est(PQ)</t>
  </si>
  <si>
    <t>1 - α</t>
  </si>
  <si>
    <t>α</t>
  </si>
  <si>
    <t>z</t>
  </si>
  <si>
    <t>dolna granica</t>
  </si>
  <si>
    <t>górna granica</t>
  </si>
  <si>
    <t>klient</t>
  </si>
  <si>
    <t>Struktura populacji</t>
  </si>
  <si>
    <t>Struktura próby</t>
  </si>
  <si>
    <t>Płeć</t>
  </si>
  <si>
    <t>M</t>
  </si>
  <si>
    <t>K</t>
  </si>
  <si>
    <t>wzór 39</t>
  </si>
  <si>
    <t>Warstwa</t>
  </si>
  <si>
    <r>
      <rPr>
        <b/>
        <sz val="11"/>
        <color theme="1"/>
        <rFont val="Aptos Narrow"/>
        <family val="2"/>
        <scheme val="minor"/>
      </rPr>
      <t>W</t>
    </r>
    <r>
      <rPr>
        <b/>
        <vertAlign val="subscript"/>
        <sz val="11"/>
        <color theme="1"/>
        <rFont val="Aptos Narrow"/>
        <family val="2"/>
        <scheme val="minor"/>
      </rPr>
      <t>h</t>
    </r>
  </si>
  <si>
    <r>
      <t>n'</t>
    </r>
    <r>
      <rPr>
        <b/>
        <vertAlign val="subscript"/>
        <sz val="11"/>
        <color theme="1"/>
        <rFont val="Aptos Narrow"/>
        <family val="2"/>
        <scheme val="minor"/>
      </rPr>
      <t>h</t>
    </r>
  </si>
  <si>
    <r>
      <t>s'</t>
    </r>
    <r>
      <rPr>
        <b/>
        <vertAlign val="subscript"/>
        <sz val="11"/>
        <color theme="1"/>
        <rFont val="Aptos Narrow"/>
        <family val="2"/>
        <scheme val="minor"/>
      </rPr>
      <t>h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</si>
  <si>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Suma:</t>
  </si>
  <si>
    <t>MD</t>
  </si>
  <si>
    <t>MZ</t>
  </si>
  <si>
    <t>KD</t>
  </si>
  <si>
    <t>KZ</t>
  </si>
  <si>
    <r>
      <t>s'</t>
    </r>
    <r>
      <rPr>
        <vertAlign val="subscript"/>
        <sz val="11"/>
        <color theme="1"/>
        <rFont val="Aptos Narrow"/>
        <family val="2"/>
        <scheme val="minor"/>
      </rPr>
      <t>w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</si>
  <si>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prop</t>
    </r>
  </si>
  <si>
    <t>Porównanie z losowaniem prostym</t>
  </si>
  <si>
    <t>ӯ</t>
  </si>
  <si>
    <t>Szacowanie średniej i sumy:</t>
  </si>
  <si>
    <t>czas trwania</t>
  </si>
  <si>
    <r>
      <t>s'</t>
    </r>
    <r>
      <rPr>
        <vertAlign val="subscript"/>
        <sz val="12"/>
        <rFont val="Aptos Narrow"/>
        <family val="2"/>
        <scheme val="minor"/>
      </rPr>
      <t>e</t>
    </r>
    <r>
      <rPr>
        <sz val="12"/>
        <rFont val="Aptos Narrow"/>
        <family val="2"/>
        <scheme val="minor"/>
      </rPr>
      <t>²</t>
    </r>
  </si>
  <si>
    <r>
      <rPr>
        <sz val="12"/>
        <rFont val="Aptos Narrow"/>
        <family val="2"/>
        <scheme val="minor"/>
      </rPr>
      <t>s'</t>
    </r>
    <r>
      <rPr>
        <vertAlign val="subscript"/>
        <sz val="12"/>
        <rFont val="Aptos Narrow"/>
        <family val="2"/>
        <scheme val="minor"/>
      </rPr>
      <t>x</t>
    </r>
  </si>
  <si>
    <r>
      <t>s'</t>
    </r>
    <r>
      <rPr>
        <vertAlign val="subscript"/>
        <sz val="12"/>
        <rFont val="Aptos Narrow"/>
        <family val="2"/>
        <scheme val="minor"/>
      </rPr>
      <t>y</t>
    </r>
  </si>
  <si>
    <t>Estymacja punktowa frakcji</t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</si>
  <si>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h</t>
    </r>
  </si>
  <si>
    <t>Szacowanie średniej:</t>
  </si>
  <si>
    <r>
      <rPr>
        <sz val="11"/>
        <color theme="1"/>
        <rFont val="Consolas"/>
        <family val="3"/>
        <charset val="238"/>
      </rPr>
      <t>ӯ</t>
    </r>
    <r>
      <rPr>
        <vertAlign val="subscript"/>
        <sz val="11"/>
        <color theme="1"/>
        <rFont val="Aptos Narrow"/>
        <family val="2"/>
      </rPr>
      <t>w</t>
    </r>
  </si>
  <si>
    <t>Szacowanie sumy:</t>
  </si>
  <si>
    <t>LOSOWANIE WARSTWOWE - LOKALIZACJA PROPORCJONALNA</t>
  </si>
  <si>
    <t>LOSOWANIE PROSTE FRAKCJI</t>
  </si>
  <si>
    <t>x1</t>
  </si>
  <si>
    <t>dolosować</t>
  </si>
  <si>
    <t>LOSOWANIE WARSTWOWE - LOKALIZACJA RÓWNOMIERNA</t>
  </si>
  <si>
    <t>LOSOWANIE WARSTWOWE - LOKALIZACJA OPTYMALNA NEYMANA</t>
  </si>
  <si>
    <r>
      <rPr>
        <sz val="10"/>
        <rFont val="Aptos Narrow"/>
        <family val="2"/>
      </rPr>
      <t>ȳ</t>
    </r>
    <r>
      <rPr>
        <vertAlign val="subscript"/>
        <sz val="10"/>
        <rFont val="Arial CE"/>
        <charset val="238"/>
      </rPr>
      <t>w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</si>
  <si>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opt</t>
    </r>
  </si>
  <si>
    <r>
      <t>s</t>
    </r>
    <r>
      <rPr>
        <sz val="11"/>
        <color theme="1"/>
        <rFont val="Aptos Narrow"/>
        <family val="2"/>
      </rPr>
      <t>²</t>
    </r>
  </si>
  <si>
    <t>Y</t>
  </si>
  <si>
    <t>grupa (i)</t>
  </si>
  <si>
    <r>
      <rPr>
        <sz val="11"/>
        <color theme="1"/>
        <rFont val="Aptos Narrow"/>
        <family val="2"/>
      </rPr>
      <t>ȳ</t>
    </r>
    <r>
      <rPr>
        <vertAlign val="subscript"/>
        <sz val="14.3"/>
        <color theme="1"/>
        <rFont val="Calibri"/>
        <family val="2"/>
      </rPr>
      <t>i</t>
    </r>
  </si>
  <si>
    <t>m</t>
  </si>
  <si>
    <r>
      <t>s</t>
    </r>
    <r>
      <rPr>
        <vertAlign val="subscript"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</rPr>
      <t>²</t>
    </r>
  </si>
  <si>
    <t>min</t>
  </si>
  <si>
    <t>grupa</t>
  </si>
  <si>
    <t>m'</t>
  </si>
  <si>
    <r>
      <t>s</t>
    </r>
    <r>
      <rPr>
        <vertAlign val="subscript"/>
        <sz val="11"/>
        <color theme="1"/>
        <rFont val="Aptos Narrow"/>
        <family val="2"/>
        <scheme val="minor"/>
      </rPr>
      <t>z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</si>
  <si>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ȳ</t>
    </r>
    <r>
      <rPr>
        <vertAlign val="subscript"/>
        <sz val="11"/>
        <color theme="1"/>
        <rFont val="Aptos Narrow"/>
        <family val="2"/>
        <scheme val="minor"/>
      </rPr>
      <t>z</t>
    </r>
  </si>
  <si>
    <t>x2</t>
  </si>
  <si>
    <t>Dane do ustalenia wag:</t>
  </si>
  <si>
    <r>
      <t>Warstwa (</t>
    </r>
    <r>
      <rPr>
        <i/>
        <sz val="11"/>
        <color theme="1"/>
        <rFont val="Aptos Narrow"/>
        <family val="2"/>
        <charset val="238"/>
        <scheme val="minor"/>
      </rPr>
      <t>h</t>
    </r>
    <r>
      <rPr>
        <sz val="11"/>
        <color theme="1"/>
        <rFont val="Aptos Narrow"/>
        <family val="2"/>
        <charset val="238"/>
        <scheme val="minor"/>
      </rPr>
      <t>)</t>
    </r>
  </si>
  <si>
    <r>
      <t>Liczebność populacji (</t>
    </r>
    <r>
      <rPr>
        <i/>
        <sz val="11"/>
        <color theme="1"/>
        <rFont val="Aptos Narrow"/>
        <family val="2"/>
        <charset val="238"/>
        <scheme val="minor"/>
      </rPr>
      <t>N</t>
    </r>
    <r>
      <rPr>
        <i/>
        <vertAlign val="subscript"/>
        <sz val="11"/>
        <color theme="1"/>
        <rFont val="Aptos Narrow"/>
        <family val="2"/>
        <charset val="238"/>
        <scheme val="minor"/>
      </rPr>
      <t>h</t>
    </r>
    <r>
      <rPr>
        <sz val="11"/>
        <color theme="1"/>
        <rFont val="Aptos Narrow"/>
        <family val="2"/>
        <charset val="238"/>
        <scheme val="minor"/>
      </rPr>
      <t>)</t>
    </r>
  </si>
  <si>
    <r>
      <t>Liczebność próby (</t>
    </r>
    <r>
      <rPr>
        <i/>
        <sz val="11"/>
        <color theme="1"/>
        <rFont val="Aptos Narrow"/>
        <family val="2"/>
        <charset val="238"/>
        <scheme val="minor"/>
      </rPr>
      <t>n</t>
    </r>
    <r>
      <rPr>
        <i/>
        <vertAlign val="subscript"/>
        <sz val="11"/>
        <color theme="1"/>
        <rFont val="Aptos Narrow"/>
        <family val="2"/>
        <charset val="238"/>
        <scheme val="minor"/>
      </rPr>
      <t>h</t>
    </r>
    <r>
      <rPr>
        <sz val="11"/>
        <color theme="1"/>
        <rFont val="Aptos Narrow"/>
        <family val="2"/>
        <charset val="238"/>
        <scheme val="minor"/>
      </rPr>
      <t>)</t>
    </r>
  </si>
  <si>
    <r>
      <t>Prawdopodobieństwo inkluzji (</t>
    </r>
    <r>
      <rPr>
        <i/>
        <sz val="11"/>
        <color theme="1"/>
        <rFont val="Aptos Narrow"/>
        <family val="2"/>
        <charset val="238"/>
        <scheme val="minor"/>
      </rPr>
      <t>π</t>
    </r>
    <r>
      <rPr>
        <i/>
        <vertAlign val="subscript"/>
        <sz val="11"/>
        <color theme="1"/>
        <rFont val="Aptos Narrow"/>
        <family val="2"/>
        <charset val="238"/>
        <scheme val="minor"/>
      </rPr>
      <t>hi</t>
    </r>
    <r>
      <rPr>
        <sz val="11"/>
        <color theme="1"/>
        <rFont val="Aptos Narrow"/>
        <family val="2"/>
        <charset val="238"/>
        <scheme val="minor"/>
      </rPr>
      <t>)</t>
    </r>
  </si>
  <si>
    <r>
      <t>Waga (</t>
    </r>
    <r>
      <rPr>
        <i/>
        <sz val="11"/>
        <color theme="1"/>
        <rFont val="Aptos Narrow"/>
        <family val="2"/>
        <charset val="238"/>
        <scheme val="minor"/>
      </rPr>
      <t>d</t>
    </r>
    <r>
      <rPr>
        <i/>
        <vertAlign val="subscript"/>
        <sz val="11"/>
        <color theme="1"/>
        <rFont val="Aptos Narrow"/>
        <family val="2"/>
        <charset val="238"/>
        <scheme val="minor"/>
      </rPr>
      <t>hi</t>
    </r>
    <r>
      <rPr>
        <sz val="11"/>
        <color theme="1"/>
        <rFont val="Aptos Narrow"/>
        <family val="2"/>
        <charset val="238"/>
        <scheme val="minor"/>
      </rPr>
      <t>)</t>
    </r>
  </si>
  <si>
    <t>Liczebność 
w próbie</t>
  </si>
  <si>
    <t>%</t>
  </si>
  <si>
    <t>Szacunek liczebności dla populacji</t>
  </si>
  <si>
    <t>Szacunek % dla populacji</t>
  </si>
  <si>
    <t>Mieszkanie</t>
  </si>
  <si>
    <t>POPULACJA</t>
  </si>
  <si>
    <t>PRÓBA</t>
  </si>
  <si>
    <t>?</t>
  </si>
  <si>
    <r>
      <t>n</t>
    </r>
    <r>
      <rPr>
        <vertAlign val="subscript"/>
        <sz val="12"/>
        <color theme="1"/>
        <rFont val="Aptos Narrow"/>
        <family val="2"/>
        <charset val="238"/>
        <scheme val="minor"/>
      </rPr>
      <t>r</t>
    </r>
  </si>
  <si>
    <r>
      <t>d</t>
    </r>
    <r>
      <rPr>
        <vertAlign val="subscript"/>
        <sz val="12"/>
        <color theme="1"/>
        <rFont val="Aptos Narrow"/>
        <family val="2"/>
        <charset val="238"/>
        <scheme val="minor"/>
      </rPr>
      <t>i</t>
    </r>
  </si>
  <si>
    <t>Krok 1</t>
  </si>
  <si>
    <t>Krok 2</t>
  </si>
  <si>
    <t>Krok 3</t>
  </si>
  <si>
    <t>Krok 4</t>
  </si>
  <si>
    <t>Klient</t>
  </si>
  <si>
    <t>b.d.</t>
  </si>
  <si>
    <t>udział w badaniu
1-tak, 0-nie</t>
  </si>
  <si>
    <r>
      <t>n</t>
    </r>
    <r>
      <rPr>
        <vertAlign val="subscript"/>
        <sz val="11"/>
        <color theme="1"/>
        <rFont val="Aptos Narrow"/>
        <family val="2"/>
        <charset val="238"/>
        <scheme val="minor"/>
      </rPr>
      <t>r</t>
    </r>
  </si>
  <si>
    <r>
      <t>d</t>
    </r>
    <r>
      <rPr>
        <vertAlign val="subscript"/>
        <sz val="11"/>
        <color theme="1"/>
        <rFont val="Aptos Narrow"/>
        <family val="2"/>
        <charset val="238"/>
        <scheme val="minor"/>
      </rPr>
      <t>i</t>
    </r>
  </si>
  <si>
    <r>
      <t>y</t>
    </r>
    <r>
      <rPr>
        <sz val="11"/>
        <color theme="1"/>
        <rFont val="Calibri"/>
        <family val="2"/>
        <charset val="238"/>
      </rPr>
      <t>̂</t>
    </r>
  </si>
  <si>
    <t>Bez korekty na braki odpowiedzi</t>
  </si>
  <si>
    <t>Przyjmując jednakową skłonność do odpowiedzi</t>
  </si>
  <si>
    <t>Obliczenia pośrednie:</t>
  </si>
  <si>
    <t>Grupa</t>
  </si>
  <si>
    <r>
      <t>n</t>
    </r>
    <r>
      <rPr>
        <vertAlign val="subscript"/>
        <sz val="11"/>
        <rFont val="Aptos Narrow"/>
        <family val="2"/>
        <charset val="238"/>
        <scheme val="minor"/>
      </rPr>
      <t>h</t>
    </r>
  </si>
  <si>
    <r>
      <rPr>
        <sz val="11"/>
        <rFont val="Aptos Narrow"/>
        <family val="2"/>
        <charset val="238"/>
        <scheme val="minor"/>
      </rPr>
      <t>n</t>
    </r>
    <r>
      <rPr>
        <vertAlign val="subscript"/>
        <sz val="11"/>
        <rFont val="Aptos Narrow"/>
        <family val="2"/>
        <charset val="238"/>
        <scheme val="minor"/>
      </rPr>
      <t>r</t>
    </r>
  </si>
  <si>
    <r>
      <t>p</t>
    </r>
    <r>
      <rPr>
        <sz val="11"/>
        <rFont val="Calibri"/>
        <family val="2"/>
        <charset val="238"/>
      </rPr>
      <t>̂</t>
    </r>
    <r>
      <rPr>
        <vertAlign val="subscript"/>
        <sz val="11"/>
        <rFont val="Aptos Narrow"/>
        <family val="2"/>
        <charset val="238"/>
        <scheme val="minor"/>
      </rPr>
      <t>hi</t>
    </r>
  </si>
  <si>
    <r>
      <t>w</t>
    </r>
    <r>
      <rPr>
        <vertAlign val="subscript"/>
        <sz val="11"/>
        <rFont val="Aptos Narrow"/>
        <family val="2"/>
        <charset val="238"/>
        <scheme val="minor"/>
      </rPr>
      <t xml:space="preserve">hi </t>
    </r>
    <r>
      <rPr>
        <sz val="11"/>
        <rFont val="Aptos Narrow"/>
        <family val="2"/>
        <charset val="238"/>
        <scheme val="minor"/>
      </rPr>
      <t>= d</t>
    </r>
    <r>
      <rPr>
        <vertAlign val="subscript"/>
        <sz val="11"/>
        <rFont val="Aptos Narrow"/>
        <family val="2"/>
        <charset val="238"/>
        <scheme val="minor"/>
      </rPr>
      <t>i</t>
    </r>
    <r>
      <rPr>
        <sz val="11"/>
        <rFont val="Aptos Narrow"/>
        <family val="2"/>
        <charset val="238"/>
        <scheme val="minor"/>
      </rPr>
      <t xml:space="preserve"> / p</t>
    </r>
    <r>
      <rPr>
        <sz val="11"/>
        <rFont val="Calibri"/>
        <family val="2"/>
        <charset val="238"/>
      </rPr>
      <t>̂</t>
    </r>
    <r>
      <rPr>
        <vertAlign val="subscript"/>
        <sz val="11"/>
        <rFont val="Calibri"/>
        <family val="2"/>
        <charset val="238"/>
      </rPr>
      <t>hi</t>
    </r>
  </si>
  <si>
    <t>kwota kredytu</t>
  </si>
  <si>
    <t>status plec</t>
  </si>
  <si>
    <t>zespół</t>
  </si>
  <si>
    <t>Wybór zespołów do próby (lpbz)</t>
  </si>
  <si>
    <t>zespoły wstępne</t>
  </si>
  <si>
    <t>Podział na zespoły wstępne ze względu na zmienną wiek</t>
  </si>
  <si>
    <t>W celu uniknięcia zerowej liczby w zespole oraz bardzo małolicznych zespołów (&lt;10), połączono niektóre zespoły, a niektóre o dużych liczebnościach podzielono.</t>
  </si>
  <si>
    <t>Najpierw sprawdzono czy liczebność próby wstępnej jest wystarczająca do wyliczenia minimalnej liczebności próby.</t>
  </si>
  <si>
    <t>Użyto do tego współczynnika zmienności wariancji z próby wstępnej.</t>
  </si>
  <si>
    <t>Porównanie wariancji z próby otrzymanej z losowania ze zwracaniem z losowaniem bez zwracania.</t>
  </si>
  <si>
    <t>Porównane zostaną 3 różne estymatory służące do szacowania średniej i sumy czasu trwania: estymator prosty, ilorazowy i regresyjny.</t>
  </si>
  <si>
    <t>&lt;0,1 =&gt; zatem liczebność próby wstępnej jest wystarczająca</t>
  </si>
  <si>
    <t>n' &gt; 50</t>
  </si>
  <si>
    <t>Próba wstępna ma więcej niż 50 obserwacji, więc jest wystarczająca.</t>
  </si>
  <si>
    <t>Wszystkie estymatory wskazały na minimalną liczebność próby mniejszą niż 320, zatem dalsze wnioskowanie przeprowadzone zostanie na próbie 320 obserwacji.</t>
  </si>
  <si>
    <t>estymator prosty:</t>
  </si>
  <si>
    <t>estymator ilorazowy:</t>
  </si>
  <si>
    <t>estymator regresyjny:</t>
  </si>
  <si>
    <t>Porównanie wariancji estymatorów</t>
  </si>
  <si>
    <t>Użyto do tego frakcji dobrych klientów.</t>
  </si>
  <si>
    <t>Otrzymano, że minimalna liczebność próby wynosi 247, zatem dolosowano dodatkowo 50 obserwacji i jeszcze raz zbadano potrzeby związane z wielkością próby.</t>
  </si>
  <si>
    <t>Otrzymano, że minimalna liczebność próby wynosi 250, zatem nasza próba jest wystarczająca do dalszego wnioskowania.</t>
  </si>
  <si>
    <t>Oszacowano frakcję dobrych klientów banku na poziomie 0,708 z możliwością popełnienia błędu średnio o 0,025.</t>
  </si>
  <si>
    <t>Rzeczywista frakcja dobrych klientów na 95% znajduje się w przedziale (0,659;0,757).</t>
  </si>
  <si>
    <t>Oszacowano około 708 osób jako dobrych klientów z możliwością popełnienia błędu średnio o 25 osób.</t>
  </si>
  <si>
    <t>Otrzymano minimalną liczebność próby na poziomie 125 obserwacji, zatem dalsze wnioskowanie będzie oparte na próbie 200 obserwacji.</t>
  </si>
  <si>
    <t>Losowanie warstwowe jest w tym przypadku o około 10% efektywniejsze od losowania prostego.</t>
  </si>
  <si>
    <r>
      <t>N</t>
    </r>
    <r>
      <rPr>
        <b/>
        <vertAlign val="subscript"/>
        <sz val="10"/>
        <rFont val="Arial CE"/>
        <charset val="238"/>
      </rPr>
      <t>h</t>
    </r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</si>
  <si>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>h</t>
    </r>
  </si>
  <si>
    <r>
      <t>s'</t>
    </r>
    <r>
      <rPr>
        <b/>
        <vertAlign val="subscript"/>
        <sz val="11"/>
        <color theme="1"/>
        <rFont val="Aptos Narrow"/>
        <family val="2"/>
        <scheme val="minor"/>
      </rPr>
      <t>h</t>
    </r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</si>
  <si>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h</t>
    </r>
  </si>
  <si>
    <r>
      <rPr>
        <b/>
        <sz val="10"/>
        <rFont val="Aptos Narrow"/>
        <family val="2"/>
      </rPr>
      <t>ȳ</t>
    </r>
    <r>
      <rPr>
        <b/>
        <vertAlign val="subscript"/>
        <sz val="10"/>
        <rFont val="Arial CE"/>
        <charset val="238"/>
      </rPr>
      <t>h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</si>
  <si>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h</t>
    </r>
  </si>
  <si>
    <t>Otrzymano minimalną liczebność próby na poziomie 92 obserwacji, zatem dolosowane zostaną 42 jednostki, wyznaczone odpowiednio z poszczególnych wartstw.</t>
  </si>
  <si>
    <t>Dalsze wnioskowanie zostanie przeprowadzone na próbie 92 obserwacji.</t>
  </si>
  <si>
    <r>
      <t>s</t>
    </r>
    <r>
      <rPr>
        <vertAlign val="subscript"/>
        <sz val="11"/>
        <color theme="1"/>
        <rFont val="Aptos Narrow"/>
        <family val="2"/>
        <scheme val="minor"/>
      </rPr>
      <t>w</t>
    </r>
    <r>
      <rPr>
        <vertAlign val="superscript"/>
        <sz val="11"/>
        <color theme="1"/>
        <rFont val="Aptos Narrow"/>
        <family val="2"/>
        <scheme val="minor"/>
      </rPr>
      <t>2</t>
    </r>
  </si>
  <si>
    <t>LOSOWANIE WARSTWOWE - POSTSTRATYFIKACJA</t>
  </si>
  <si>
    <t>LOSOWANIE ZESPOŁOWE - PRÓBA RÓWNOLICZNA</t>
  </si>
  <si>
    <t>Wyznaczono sumy i średnie czasu trwania kredytów z odpowiednich grup.</t>
  </si>
  <si>
    <t>Porównanie z losowaniem indywidualnym:</t>
  </si>
  <si>
    <t>LOSOWANIE ZESPOŁOWE - PRÓBA RÓŻNOLICZNA</t>
  </si>
  <si>
    <t>Wyznaczono liczebności grup, sumy i średnie czasu trwania kredytów z odpowiednich grup.</t>
  </si>
  <si>
    <t>Użyto do tego współczynnika zmienności średniej liczby jednostek badania w jednostce losowania.</t>
  </si>
  <si>
    <t>&lt; 0,15, czyli próba wstępna jest wystarczająca do oszacowania wariancji globalnej cechy wartości cechy między zespołami z wystarczającą precyzją</t>
  </si>
  <si>
    <t>Najpierw sprawdzono czy liczebność zespołów próby wstępnej jest wystarczająca do wyliczenia minimalnej liczebności próby.</t>
  </si>
  <si>
    <t>Rozkład odpowiedzi na pytanie dot. sytuacji mieszkaniowej</t>
  </si>
  <si>
    <t>Otrzymane wagi mieszczą się w przedziale od 4,95 do 5,03, co oznacza, że każda jednostka w próbie reprezentuje średnio około 5 osób z populacji generalnej.</t>
  </si>
  <si>
    <t>Na podstawie zastosowanych wag oszacowano strukturę sytuacji mieszkaniowej w całej populacji 1000 kredytobiorców.</t>
  </si>
  <si>
    <t>Wyniki wskazują, że około 72% klientów mieszka we własnym mieszkaniu, 14% wynajmuje mieszkanie, a około 14% mieszka bez ponoszenia kosztów mieszkaniowych („za darmo”).</t>
  </si>
  <si>
    <t>WAGI W LOSOWANIU WARSTWOWYM Z LOKALIZACJĄ PROPORCJONALNĄ</t>
  </si>
  <si>
    <t>WAGI W LOSOWANIU WARSTWOWYM Z LOKALIZACJĄ RÓWNOLICZNĄ</t>
  </si>
  <si>
    <t>Otrzymane wagi mieszczą się w przedziale od 2,18 do 9,98, co oznacza, że jednostki w grupach reprezentują różne liczby jednostek w całej populacji.</t>
  </si>
  <si>
    <t>Wyniki wskazują, że około 71% klientów mieszka we własnym mieszkaniu, 17% wynajmuje mieszkanie, a około 13% mieszka bez ponoszenia kosztów mieszkaniowych („za darmo”).</t>
  </si>
  <si>
    <t>KALIBRACJA WAG INFOS</t>
  </si>
  <si>
    <t>Waga wynikająca ze schematu losowania</t>
  </si>
  <si>
    <t>Wagi po uwzględnieniu braków danych</t>
  </si>
  <si>
    <t>Szacunek sumy czasu trwania kredytu bez wykorzystania informacji dodatkowej:</t>
  </si>
  <si>
    <t>Oszacowana suma z wykorzystaniem informacji dodatkowej jest zbliżona do tej wyliczonej podczas przyjęcia jednakowej skłonności do odpowiedzi,</t>
  </si>
  <si>
    <t>Szacunek sumy z wykorzystaniem informacji dodatkowej:</t>
  </si>
  <si>
    <t>KALIBRACJA WAG - RAKING</t>
  </si>
  <si>
    <t>Oszacowana liczba klientów (wyłącznie na podstawie informacji z próby):</t>
  </si>
  <si>
    <t>WAGI KALIBRACYJNE</t>
  </si>
  <si>
    <t>OSZACOWANIE POPULACJI</t>
  </si>
  <si>
    <t>V(s'²)</t>
  </si>
  <si>
    <r>
      <rPr>
        <sz val="11"/>
        <color theme="1"/>
        <rFont val="Aptos Narrow"/>
        <family val="2"/>
      </rPr>
      <t>≤</t>
    </r>
    <r>
      <rPr>
        <sz val="11"/>
        <color theme="1"/>
        <rFont val="Aptos Narrow"/>
        <family val="2"/>
        <charset val="238"/>
        <scheme val="minor"/>
      </rPr>
      <t>0,2 =&gt; zatem liczebność próby wstępnej jest wystarczająca</t>
    </r>
  </si>
  <si>
    <t>Otrzymano minimalną liczebność próby równą 111, próba wstępna ma 200 obserwacji,</t>
  </si>
  <si>
    <t>≤0,2 =&gt; zatem liczebność próby wstępnej jest wystarczająca</t>
  </si>
  <si>
    <t>zatem dalsze wnioskowanie będzie oparte na próbie n = 200.</t>
  </si>
  <si>
    <t>Zatem losowanie bez zwracania jest o około 24,9% efektywniejsze niż losowanie ze zwracaniem.</t>
  </si>
  <si>
    <t>LOSOWANIE PROSTE BEZ ZWRACANIA - ESTYMACJA ZŁOŻONA</t>
  </si>
  <si>
    <t>LOSOWANIE PROSTE ZE ZWRACANIEM - ESTYMACJA PROSTA</t>
  </si>
  <si>
    <t>Najpierw sprawdzono czy liczebność próby wstępnej jest wystarczająca do wyliczenia minimalnej liczebności próby dla każdego rodzaju estymatorów.</t>
  </si>
  <si>
    <t>Oszacowania współczynników regresji liniowej:</t>
  </si>
  <si>
    <t>jednak estymator ilorazowy potrzebuje minimalnej liczebności próby na poziomie 314 obserwacji,</t>
  </si>
  <si>
    <t>W przypadku estymatora prostego i regresyjnego otrzymano, że próba z 300 obserwacjami byłaby wystarczająca,</t>
  </si>
  <si>
    <t>zatem wylosowane zostaną dodatkowe 20 obserwacji (zamiast 14, dolosowane będzie 6 dodatkowych obserwacji na wszelki wypadek).</t>
  </si>
  <si>
    <t>Estymator prosty jest o około 31% bardziej efektywny niż estymator ilorazowy, ale o 41% mniej efektywny od estymatora regresyjnego.</t>
  </si>
  <si>
    <t>Ponieważ p' jest w przedziale 0,2 &lt;= P &lt;= 0,8 to liczebność próby wstępnej n' &gt; 60 jest wystarczająca do wyznaczenia minimalnej liczebności próby.</t>
  </si>
  <si>
    <t>Liczba jednostek wyróżnionych w losowaniu prostym</t>
  </si>
  <si>
    <t>Np</t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</si>
  <si>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h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</si>
  <si>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Losowanie warstwowe jest w tym przypadku o około 6% efektywniejsze od losowania prostego.</t>
  </si>
  <si>
    <r>
      <rPr>
        <b/>
        <sz val="11"/>
        <color theme="1"/>
        <rFont val="Aptos Narrow"/>
        <family val="2"/>
      </rPr>
      <t>ӯ</t>
    </r>
    <r>
      <rPr>
        <vertAlign val="subscript"/>
        <sz val="15.95"/>
        <color theme="1"/>
        <rFont val="Aptos Narrow"/>
        <family val="2"/>
      </rPr>
      <t>h</t>
    </r>
  </si>
  <si>
    <t>Losowanie warstwowe jest w tym przypadku o około 29% efektywniejsze od losowania prostego.</t>
  </si>
  <si>
    <r>
      <t>ȳ</t>
    </r>
    <r>
      <rPr>
        <b/>
        <vertAlign val="subscript"/>
        <sz val="11"/>
        <color theme="1"/>
        <rFont val="Aptos Narrow"/>
        <family val="2"/>
        <scheme val="minor"/>
      </rPr>
      <t>h</t>
    </r>
  </si>
  <si>
    <r>
      <t>ȳ</t>
    </r>
    <r>
      <rPr>
        <vertAlign val="subscript"/>
        <sz val="11"/>
        <color theme="1"/>
        <rFont val="Aptos Narrow"/>
        <family val="2"/>
        <scheme val="minor"/>
      </rPr>
      <t>post</t>
    </r>
  </si>
  <si>
    <t>Losowanie warstwowe jest w tym przypadku o około 7% efektywniejsze od losowania prostego.</t>
  </si>
  <si>
    <r>
      <t>ŷ</t>
    </r>
    <r>
      <rPr>
        <vertAlign val="subscript"/>
        <sz val="12"/>
        <color theme="1"/>
        <rFont val="Aptos Narrow"/>
        <family val="2"/>
        <scheme val="minor"/>
      </rPr>
      <t>i</t>
    </r>
  </si>
  <si>
    <r>
      <t>s'</t>
    </r>
    <r>
      <rPr>
        <vertAlign val="subscript"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</rPr>
      <t>²</t>
    </r>
  </si>
  <si>
    <t>Otrzymaliśmy, że minimalna liczebność próby to 16 zespołów,</t>
  </si>
  <si>
    <t>dlatego dolosowujemy 6 dodatkowych zespołów.</t>
  </si>
  <si>
    <t>Otrzymaliśmy, że minimalna liczebność próby powinna mieć 13 zespołów,</t>
  </si>
  <si>
    <t>zatem dalsze wnioskowanie zostanie przeprowadzone na 16 zespołach.</t>
  </si>
  <si>
    <r>
      <t>ȳ</t>
    </r>
    <r>
      <rPr>
        <vertAlign val="subscript"/>
        <sz val="11"/>
        <color theme="1"/>
        <rFont val="Aptos Narrow"/>
        <family val="2"/>
      </rPr>
      <t>z</t>
    </r>
  </si>
  <si>
    <t>Losowanie zespołowe jest w tym przypadku o około 5% efektywniejsze od losowania prostego.</t>
  </si>
  <si>
    <r>
      <t>m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</si>
  <si>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s'</t>
    </r>
    <r>
      <rPr>
        <vertAlign val="subscript"/>
        <sz val="11"/>
        <color theme="1"/>
        <rFont val="Aptos Narrow"/>
        <family val="2"/>
        <scheme val="minor"/>
      </rPr>
      <t>z</t>
    </r>
    <r>
      <rPr>
        <vertAlign val="superscript"/>
        <sz val="11"/>
        <color theme="1"/>
        <rFont val="Aptos Narrow"/>
        <family val="2"/>
        <scheme val="minor"/>
      </rPr>
      <t>2</t>
    </r>
  </si>
  <si>
    <t>zatem dalsze wnioskowanie będzie oparte na próbie n = 10.</t>
  </si>
  <si>
    <t>Otrzymano minimalną liczebność próby równą 9, próba wstępna ma 10 zespołów,</t>
  </si>
  <si>
    <r>
      <t>ȳ'</t>
    </r>
    <r>
      <rPr>
        <vertAlign val="subscript"/>
        <sz val="11"/>
        <color theme="1"/>
        <rFont val="Aptos Narrow"/>
        <family val="2"/>
        <scheme val="minor"/>
      </rPr>
      <t>z</t>
    </r>
  </si>
  <si>
    <t>Losowanie proste jest w tym przypadku o około 60% efektywniejsze od losowania zespołowego.</t>
  </si>
  <si>
    <r>
      <t>waga (d</t>
    </r>
    <r>
      <rPr>
        <b/>
        <vertAlign val="subscript"/>
        <sz val="11"/>
        <color theme="1"/>
        <rFont val="Aptos Narrow"/>
        <family val="2"/>
        <scheme val="minor"/>
      </rPr>
      <t>hi</t>
    </r>
    <r>
      <rPr>
        <b/>
        <sz val="11"/>
        <color theme="1"/>
        <rFont val="Aptos Narrow"/>
        <family val="2"/>
        <scheme val="minor"/>
      </rPr>
      <t>)</t>
    </r>
  </si>
  <si>
    <t>ponieważ w naszym przypadku braki danych są całkowicie losowe (MCAR).</t>
  </si>
  <si>
    <t>Otrzymane wagi mieszczą się w przedziale od 2,8 do 4,0, co oznacza, że każda jednostka w próbie reprezentuje średnio około od 2,8 do 4,0 osób z populacji generalnej w zależności od warstwy.</t>
  </si>
  <si>
    <t>np. waga MD własność = 3,5 oznacza, że klient posiadający mieszkanie na własność, który jest mężczyzną o dobrej ocenia reprezentuje w próbie 3,5 jednostek z populacji.</t>
  </si>
  <si>
    <t>Szacunek sumy z wykorzystaniem wag kalibracyjnych:</t>
  </si>
  <si>
    <t>Tabela przedstawia 300 kompletnych obserwacji, pozostałe 200 uzyskały braki danych.</t>
  </si>
  <si>
    <t>Oszacujemy sumę czasu trwania kredytów dla całej populacji na podstawie wyznaczonych wag kalibracyjnych.</t>
  </si>
  <si>
    <r>
      <t>d</t>
    </r>
    <r>
      <rPr>
        <b/>
        <vertAlign val="subscript"/>
        <sz val="11"/>
        <color theme="1"/>
        <rFont val="Aptos Narrow"/>
        <family val="2"/>
        <scheme val="minor"/>
      </rPr>
      <t>i</t>
    </r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</si>
  <si>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>hi</t>
    </r>
  </si>
  <si>
    <t>PROJEKT ZALICZENIOWY</t>
  </si>
  <si>
    <t>https://github.com/JLZml/Credit-Scoring-Data-Sets/tree/master/1.%20UCI%20Repository/German</t>
  </si>
  <si>
    <t>Zbiór danych:</t>
  </si>
  <si>
    <r>
      <t xml:space="preserve">Zbiór danych został przez nas odkodowany, bazując na informacjach zawartych w repozytorium, a następnie zapisany w pliku Excel. Składał się on z 1000 obserwacji dotyczących kredytobiorców pewnego niemieckiego banku. Wybraliśmy z niego zmienne, które zostały przez nas wykorzystane do przykładów zaprezentowanych w projekcie. Ograniczony pod względem liczby zmiennych zbiór został zamieszczony w arkuszu </t>
    </r>
    <r>
      <rPr>
        <i/>
        <sz val="14"/>
        <color theme="1"/>
        <rFont val="Arial"/>
        <family val="2"/>
        <charset val="238"/>
      </rPr>
      <t>"Dane"</t>
    </r>
    <r>
      <rPr>
        <sz val="14"/>
        <color theme="1"/>
        <rFont val="Arial"/>
        <family val="2"/>
        <charset val="238"/>
      </rPr>
      <t>.</t>
    </r>
  </si>
  <si>
    <r>
      <t xml:space="preserve">Dla estymatora </t>
    </r>
    <r>
      <rPr>
        <b/>
        <sz val="11"/>
        <color theme="1"/>
        <rFont val="Aptos Narrow"/>
        <family val="2"/>
        <scheme val="minor"/>
      </rPr>
      <t>prostego</t>
    </r>
    <r>
      <rPr>
        <sz val="11"/>
        <color theme="1"/>
        <rFont val="Aptos Narrow"/>
        <family val="2"/>
        <scheme val="minor"/>
      </rPr>
      <t>:</t>
    </r>
  </si>
  <si>
    <r>
      <t xml:space="preserve">Dla estymatora </t>
    </r>
    <r>
      <rPr>
        <b/>
        <sz val="11"/>
        <rFont val="Aptos Narrow"/>
        <family val="2"/>
        <scheme val="minor"/>
      </rPr>
      <t>ilorazowego</t>
    </r>
    <r>
      <rPr>
        <sz val="11"/>
        <rFont val="Aptos Narrow"/>
        <family val="2"/>
        <scheme val="minor"/>
      </rPr>
      <t>:</t>
    </r>
  </si>
  <si>
    <r>
      <t xml:space="preserve">Dla estymatora </t>
    </r>
    <r>
      <rPr>
        <b/>
        <sz val="11"/>
        <rFont val="Aptos Narrow"/>
        <family val="2"/>
        <scheme val="minor"/>
      </rPr>
      <t>regresyjnego</t>
    </r>
    <r>
      <rPr>
        <sz val="11"/>
        <rFont val="Aptos Narrow"/>
        <family val="2"/>
        <scheme val="minor"/>
      </rPr>
      <t>:</t>
    </r>
  </si>
  <si>
    <r>
      <t xml:space="preserve">Populację generalną stanowi 1000 kredytobiorców z pewnego niemieckiego banku. Populacja ta została podzielona na 4 warstwy względem płci i oceny klienta (X1). Badaną cechą jest czas trwania zadłużenia klienta w miesiącach (Y).  Wylosowano próbę 200 kredytobiorców stosując </t>
    </r>
    <r>
      <rPr>
        <b/>
        <sz val="11"/>
        <color theme="1"/>
        <rFont val="Aptos Narrow"/>
        <family val="2"/>
        <scheme val="minor"/>
      </rPr>
      <t>lokalizację proporcjonalną</t>
    </r>
    <r>
      <rPr>
        <sz val="11"/>
        <color theme="1"/>
        <rFont val="Aptos Narrow"/>
        <family val="2"/>
        <charset val="238"/>
        <scheme val="minor"/>
      </rPr>
      <t xml:space="preserve"> próby, aby wyznaczyć </t>
    </r>
    <r>
      <rPr>
        <b/>
        <sz val="11"/>
        <color theme="1"/>
        <rFont val="Aptos Narrow"/>
        <family val="2"/>
        <scheme val="minor"/>
      </rPr>
      <t>wagi</t>
    </r>
    <r>
      <rPr>
        <sz val="11"/>
        <color theme="1"/>
        <rFont val="Aptos Narrow"/>
        <family val="2"/>
        <charset val="238"/>
        <scheme val="minor"/>
      </rPr>
      <t xml:space="preserve"> warstw, a następnie oszacować liczebność jednostek w warstwach z podziałem na sytuację mieszkaniową (X2).</t>
    </r>
  </si>
  <si>
    <r>
      <t xml:space="preserve">Populację generalną stanowi 1000 kredytobiorców z pewnego niemieckiego banku. Populacja ta została podzielona na 4 warstwy względem płci i oceny klienta (X1). Badaną cechą jest czas trwania zadłużenia klienta w miesiącach (Y).  Wylosowano próbę 200 kredytobiorców stosując </t>
    </r>
    <r>
      <rPr>
        <b/>
        <sz val="11"/>
        <color theme="1"/>
        <rFont val="Aptos Narrow"/>
        <family val="2"/>
        <scheme val="minor"/>
      </rPr>
      <t>lokalizację równoliczną</t>
    </r>
    <r>
      <rPr>
        <sz val="11"/>
        <color theme="1"/>
        <rFont val="Aptos Narrow"/>
        <family val="2"/>
        <charset val="238"/>
        <scheme val="minor"/>
      </rPr>
      <t xml:space="preserve"> próby, aby wyznaczyć </t>
    </r>
    <r>
      <rPr>
        <b/>
        <sz val="11"/>
        <color theme="1"/>
        <rFont val="Aptos Narrow"/>
        <family val="2"/>
        <scheme val="minor"/>
      </rPr>
      <t>wagi</t>
    </r>
    <r>
      <rPr>
        <sz val="11"/>
        <color theme="1"/>
        <rFont val="Aptos Narrow"/>
        <family val="2"/>
        <charset val="238"/>
        <scheme val="minor"/>
      </rPr>
      <t xml:space="preserve"> warstw, a następnie oszacować liczebność jednostek w warstwach z podziałem na sytuację mieszkaniową (X2).</t>
    </r>
  </si>
  <si>
    <t>Oszacowano średni czas trwania kredytu na około 21 miesięcy z błędem standardowym wynoszącym około 0,8 miesiąca.</t>
  </si>
  <si>
    <t>Oszacowano średni czas trwania kredytu na około 21,01 miesięcy z błędem standardowym wynoszącym około 0,57 miesiąca.</t>
  </si>
  <si>
    <t>Oszacowano łączny czas trwania kredytów na około 21160 miesięcy z błędem standardowym wynoszącym około 788,3 miesięcy.</t>
  </si>
  <si>
    <t>Oszacowano średni czas trwania kredytu w stosunku do wysokości kwoty kredytu na około 20,90 miesięcy z błędem standardowym wynoszącym około 0,65 miesiąca.</t>
  </si>
  <si>
    <t>Oszacowano średni czas trwania kredytu w stosunku do wysokości kwoty kredytu na około 20,96 miesięcy z błędem standardowym wynoszącym około 0,43 miesiąca.</t>
  </si>
  <si>
    <t>Oszacowano łączny czas trwania kredytów w stosunku do wysokości kwoty kredytu na około 20898,39 miesięcy z błędem standardowym wynoszącym około 647,86 miesięcy.</t>
  </si>
  <si>
    <t>Oszacowano łączny czas trwania kredytów na około 21009,4 miesięcy z błędem standardowym wynoszącym około 565,22 miesięcy.</t>
  </si>
  <si>
    <t>Oszacowano łączny czas trwania kredytów w stosunku do wysokości kwoty kredytu na około 20961,74 miesięcy z błędem standardowym wynoszącym około 434,74 miesięcy.</t>
  </si>
  <si>
    <t>Przedziałowy szacunek frakcji</t>
  </si>
  <si>
    <t>Wyznaczono wagi i liczebności warstw w próbie oraz wariancje dla poszczególnych warstw.</t>
  </si>
  <si>
    <r>
      <t>Populację generalną stanowi 1000 kredytobiorców z pewnego niemieckiego banku. Wylosowano do próby n = 500 kredytobiorców za pomocą lpbz. W wyniku braków odpowiedzi zbadano n</t>
    </r>
    <r>
      <rPr>
        <vertAlign val="subscript"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charset val="238"/>
        <scheme val="minor"/>
      </rPr>
      <t xml:space="preserve"> = 300 klientów. Skala braków była zależna od płci, oceny klienta i jego sytuacji mieszkaniowej. Znana jest struktura populacji w podziale na sytuację mieszkaniową oraz płeć i ocenę klienta, ale bez przekroju tych cech. Ustalone zostaną wagi kalibracyjne stosując raking.</t>
    </r>
  </si>
  <si>
    <t>Oszacowano łączny czas trwania kredytów na około 21430 miesięcy z z błędem standardowym wynoszącym około 755,12 miesięcy.</t>
  </si>
  <si>
    <t>Oszacowano średni czas trwania kredytu na około 21,43 miesięcy z błędem standardowym wynoszącym około 0,76 miesiąca.</t>
  </si>
  <si>
    <t>Oszacowano średni czas trwania kredytu na około 20,41 miesięcy z błędem standardowym wynoszącym około 0,71 miesiąca.</t>
  </si>
  <si>
    <t>Oszacowano łączny czas trwania kredytów na około 20411,5 miesięcy z błędem standardowym wynoszącym około 713,22 miesięcy.</t>
  </si>
  <si>
    <t>Oszacowano średni czas trwania kredytu na około 20,78 miesięcy z błędem standardowym wynoszącym około 0,95 miesiąca.</t>
  </si>
  <si>
    <t>Oszacowano łączny czas trwania kredytów na około 20779 miesięcy z błędem standardowym wynoszącym około 946,58 miesięcy.</t>
  </si>
  <si>
    <t>Oszacowano średni czas trwania kredytu na około 21,58 miesięcy z błędem standardowym wynoszącym około 0,76 miesiąca.</t>
  </si>
  <si>
    <t>Oszacowano łączny czas trwania kredytów na około 21576,57 miesięcy z błędem standardowym wynoszącym około 764,86 miesięcy.</t>
  </si>
  <si>
    <t>Oszacowano średni czas trwania kredytu na około 21 miesięcy z błędem standardowym wynoszącym około 0,57 miesiąca.</t>
  </si>
  <si>
    <t>Oszacowano łączny czas trwania kredytów na około 21000 miesięcy z błędem standardowym wynoszącym około 664,08 miesięcy.</t>
  </si>
  <si>
    <t>Oszacowano średni czas trwania kredytu na około 20,62 miesięcy z błędem standardowym wynoszącym około 0,62 miesiąca.</t>
  </si>
  <si>
    <t>Oszacowano łączny czas trwania kredytów na około 20622,7 miesięcy z błędem standardowym wynoszącym około 619,16 miesięcy.</t>
  </si>
  <si>
    <t>Oszacowano łączny czas trwania kredytów na około 20948,86 miesięcy.</t>
  </si>
  <si>
    <t>Oszacowano łączny czas trwania kredytów na około 21301,82 miesięcy.</t>
  </si>
  <si>
    <r>
      <t xml:space="preserve">Projekt został przygotowany na podstawie danych ze zbioru </t>
    </r>
    <r>
      <rPr>
        <b/>
        <i/>
        <sz val="14"/>
        <color theme="1"/>
        <rFont val="Arial"/>
        <family val="2"/>
        <charset val="238"/>
      </rPr>
      <t>German Credit Data</t>
    </r>
    <r>
      <rPr>
        <sz val="14"/>
        <color theme="1"/>
        <rFont val="Arial"/>
        <family val="2"/>
        <charset val="238"/>
      </rPr>
      <t xml:space="preserve"> udostępnionego przez UCI Machine Learning Repository, poniżej znajduje się link do repozytorium:</t>
    </r>
  </si>
  <si>
    <t>Populację generalną stanowi 1000 kredytobiorców z pewnego niemieckiego banku. Populacja ta została podzielona na 4 warstwy względem płci i oceny klienta (X1). Badaną cechą jest czas trwania zadłużenia klienta w miesiącach (Y).  Wylosowano bez zwracania próbę wstępną 300 kredytobiorców, jednak tylko 250 osób zgodziło się wziąć udział w badaniu. Oszacowana zostanie suma czasu trwania kredytu, wykorzystując informacje o płci i ocenie klienta dla wszystkich osób wylosowanych do próby.</t>
  </si>
  <si>
    <t>Populację generalną stanowi 1000 kredytobiorców z pewnego niemieckiego banku. Badaną cechą jest czas trwania zadłużenia w miesiącach (Y). Wylosowano niezależnie próbę wstępną 200 kredytobiorców, aby oszacować średni czas trwania kredytu z błędem nie większym niż 2 miesiące oraz łączny czas trwania kredytów w populacji.</t>
  </si>
  <si>
    <r>
      <t xml:space="preserve">Populację generalną stanowi 1000 kredytobiorców z pewnego niemieckiego banku. Populacja ta została podzielona na 4 warstwy względem płci i oceny klienta (X1). Badaną cechą jest czas trwania zadłużenia klienta w miesiącach (Y).  Wylosowano bez zwracania próbę wstępną 200 kredytobiorców stosując </t>
    </r>
    <r>
      <rPr>
        <b/>
        <sz val="11"/>
        <color theme="1"/>
        <rFont val="Aptos Narrow"/>
        <family val="2"/>
        <scheme val="minor"/>
      </rPr>
      <t>lokalizację proporcjonalną</t>
    </r>
    <r>
      <rPr>
        <sz val="11"/>
        <color theme="1"/>
        <rFont val="Aptos Narrow"/>
        <family val="2"/>
        <charset val="238"/>
        <scheme val="minor"/>
      </rPr>
      <t xml:space="preserve"> próby, aby oszacować średni czas trwania kredytu oraz łączny czas trwania kredytów w populacji z błędem nie większym niż 2 miesiące.</t>
    </r>
  </si>
  <si>
    <r>
      <t xml:space="preserve">Populację generalną stanowi 1000 kredytobiorców z pewnego niemieckiego banku. Populacja ta została podzielona na 4 warstwy względem płci i oceny klienta (X1). Badaną cechą jest czas trwania zadłużenia klienta w miesiącach (Y).  Wylosowano bez zwracania próbę wstępną 200 kredytobiorców stosując </t>
    </r>
    <r>
      <rPr>
        <b/>
        <sz val="11"/>
        <color theme="1"/>
        <rFont val="Aptos Narrow"/>
        <family val="2"/>
        <scheme val="minor"/>
      </rPr>
      <t>lokalizację równomierną</t>
    </r>
    <r>
      <rPr>
        <sz val="11"/>
        <color theme="1"/>
        <rFont val="Aptos Narrow"/>
        <family val="2"/>
        <charset val="238"/>
        <scheme val="minor"/>
      </rPr>
      <t xml:space="preserve"> próby, aby oszacować średni czas trwania kredytu oraz łączny czas trwania kredytów w populacji z błędem nie większym niż 2 miesiące.</t>
    </r>
  </si>
  <si>
    <r>
      <t xml:space="preserve">Populację generalną stanowi 1000 kredytobiorców z pewnego niemieckiego banku. Populacja ta została podzielona na 4 warstwy względem płci i oceny klienta (X1). Badaną cechą jest czas trwania zadłużenia klienta w miesiącach (Y).  Wylosowano bez zwracania próbę wstępną 50 kredytobiorców stosując </t>
    </r>
    <r>
      <rPr>
        <b/>
        <sz val="11"/>
        <color theme="1"/>
        <rFont val="Aptos Narrow"/>
        <family val="2"/>
        <scheme val="minor"/>
      </rPr>
      <t>lokalizację optymalną Neymana</t>
    </r>
    <r>
      <rPr>
        <sz val="11"/>
        <color theme="1"/>
        <rFont val="Aptos Narrow"/>
        <family val="2"/>
        <charset val="238"/>
        <scheme val="minor"/>
      </rPr>
      <t xml:space="preserve"> próby, aby oszacować średni czas trwania kredytu oraz łączny czas trwania kredytów w populacji z błędem nie większym niż 2 miesiące.</t>
    </r>
  </si>
  <si>
    <r>
      <t>Populację generalną stanowi 1000 kredytobiorców z pewnego niemieckiego banku. Wylosowano bez zwracania próbę zasadniczą (n = 200). Znana jest struktura kredytobiorców tego banku według oceny klienta i płci. Badaną cechą jest czas trwania zadłużenia klienta w miesiącach (Y). Oszacowany zostanie średni czas trwania kredytu oraz łączny czas trwania kredytów w populacji z błędem nie większym niż 2 miesiące przy pomocy estymatora uwzględniającego warstwowanie po wylosowaniu (</t>
    </r>
    <r>
      <rPr>
        <b/>
        <sz val="11"/>
        <color theme="1"/>
        <rFont val="Aptos Narrow"/>
        <family val="2"/>
        <scheme val="minor"/>
      </rPr>
      <t>poststratyfikacji</t>
    </r>
    <r>
      <rPr>
        <sz val="11"/>
        <color theme="1"/>
        <rFont val="Aptos Narrow"/>
        <family val="2"/>
        <charset val="238"/>
        <scheme val="minor"/>
      </rPr>
      <t>).</t>
    </r>
  </si>
  <si>
    <t>Populację generalną stanowi 1000 kredytobiorców z pewnego niemieckiego banku podzielonych na 50 równych, 20-osobowych grup. Badaną cechą jest czas trwania zadłużenia klienta w miesiącach (Y).  Wylosowano bez zwracania próbę wstępną składającą się z 10 grup, aby oszacować średni czas trwania kredytu oraz łączny czas trwania kredytów w populacji z błędem nie większym niż 2 miesiące.</t>
  </si>
  <si>
    <t>Populację generalną stanowi 1000 kredytobiorców z pewnego niemieckiego banku. Wylosowano 10 zespołów z jednakowymi prawdopodobieństwami wyboru, w którym jednostką losowania jest zespół klientów w danej grupie wiekowej (różnoliczny). Badaną cechą jest czas trwania zadłużenia klienta w miesiącach (Y). Oszacowany zostanie średni czas trwania kredytu na podstawie 387 elementowej próby wstępnej oraz łączny czas trwania kredytów w populacji z błędem nie większym niż 2 miesiące.</t>
  </si>
  <si>
    <r>
      <t>s'</t>
    </r>
    <r>
      <rPr>
        <vertAlign val="subscript"/>
        <sz val="11"/>
        <color theme="1"/>
        <rFont val="Aptos Narrow"/>
        <family val="2"/>
        <scheme val="minor"/>
      </rPr>
      <t>w</t>
    </r>
    <r>
      <rPr>
        <sz val="11"/>
        <color theme="1"/>
        <rFont val="Aptos Narrow"/>
        <family val="2"/>
      </rPr>
      <t>²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</si>
  <si>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w</t>
    </r>
    <r>
      <rPr>
        <sz val="11"/>
        <color theme="1"/>
        <rFont val="Aptos Narrow"/>
        <family val="2"/>
      </rPr>
      <t>²</t>
    </r>
  </si>
  <si>
    <r>
      <rPr>
        <sz val="11"/>
        <color theme="1"/>
        <rFont val="Aptos Narrow"/>
        <family val="2"/>
      </rPr>
      <t>s²</t>
    </r>
    <r>
      <rPr>
        <vertAlign val="subscript"/>
        <sz val="11"/>
        <color theme="1"/>
        <rFont val="Aptos Narrow"/>
        <family val="2"/>
        <scheme val="minor"/>
      </rPr>
      <t>w</t>
    </r>
  </si>
  <si>
    <t>Populację generalną stanowi 1000 kredytobiorców z pewnego niemieckiego banku. Badaną cechą jest czas trwania zadłużenia w miesiącach (Y) w zależności od wysokości kwoty kredytu w markach niemieckich (X1). Wylosowano bez zwracania próbę wstępną 300 kredytobiorców, aby oszacować średni czas trwania kredytu (w miesiącach) z błędem nie większym niż 2 miesiące oraz łączny czas trwania kredytów w populacji.</t>
  </si>
  <si>
    <t>Populację generalną stanowi 1000 kredytobiorców z pewnego niemieckiego banku. Celem badania jest uzyskanie szacunku frakcji klientów uznanych za dobrych w populacji.  Wylosowano bez zwracania próbę wstępną 200 kredytobiorców i odnotowano ich ocenę (Y), aby oszacować frakcję z błędem nie większym niż 0,05 oraz podać oszacowaną liczbę dobrych klientów w populacji.</t>
  </si>
  <si>
    <t>Student1</t>
  </si>
  <si>
    <t>Student2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</si>
</sst>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.0%"/>
  </numFmts>
  <fonts count="67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u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Consolas"/>
      <family val="3"/>
      <charset val="238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2"/>
      <color theme="1"/>
      <name val="Consolas"/>
      <family val="3"/>
      <charset val="238"/>
    </font>
    <font>
      <sz val="12"/>
      <color theme="1"/>
      <name val="Aptos Narrow"/>
      <family val="2"/>
      <charset val="238"/>
      <scheme val="minor"/>
    </font>
    <font>
      <sz val="12"/>
      <name val="Aptos Narrow"/>
      <family val="2"/>
      <scheme val="minor"/>
    </font>
    <font>
      <vertAlign val="subscript"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3"/>
      <charset val="238"/>
    </font>
    <font>
      <vertAlign val="subscript"/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sz val="10"/>
      <name val="Arial CE"/>
      <charset val="238"/>
    </font>
    <font>
      <vertAlign val="subscript"/>
      <sz val="10"/>
      <name val="Arial CE"/>
      <charset val="238"/>
    </font>
    <font>
      <sz val="10"/>
      <name val="Aptos Narrow"/>
      <family val="2"/>
    </font>
    <font>
      <sz val="10"/>
      <name val="Arial CE"/>
      <family val="2"/>
      <charset val="238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charset val="238"/>
      <scheme val="minor"/>
    </font>
    <font>
      <vertAlign val="subscript"/>
      <sz val="14.3"/>
      <color theme="1"/>
      <name val="Calibri"/>
      <family val="2"/>
    </font>
    <font>
      <u/>
      <sz val="11"/>
      <color theme="1"/>
      <name val="Aptos Narrow"/>
      <family val="2"/>
    </font>
    <font>
      <i/>
      <sz val="11"/>
      <color theme="1"/>
      <name val="Aptos Narrow"/>
      <family val="2"/>
      <charset val="238"/>
      <scheme val="minor"/>
    </font>
    <font>
      <i/>
      <vertAlign val="subscript"/>
      <sz val="11"/>
      <color theme="1"/>
      <name val="Aptos Narrow"/>
      <family val="2"/>
      <charset val="238"/>
      <scheme val="minor"/>
    </font>
    <font>
      <sz val="14"/>
      <name val="Arial"/>
      <family val="2"/>
      <charset val="238"/>
    </font>
    <font>
      <b/>
      <sz val="12"/>
      <color theme="1"/>
      <name val="Aptos Narrow"/>
      <family val="2"/>
      <charset val="238"/>
      <scheme val="minor"/>
    </font>
    <font>
      <sz val="12"/>
      <color rgb="FF000000"/>
      <name val="Aptos Narrow"/>
      <family val="2"/>
      <charset val="238"/>
      <scheme val="minor"/>
    </font>
    <font>
      <sz val="14"/>
      <color rgb="FF000000"/>
      <name val="Calibri"/>
      <family val="2"/>
      <charset val="238"/>
    </font>
    <font>
      <sz val="12"/>
      <name val="Aptos Narrow"/>
      <family val="2"/>
      <charset val="238"/>
      <scheme val="minor"/>
    </font>
    <font>
      <vertAlign val="subscript"/>
      <sz val="12"/>
      <color theme="1"/>
      <name val="Aptos Narrow"/>
      <family val="2"/>
      <charset val="238"/>
      <scheme val="minor"/>
    </font>
    <font>
      <b/>
      <sz val="20"/>
      <color theme="1"/>
      <name val="Aptos Display"/>
      <family val="2"/>
      <charset val="238"/>
      <scheme val="major"/>
    </font>
    <font>
      <b/>
      <i/>
      <sz val="11"/>
      <color theme="1"/>
      <name val="Aptos Narrow"/>
      <family val="2"/>
      <charset val="238"/>
      <scheme val="minor"/>
    </font>
    <font>
      <vertAlign val="subscript"/>
      <sz val="11"/>
      <color theme="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vertAlign val="subscript"/>
      <sz val="11"/>
      <name val="Aptos Narrow"/>
      <family val="2"/>
      <charset val="238"/>
      <scheme val="minor"/>
    </font>
    <font>
      <sz val="11"/>
      <name val="Calibri"/>
      <family val="2"/>
      <charset val="238"/>
    </font>
    <font>
      <vertAlign val="subscript"/>
      <sz val="11"/>
      <name val="Calibri"/>
      <family val="2"/>
      <charset val="238"/>
    </font>
    <font>
      <b/>
      <u/>
      <sz val="1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name val="Aptos Narrow"/>
      <family val="2"/>
      <scheme val="minor"/>
    </font>
    <font>
      <b/>
      <sz val="10"/>
      <name val="Arial CE"/>
      <charset val="238"/>
    </font>
    <font>
      <b/>
      <vertAlign val="subscript"/>
      <sz val="10"/>
      <name val="Arial CE"/>
      <charset val="238"/>
    </font>
    <font>
      <b/>
      <vertAlign val="subscript"/>
      <sz val="10"/>
      <name val="Arial CE"/>
      <family val="2"/>
      <charset val="238"/>
    </font>
    <font>
      <b/>
      <sz val="10"/>
      <name val="Aptos Narrow"/>
      <family val="2"/>
    </font>
    <font>
      <b/>
      <sz val="14"/>
      <color theme="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4"/>
      <color theme="0"/>
      <name val="Aptos Narrow"/>
      <family val="2"/>
      <charset val="238"/>
      <scheme val="minor"/>
    </font>
    <font>
      <vertAlign val="subscript"/>
      <sz val="15.95"/>
      <color theme="1"/>
      <name val="Aptos Narrow"/>
      <family val="2"/>
    </font>
    <font>
      <b/>
      <sz val="11"/>
      <color theme="1"/>
      <name val="Aptos Narrow"/>
      <family val="2"/>
    </font>
    <font>
      <vertAlign val="subscript"/>
      <sz val="12"/>
      <color theme="1"/>
      <name val="Aptos Narrow"/>
      <family val="2"/>
      <scheme val="minor"/>
    </font>
    <font>
      <sz val="36"/>
      <color theme="1"/>
      <name val="Arial Black"/>
      <family val="2"/>
      <charset val="238"/>
    </font>
    <font>
      <u/>
      <sz val="11"/>
      <color theme="10"/>
      <name val="Aptos Narrow"/>
      <family val="2"/>
      <charset val="238"/>
      <scheme val="minor"/>
    </font>
    <font>
      <sz val="18"/>
      <color theme="1"/>
      <name val="Arial"/>
      <family val="2"/>
      <charset val="238"/>
    </font>
    <font>
      <u/>
      <sz val="16"/>
      <color theme="1"/>
      <name val="Arial"/>
      <family val="2"/>
      <charset val="238"/>
    </font>
    <font>
      <sz val="14"/>
      <color theme="1"/>
      <name val="Arial"/>
      <family val="2"/>
      <charset val="238"/>
    </font>
    <font>
      <u/>
      <sz val="14"/>
      <color theme="10"/>
      <name val="Arial"/>
      <family val="2"/>
      <charset val="238"/>
    </font>
    <font>
      <i/>
      <sz val="14"/>
      <color theme="1"/>
      <name val="Arial"/>
      <family val="2"/>
      <charset val="238"/>
    </font>
    <font>
      <b/>
      <i/>
      <sz val="14"/>
      <color theme="1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21" fillId="0" borderId="0"/>
    <xf numFmtId="0" fontId="60" fillId="0" borderId="0" applyNumberFormat="0" applyFill="0" applyBorder="0" applyAlignment="0" applyProtection="0"/>
  </cellStyleXfs>
  <cellXfs count="364">
    <xf numFmtId="0" fontId="0" fillId="0" borderId="0" xfId="0"/>
    <xf numFmtId="0" fontId="0" fillId="0" borderId="0" xfId="0" quotePrefix="1"/>
    <xf numFmtId="0" fontId="2" fillId="0" borderId="0" xfId="0" applyFont="1"/>
    <xf numFmtId="0" fontId="0" fillId="5" borderId="1" xfId="0" applyFill="1" applyBorder="1"/>
    <xf numFmtId="0" fontId="0" fillId="0" borderId="1" xfId="0" applyBorder="1"/>
    <xf numFmtId="0" fontId="4" fillId="0" borderId="0" xfId="0" applyFont="1"/>
    <xf numFmtId="0" fontId="0" fillId="3" borderId="1" xfId="0" applyFill="1" applyBorder="1"/>
    <xf numFmtId="165" fontId="1" fillId="0" borderId="0" xfId="0" applyNumberFormat="1" applyFont="1"/>
    <xf numFmtId="0" fontId="1" fillId="0" borderId="0" xfId="0" applyFont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0" xfId="0" applyProtection="1">
      <protection locked="0"/>
    </xf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8" xfId="0" applyBorder="1" applyProtection="1">
      <protection locked="0"/>
    </xf>
    <xf numFmtId="0" fontId="3" fillId="0" borderId="5" xfId="0" applyFont="1" applyBorder="1" applyProtection="1">
      <protection locked="0"/>
    </xf>
    <xf numFmtId="0" fontId="0" fillId="0" borderId="11" xfId="0" applyBorder="1"/>
    <xf numFmtId="0" fontId="0" fillId="0" borderId="5" xfId="0" applyBorder="1"/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3" fillId="0" borderId="3" xfId="0" applyFont="1" applyBorder="1" applyProtection="1">
      <protection locked="0"/>
    </xf>
    <xf numFmtId="3" fontId="0" fillId="0" borderId="1" xfId="0" applyNumberFormat="1" applyBorder="1"/>
    <xf numFmtId="0" fontId="0" fillId="4" borderId="1" xfId="0" applyFill="1" applyBorder="1"/>
    <xf numFmtId="2" fontId="0" fillId="0" borderId="1" xfId="0" applyNumberFormat="1" applyBorder="1"/>
    <xf numFmtId="164" fontId="0" fillId="0" borderId="1" xfId="0" applyNumberFormat="1" applyBorder="1"/>
    <xf numFmtId="0" fontId="0" fillId="6" borderId="1" xfId="0" applyFill="1" applyBorder="1"/>
    <xf numFmtId="0" fontId="0" fillId="7" borderId="1" xfId="0" applyFill="1" applyBorder="1"/>
    <xf numFmtId="0" fontId="9" fillId="6" borderId="1" xfId="0" applyFont="1" applyFill="1" applyBorder="1"/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1" fillId="0" borderId="0" xfId="0" applyFont="1"/>
    <xf numFmtId="0" fontId="10" fillId="0" borderId="0" xfId="0" applyFont="1"/>
    <xf numFmtId="0" fontId="11" fillId="0" borderId="0" xfId="0" quotePrefix="1" applyFont="1"/>
    <xf numFmtId="0" fontId="11" fillId="3" borderId="1" xfId="0" applyFont="1" applyFill="1" applyBorder="1"/>
    <xf numFmtId="0" fontId="0" fillId="0" borderId="0" xfId="0" applyAlignment="1">
      <alignment wrapText="1"/>
    </xf>
    <xf numFmtId="0" fontId="10" fillId="0" borderId="1" xfId="0" applyFont="1" applyBorder="1"/>
    <xf numFmtId="0" fontId="10" fillId="0" borderId="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quotePrefix="1" applyFont="1"/>
    <xf numFmtId="0" fontId="10" fillId="0" borderId="0" xfId="0" applyFont="1" applyAlignment="1">
      <alignment horizontal="right"/>
    </xf>
    <xf numFmtId="0" fontId="11" fillId="0" borderId="2" xfId="0" applyFont="1" applyBorder="1"/>
    <xf numFmtId="0" fontId="11" fillId="4" borderId="2" xfId="0" applyFont="1" applyFill="1" applyBorder="1"/>
    <xf numFmtId="0" fontId="12" fillId="0" borderId="0" xfId="0" applyFont="1"/>
    <xf numFmtId="0" fontId="11" fillId="0" borderId="1" xfId="0" applyFont="1" applyBorder="1"/>
    <xf numFmtId="0" fontId="11" fillId="0" borderId="3" xfId="0" applyFont="1" applyBorder="1"/>
    <xf numFmtId="2" fontId="11" fillId="0" borderId="1" xfId="0" applyNumberFormat="1" applyFont="1" applyBorder="1"/>
    <xf numFmtId="0" fontId="10" fillId="0" borderId="10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6" borderId="4" xfId="0" applyFont="1" applyFill="1" applyBorder="1"/>
    <xf numFmtId="0" fontId="11" fillId="6" borderId="1" xfId="0" applyFont="1" applyFill="1" applyBorder="1"/>
    <xf numFmtId="0" fontId="13" fillId="6" borderId="1" xfId="0" applyFont="1" applyFill="1" applyBorder="1"/>
    <xf numFmtId="0" fontId="14" fillId="6" borderId="1" xfId="0" applyFont="1" applyFill="1" applyBorder="1"/>
    <xf numFmtId="0" fontId="14" fillId="7" borderId="1" xfId="0" applyFont="1" applyFill="1" applyBorder="1"/>
    <xf numFmtId="0" fontId="15" fillId="3" borderId="1" xfId="0" applyFont="1" applyFill="1" applyBorder="1"/>
    <xf numFmtId="0" fontId="15" fillId="9" borderId="1" xfId="0" applyFont="1" applyFill="1" applyBorder="1"/>
    <xf numFmtId="0" fontId="16" fillId="9" borderId="1" xfId="0" applyFont="1" applyFill="1" applyBorder="1"/>
    <xf numFmtId="0" fontId="17" fillId="10" borderId="1" xfId="0" applyFont="1" applyFill="1" applyBorder="1"/>
    <xf numFmtId="0" fontId="17" fillId="4" borderId="1" xfId="0" applyFont="1" applyFill="1" applyBorder="1"/>
    <xf numFmtId="0" fontId="15" fillId="3" borderId="7" xfId="0" applyFont="1" applyFill="1" applyBorder="1"/>
    <xf numFmtId="0" fontId="15" fillId="4" borderId="0" xfId="0" applyFont="1" applyFill="1"/>
    <xf numFmtId="0" fontId="15" fillId="4" borderId="1" xfId="0" applyFont="1" applyFill="1" applyBorder="1"/>
    <xf numFmtId="0" fontId="14" fillId="7" borderId="10" xfId="0" applyFont="1" applyFill="1" applyBorder="1"/>
    <xf numFmtId="0" fontId="14" fillId="6" borderId="13" xfId="0" applyFont="1" applyFill="1" applyBorder="1"/>
    <xf numFmtId="0" fontId="0" fillId="0" borderId="9" xfId="0" applyBorder="1"/>
    <xf numFmtId="0" fontId="0" fillId="0" borderId="12" xfId="0" applyBorder="1"/>
    <xf numFmtId="0" fontId="1" fillId="2" borderId="8" xfId="0" applyFont="1" applyFill="1" applyBorder="1" applyAlignment="1">
      <alignment horizontal="center"/>
    </xf>
    <xf numFmtId="0" fontId="0" fillId="0" borderId="7" xfId="0" applyBorder="1" applyProtection="1">
      <protection locked="0"/>
    </xf>
    <xf numFmtId="0" fontId="0" fillId="0" borderId="14" xfId="0" applyBorder="1"/>
    <xf numFmtId="0" fontId="1" fillId="2" borderId="1" xfId="0" applyFont="1" applyFill="1" applyBorder="1" applyProtection="1">
      <protection locked="0"/>
    </xf>
    <xf numFmtId="0" fontId="1" fillId="2" borderId="4" xfId="0" applyFont="1" applyFill="1" applyBorder="1" applyAlignment="1">
      <alignment horizontal="center"/>
    </xf>
    <xf numFmtId="9" fontId="0" fillId="0" borderId="1" xfId="1" applyFont="1" applyBorder="1"/>
    <xf numFmtId="0" fontId="18" fillId="0" borderId="0" xfId="0" applyFont="1"/>
    <xf numFmtId="0" fontId="18" fillId="6" borderId="1" xfId="0" applyFont="1" applyFill="1" applyBorder="1"/>
    <xf numFmtId="0" fontId="10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1" fillId="0" borderId="1" xfId="2" applyBorder="1"/>
    <xf numFmtId="0" fontId="21" fillId="0" borderId="0" xfId="2"/>
    <xf numFmtId="1" fontId="0" fillId="0" borderId="1" xfId="0" applyNumberFormat="1" applyBorder="1"/>
    <xf numFmtId="0" fontId="0" fillId="0" borderId="1" xfId="1" applyNumberFormat="1" applyFont="1" applyBorder="1"/>
    <xf numFmtId="0" fontId="0" fillId="0" borderId="26" xfId="0" applyBorder="1" applyAlignment="1">
      <alignment horizontal="center"/>
    </xf>
    <xf numFmtId="0" fontId="21" fillId="0" borderId="0" xfId="2" applyAlignment="1">
      <alignment horizontal="right"/>
    </xf>
    <xf numFmtId="0" fontId="1" fillId="8" borderId="7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2" fontId="1" fillId="0" borderId="1" xfId="0" applyNumberFormat="1" applyFont="1" applyBorder="1"/>
    <xf numFmtId="0" fontId="29" fillId="0" borderId="0" xfId="0" applyFont="1"/>
    <xf numFmtId="0" fontId="0" fillId="0" borderId="27" xfId="0" applyBorder="1" applyAlignment="1">
      <alignment horizontal="center"/>
    </xf>
    <xf numFmtId="0" fontId="0" fillId="13" borderId="2" xfId="0" applyFill="1" applyBorder="1" applyAlignment="1">
      <alignment horizontal="center" wrapText="1"/>
    </xf>
    <xf numFmtId="166" fontId="0" fillId="0" borderId="8" xfId="0" applyNumberFormat="1" applyBorder="1"/>
    <xf numFmtId="166" fontId="0" fillId="0" borderId="9" xfId="0" applyNumberFormat="1" applyBorder="1"/>
    <xf numFmtId="166" fontId="0" fillId="0" borderId="10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27" fillId="11" borderId="2" xfId="0" applyFont="1" applyFill="1" applyBorder="1"/>
    <xf numFmtId="0" fontId="0" fillId="11" borderId="2" xfId="0" applyFill="1" applyBorder="1" applyAlignment="1">
      <alignment wrapText="1"/>
    </xf>
    <xf numFmtId="0" fontId="0" fillId="11" borderId="2" xfId="0" applyFill="1" applyBorder="1" applyAlignment="1">
      <alignment horizontal="center" wrapText="1"/>
    </xf>
    <xf numFmtId="9" fontId="0" fillId="0" borderId="27" xfId="1" applyFont="1" applyBorder="1"/>
    <xf numFmtId="9" fontId="0" fillId="0" borderId="5" xfId="1" applyFont="1" applyBorder="1"/>
    <xf numFmtId="9" fontId="0" fillId="0" borderId="3" xfId="1" applyFont="1" applyBorder="1"/>
    <xf numFmtId="0" fontId="0" fillId="0" borderId="7" xfId="0" applyBorder="1"/>
    <xf numFmtId="0" fontId="0" fillId="0" borderId="29" xfId="0" applyBorder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32" fillId="0" borderId="0" xfId="0" applyFont="1" applyAlignment="1">
      <alignment horizontal="center" vertical="top" wrapText="1"/>
    </xf>
    <xf numFmtId="0" fontId="14" fillId="0" borderId="0" xfId="0" applyFont="1"/>
    <xf numFmtId="0" fontId="34" fillId="0" borderId="2" xfId="0" applyFont="1" applyBorder="1" applyAlignment="1">
      <alignment horizontal="right" vertical="center" wrapText="1" readingOrder="1"/>
    </xf>
    <xf numFmtId="0" fontId="35" fillId="0" borderId="0" xfId="0" applyFont="1" applyAlignment="1">
      <alignment horizontal="center" vertical="center" wrapText="1" readingOrder="1"/>
    </xf>
    <xf numFmtId="0" fontId="36" fillId="0" borderId="0" xfId="0" applyFont="1" applyAlignment="1">
      <alignment horizontal="center" vertical="top" wrapText="1"/>
    </xf>
    <xf numFmtId="0" fontId="36" fillId="0" borderId="5" xfId="0" applyFont="1" applyBorder="1" applyAlignment="1">
      <alignment horizontal="center" vertical="top" wrapText="1"/>
    </xf>
    <xf numFmtId="0" fontId="36" fillId="0" borderId="2" xfId="0" applyFont="1" applyBorder="1" applyAlignment="1">
      <alignment horizontal="center" vertical="top" wrapText="1"/>
    </xf>
    <xf numFmtId="0" fontId="36" fillId="0" borderId="3" xfId="0" applyFont="1" applyBorder="1" applyAlignment="1">
      <alignment horizontal="center" vertical="top" wrapText="1"/>
    </xf>
    <xf numFmtId="0" fontId="36" fillId="0" borderId="5" xfId="0" applyFont="1" applyBorder="1" applyAlignment="1">
      <alignment horizontal="left" vertical="top" wrapText="1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3" fontId="36" fillId="0" borderId="0" xfId="0" applyNumberFormat="1" applyFont="1" applyAlignment="1">
      <alignment horizontal="right" vertical="top" wrapText="1"/>
    </xf>
    <xf numFmtId="0" fontId="14" fillId="4" borderId="1" xfId="0" applyFont="1" applyFill="1" applyBorder="1"/>
    <xf numFmtId="0" fontId="14" fillId="0" borderId="1" xfId="0" applyFont="1" applyBorder="1"/>
    <xf numFmtId="1" fontId="36" fillId="0" borderId="6" xfId="0" applyNumberFormat="1" applyFont="1" applyBorder="1" applyAlignment="1">
      <alignment horizontal="center" vertical="top" wrapText="1"/>
    </xf>
    <xf numFmtId="1" fontId="36" fillId="0" borderId="28" xfId="0" applyNumberFormat="1" applyFont="1" applyBorder="1" applyAlignment="1">
      <alignment horizontal="center" vertical="top" wrapText="1"/>
    </xf>
    <xf numFmtId="1" fontId="36" fillId="0" borderId="27" xfId="0" applyNumberFormat="1" applyFont="1" applyBorder="1" applyAlignment="1">
      <alignment horizontal="center" vertical="top" wrapText="1"/>
    </xf>
    <xf numFmtId="1" fontId="14" fillId="0" borderId="0" xfId="0" applyNumberFormat="1" applyFont="1"/>
    <xf numFmtId="1" fontId="36" fillId="0" borderId="11" xfId="0" applyNumberFormat="1" applyFont="1" applyBorder="1" applyAlignment="1">
      <alignment horizontal="center" vertical="top" wrapText="1"/>
    </xf>
    <xf numFmtId="1" fontId="36" fillId="0" borderId="0" xfId="0" applyNumberFormat="1" applyFont="1" applyAlignment="1">
      <alignment horizontal="center" vertical="top" wrapText="1"/>
    </xf>
    <xf numFmtId="1" fontId="36" fillId="0" borderId="5" xfId="0" applyNumberFormat="1" applyFont="1" applyBorder="1" applyAlignment="1">
      <alignment horizontal="center" vertical="top" wrapText="1"/>
    </xf>
    <xf numFmtId="1" fontId="36" fillId="0" borderId="12" xfId="0" applyNumberFormat="1" applyFont="1" applyBorder="1" applyAlignment="1">
      <alignment horizontal="center" vertical="top" wrapText="1"/>
    </xf>
    <xf numFmtId="1" fontId="36" fillId="0" borderId="2" xfId="0" applyNumberFormat="1" applyFont="1" applyBorder="1" applyAlignment="1">
      <alignment horizontal="center" vertical="top" wrapText="1"/>
    </xf>
    <xf numFmtId="1" fontId="36" fillId="0" borderId="3" xfId="0" applyNumberFormat="1" applyFont="1" applyBorder="1" applyAlignment="1">
      <alignment horizontal="center" vertical="top" wrapText="1"/>
    </xf>
    <xf numFmtId="1" fontId="14" fillId="0" borderId="12" xfId="0" applyNumberFormat="1" applyFont="1" applyBorder="1"/>
    <xf numFmtId="1" fontId="14" fillId="0" borderId="0" xfId="0" applyNumberFormat="1" applyFont="1" applyAlignment="1">
      <alignment horizontal="center"/>
    </xf>
    <xf numFmtId="1" fontId="14" fillId="0" borderId="27" xfId="0" applyNumberFormat="1" applyFont="1" applyBorder="1" applyAlignment="1">
      <alignment horizontal="center"/>
    </xf>
    <xf numFmtId="0" fontId="34" fillId="0" borderId="11" xfId="0" applyFont="1" applyBorder="1" applyAlignment="1">
      <alignment horizontal="right" vertical="center" wrapText="1" readingOrder="1"/>
    </xf>
    <xf numFmtId="164" fontId="36" fillId="21" borderId="6" xfId="0" applyNumberFormat="1" applyFont="1" applyFill="1" applyBorder="1" applyAlignment="1">
      <alignment horizontal="center" vertical="top" wrapText="1"/>
    </xf>
    <xf numFmtId="164" fontId="36" fillId="21" borderId="28" xfId="0" applyNumberFormat="1" applyFont="1" applyFill="1" applyBorder="1" applyAlignment="1">
      <alignment horizontal="center" vertical="top" wrapText="1"/>
    </xf>
    <xf numFmtId="164" fontId="36" fillId="21" borderId="27" xfId="0" applyNumberFormat="1" applyFont="1" applyFill="1" applyBorder="1" applyAlignment="1">
      <alignment horizontal="center" vertical="top" wrapText="1"/>
    </xf>
    <xf numFmtId="164" fontId="36" fillId="21" borderId="11" xfId="0" applyNumberFormat="1" applyFont="1" applyFill="1" applyBorder="1" applyAlignment="1">
      <alignment horizontal="center" vertical="top" wrapText="1"/>
    </xf>
    <xf numFmtId="164" fontId="36" fillId="21" borderId="5" xfId="0" applyNumberFormat="1" applyFont="1" applyFill="1" applyBorder="1" applyAlignment="1">
      <alignment horizontal="center" vertical="top" wrapText="1"/>
    </xf>
    <xf numFmtId="164" fontId="36" fillId="21" borderId="12" xfId="0" applyNumberFormat="1" applyFont="1" applyFill="1" applyBorder="1" applyAlignment="1">
      <alignment horizontal="center" vertical="top" wrapText="1"/>
    </xf>
    <xf numFmtId="164" fontId="36" fillId="21" borderId="2" xfId="0" applyNumberFormat="1" applyFont="1" applyFill="1" applyBorder="1" applyAlignment="1">
      <alignment horizontal="center" vertical="top" wrapText="1"/>
    </xf>
    <xf numFmtId="164" fontId="36" fillId="21" borderId="3" xfId="0" applyNumberFormat="1" applyFont="1" applyFill="1" applyBorder="1" applyAlignment="1">
      <alignment horizontal="center" vertical="top" wrapText="1"/>
    </xf>
    <xf numFmtId="0" fontId="36" fillId="0" borderId="28" xfId="0" applyFont="1" applyBorder="1" applyAlignment="1">
      <alignment horizontal="left" vertical="top" wrapText="1"/>
    </xf>
    <xf numFmtId="0" fontId="38" fillId="0" borderId="0" xfId="0" applyFont="1"/>
    <xf numFmtId="0" fontId="36" fillId="0" borderId="6" xfId="0" applyFont="1" applyBorder="1" applyAlignment="1">
      <alignment horizontal="center" vertical="top" wrapText="1"/>
    </xf>
    <xf numFmtId="0" fontId="36" fillId="0" borderId="28" xfId="0" applyFont="1" applyBorder="1" applyAlignment="1">
      <alignment horizontal="center" vertical="top" wrapText="1"/>
    </xf>
    <xf numFmtId="0" fontId="36" fillId="0" borderId="27" xfId="0" applyFont="1" applyBorder="1" applyAlignment="1">
      <alignment horizontal="center" vertical="top" wrapText="1"/>
    </xf>
    <xf numFmtId="0" fontId="36" fillId="0" borderId="11" xfId="0" applyFont="1" applyBorder="1" applyAlignment="1">
      <alignment horizontal="center" vertical="top" wrapText="1"/>
    </xf>
    <xf numFmtId="0" fontId="36" fillId="0" borderId="12" xfId="0" applyFont="1" applyBorder="1" applyAlignment="1">
      <alignment horizontal="center" vertical="top" wrapText="1"/>
    </xf>
    <xf numFmtId="0" fontId="14" fillId="0" borderId="12" xfId="0" applyFont="1" applyBorder="1"/>
    <xf numFmtId="0" fontId="14" fillId="0" borderId="27" xfId="0" applyFont="1" applyBorder="1" applyAlignment="1">
      <alignment horizontal="center"/>
    </xf>
    <xf numFmtId="4" fontId="14" fillId="0" borderId="0" xfId="0" applyNumberFormat="1" applyFont="1"/>
    <xf numFmtId="4" fontId="34" fillId="0" borderId="2" xfId="0" applyNumberFormat="1" applyFont="1" applyBorder="1" applyAlignment="1">
      <alignment horizontal="right" vertical="center" wrapText="1" readingOrder="1"/>
    </xf>
    <xf numFmtId="4" fontId="36" fillId="0" borderId="5" xfId="0" applyNumberFormat="1" applyFont="1" applyBorder="1" applyAlignment="1">
      <alignment horizontal="left" vertical="top" wrapText="1"/>
    </xf>
    <xf numFmtId="3" fontId="14" fillId="0" borderId="0" xfId="0" applyNumberFormat="1" applyFont="1"/>
    <xf numFmtId="3" fontId="14" fillId="0" borderId="12" xfId="0" applyNumberFormat="1" applyFont="1" applyBorder="1"/>
    <xf numFmtId="3" fontId="14" fillId="0" borderId="0" xfId="0" applyNumberFormat="1" applyFont="1" applyAlignment="1">
      <alignment horizontal="center"/>
    </xf>
    <xf numFmtId="3" fontId="14" fillId="0" borderId="27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64" fontId="36" fillId="21" borderId="0" xfId="0" applyNumberFormat="1" applyFont="1" applyFill="1" applyAlignment="1">
      <alignment horizontal="center" vertical="top" wrapText="1"/>
    </xf>
    <xf numFmtId="0" fontId="0" fillId="0" borderId="27" xfId="0" applyBorder="1"/>
    <xf numFmtId="0" fontId="0" fillId="0" borderId="3" xfId="0" applyBorder="1"/>
    <xf numFmtId="0" fontId="27" fillId="0" borderId="0" xfId="0" applyFont="1"/>
    <xf numFmtId="0" fontId="41" fillId="0" borderId="0" xfId="0" applyFont="1"/>
    <xf numFmtId="0" fontId="41" fillId="4" borderId="29" xfId="0" applyFont="1" applyFill="1" applyBorder="1" applyAlignment="1">
      <alignment horizontal="center"/>
    </xf>
    <xf numFmtId="0" fontId="43" fillId="4" borderId="29" xfId="0" applyFont="1" applyFill="1" applyBorder="1" applyAlignment="1">
      <alignment horizontal="center"/>
    </xf>
    <xf numFmtId="0" fontId="41" fillId="4" borderId="4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2" fontId="41" fillId="0" borderId="0" xfId="0" applyNumberFormat="1" applyFont="1" applyAlignment="1">
      <alignment horizontal="center"/>
    </xf>
    <xf numFmtId="2" fontId="41" fillId="0" borderId="5" xfId="0" applyNumberFormat="1" applyFont="1" applyBorder="1" applyAlignment="1">
      <alignment horizontal="center"/>
    </xf>
    <xf numFmtId="0" fontId="41" fillId="0" borderId="29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2" fontId="46" fillId="0" borderId="4" xfId="0" applyNumberFormat="1" applyFont="1" applyBorder="1"/>
    <xf numFmtId="0" fontId="10" fillId="0" borderId="0" xfId="0" applyFont="1" applyAlignment="1">
      <alignment horizontal="left"/>
    </xf>
    <xf numFmtId="164" fontId="1" fillId="0" borderId="1" xfId="0" applyNumberFormat="1" applyFont="1" applyBorder="1"/>
    <xf numFmtId="0" fontId="1" fillId="0" borderId="1" xfId="0" applyFont="1" applyBorder="1"/>
    <xf numFmtId="2" fontId="0" fillId="0" borderId="1" xfId="0" applyNumberFormat="1" applyBorder="1" applyAlignment="1">
      <alignment horizontal="right"/>
    </xf>
    <xf numFmtId="2" fontId="48" fillId="0" borderId="1" xfId="0" applyNumberFormat="1" applyFont="1" applyBorder="1"/>
    <xf numFmtId="2" fontId="48" fillId="0" borderId="13" xfId="0" applyNumberFormat="1" applyFont="1" applyBorder="1"/>
    <xf numFmtId="0" fontId="1" fillId="0" borderId="10" xfId="0" applyFont="1" applyBorder="1"/>
    <xf numFmtId="0" fontId="11" fillId="0" borderId="0" xfId="0" applyFont="1" applyAlignment="1">
      <alignment horizontal="right"/>
    </xf>
    <xf numFmtId="0" fontId="49" fillId="2" borderId="1" xfId="2" applyFont="1" applyFill="1" applyBorder="1" applyAlignment="1">
      <alignment horizontal="center"/>
    </xf>
    <xf numFmtId="0" fontId="21" fillId="4" borderId="1" xfId="2" applyFill="1" applyBorder="1" applyAlignment="1">
      <alignment horizontal="left"/>
    </xf>
    <xf numFmtId="0" fontId="24" fillId="6" borderId="1" xfId="2" applyFont="1" applyFill="1" applyBorder="1"/>
    <xf numFmtId="2" fontId="21" fillId="0" borderId="1" xfId="2" applyNumberFormat="1" applyBorder="1"/>
    <xf numFmtId="2" fontId="49" fillId="0" borderId="1" xfId="2" applyNumberFormat="1" applyFont="1" applyBorder="1"/>
    <xf numFmtId="1" fontId="1" fillId="0" borderId="1" xfId="0" applyNumberFormat="1" applyFont="1" applyBorder="1"/>
    <xf numFmtId="0" fontId="5" fillId="2" borderId="7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25" fillId="6" borderId="1" xfId="0" applyFont="1" applyFill="1" applyBorder="1"/>
    <xf numFmtId="0" fontId="0" fillId="2" borderId="8" xfId="0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9" fontId="0" fillId="0" borderId="8" xfId="1" applyFont="1" applyBorder="1"/>
    <xf numFmtId="9" fontId="0" fillId="0" borderId="9" xfId="1" applyFont="1" applyBorder="1"/>
    <xf numFmtId="9" fontId="0" fillId="0" borderId="10" xfId="1" applyFont="1" applyBorder="1"/>
    <xf numFmtId="0" fontId="0" fillId="7" borderId="7" xfId="0" applyFill="1" applyBorder="1"/>
    <xf numFmtId="0" fontId="41" fillId="0" borderId="1" xfId="0" applyFont="1" applyBorder="1"/>
    <xf numFmtId="1" fontId="41" fillId="0" borderId="1" xfId="0" applyNumberFormat="1" applyFont="1" applyBorder="1"/>
    <xf numFmtId="0" fontId="0" fillId="4" borderId="9" xfId="0" applyFill="1" applyBorder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3" fontId="36" fillId="0" borderId="11" xfId="0" applyNumberFormat="1" applyFont="1" applyBorder="1" applyAlignment="1">
      <alignment horizontal="right" vertical="top" wrapText="1"/>
    </xf>
    <xf numFmtId="3" fontId="36" fillId="13" borderId="6" xfId="0" applyNumberFormat="1" applyFont="1" applyFill="1" applyBorder="1" applyAlignment="1">
      <alignment horizontal="center" vertical="top" wrapText="1"/>
    </xf>
    <xf numFmtId="3" fontId="36" fillId="13" borderId="28" xfId="0" applyNumberFormat="1" applyFont="1" applyFill="1" applyBorder="1" applyAlignment="1">
      <alignment horizontal="center" vertical="top" wrapText="1"/>
    </xf>
    <xf numFmtId="3" fontId="36" fillId="13" borderId="27" xfId="0" applyNumberFormat="1" applyFont="1" applyFill="1" applyBorder="1" applyAlignment="1">
      <alignment horizontal="center" vertical="top" wrapText="1"/>
    </xf>
    <xf numFmtId="3" fontId="36" fillId="13" borderId="11" xfId="0" applyNumberFormat="1" applyFont="1" applyFill="1" applyBorder="1" applyAlignment="1">
      <alignment horizontal="center" vertical="top" wrapText="1"/>
    </xf>
    <xf numFmtId="3" fontId="36" fillId="13" borderId="0" xfId="0" applyNumberFormat="1" applyFont="1" applyFill="1" applyAlignment="1">
      <alignment horizontal="center" vertical="top" wrapText="1"/>
    </xf>
    <xf numFmtId="3" fontId="36" fillId="13" borderId="5" xfId="0" applyNumberFormat="1" applyFont="1" applyFill="1" applyBorder="1" applyAlignment="1">
      <alignment horizontal="center" vertical="top" wrapText="1"/>
    </xf>
    <xf numFmtId="3" fontId="36" fillId="13" borderId="12" xfId="0" applyNumberFormat="1" applyFont="1" applyFill="1" applyBorder="1" applyAlignment="1">
      <alignment horizontal="center" vertical="top" wrapText="1"/>
    </xf>
    <xf numFmtId="3" fontId="36" fillId="13" borderId="2" xfId="0" applyNumberFormat="1" applyFont="1" applyFill="1" applyBorder="1" applyAlignment="1">
      <alignment horizontal="center" vertical="top" wrapText="1"/>
    </xf>
    <xf numFmtId="3" fontId="36" fillId="13" borderId="3" xfId="0" applyNumberFormat="1" applyFont="1" applyFill="1" applyBorder="1" applyAlignment="1">
      <alignment horizontal="center" vertical="top" wrapText="1"/>
    </xf>
    <xf numFmtId="167" fontId="1" fillId="0" borderId="0" xfId="1" applyNumberFormat="1" applyFont="1"/>
    <xf numFmtId="0" fontId="10" fillId="0" borderId="26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7" borderId="1" xfId="0" quotePrefix="1" applyFill="1" applyBorder="1"/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2" xfId="0" applyFont="1" applyBorder="1" applyProtection="1">
      <protection locked="0"/>
    </xf>
    <xf numFmtId="0" fontId="27" fillId="2" borderId="8" xfId="0" applyFont="1" applyFill="1" applyBorder="1" applyAlignment="1">
      <alignment horizontal="center"/>
    </xf>
    <xf numFmtId="0" fontId="51" fillId="2" borderId="8" xfId="2" applyFont="1" applyFill="1" applyBorder="1" applyAlignment="1">
      <alignment horizontal="center"/>
    </xf>
    <xf numFmtId="165" fontId="21" fillId="0" borderId="8" xfId="2" applyNumberFormat="1" applyBorder="1"/>
    <xf numFmtId="165" fontId="21" fillId="0" borderId="9" xfId="2" applyNumberFormat="1" applyBorder="1"/>
    <xf numFmtId="165" fontId="21" fillId="0" borderId="10" xfId="2" applyNumberFormat="1" applyBorder="1"/>
    <xf numFmtId="0" fontId="57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26" fillId="2" borderId="27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164" fontId="0" fillId="0" borderId="9" xfId="0" applyNumberFormat="1" applyBorder="1"/>
    <xf numFmtId="164" fontId="0" fillId="0" borderId="10" xfId="0" applyNumberFormat="1" applyBorder="1"/>
    <xf numFmtId="0" fontId="1" fillId="8" borderId="8" xfId="0" applyFont="1" applyFill="1" applyBorder="1" applyAlignment="1">
      <alignment horizontal="center" vertical="center"/>
    </xf>
    <xf numFmtId="0" fontId="39" fillId="8" borderId="29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/>
    </xf>
    <xf numFmtId="9" fontId="48" fillId="0" borderId="0" xfId="1" applyFont="1"/>
    <xf numFmtId="9" fontId="1" fillId="0" borderId="0" xfId="1" applyFont="1"/>
    <xf numFmtId="0" fontId="10" fillId="6" borderId="1" xfId="0" applyFont="1" applyFill="1" applyBorder="1"/>
    <xf numFmtId="0" fontId="63" fillId="6" borderId="11" xfId="0" applyFont="1" applyFill="1" applyBorder="1" applyAlignment="1">
      <alignment horizontal="left" vertical="center" wrapText="1"/>
    </xf>
    <xf numFmtId="0" fontId="63" fillId="6" borderId="0" xfId="0" applyFont="1" applyFill="1" applyAlignment="1">
      <alignment horizontal="left" vertical="center" wrapText="1"/>
    </xf>
    <xf numFmtId="0" fontId="63" fillId="6" borderId="5" xfId="0" applyFont="1" applyFill="1" applyBorder="1" applyAlignment="1">
      <alignment horizontal="left" vertical="center" wrapText="1"/>
    </xf>
    <xf numFmtId="0" fontId="63" fillId="6" borderId="12" xfId="0" applyFont="1" applyFill="1" applyBorder="1" applyAlignment="1">
      <alignment horizontal="left" vertical="center" wrapText="1"/>
    </xf>
    <xf numFmtId="0" fontId="63" fillId="6" borderId="2" xfId="0" applyFont="1" applyFill="1" applyBorder="1" applyAlignment="1">
      <alignment horizontal="left" vertical="center" wrapText="1"/>
    </xf>
    <xf numFmtId="0" fontId="63" fillId="6" borderId="3" xfId="0" applyFont="1" applyFill="1" applyBorder="1" applyAlignment="1">
      <alignment horizontal="left" vertical="center" wrapText="1"/>
    </xf>
    <xf numFmtId="0" fontId="64" fillId="6" borderId="11" xfId="3" applyFont="1" applyFill="1" applyBorder="1" applyAlignment="1">
      <alignment horizontal="center"/>
    </xf>
    <xf numFmtId="0" fontId="64" fillId="6" borderId="0" xfId="3" applyFont="1" applyFill="1" applyBorder="1" applyAlignment="1">
      <alignment horizontal="center"/>
    </xf>
    <xf numFmtId="0" fontId="64" fillId="6" borderId="5" xfId="3" applyFont="1" applyFill="1" applyBorder="1" applyAlignment="1">
      <alignment horizontal="center"/>
    </xf>
    <xf numFmtId="0" fontId="62" fillId="6" borderId="6" xfId="0" applyFont="1" applyFill="1" applyBorder="1" applyAlignment="1">
      <alignment horizontal="left"/>
    </xf>
    <xf numFmtId="0" fontId="62" fillId="6" borderId="28" xfId="0" applyFont="1" applyFill="1" applyBorder="1" applyAlignment="1">
      <alignment horizontal="left"/>
    </xf>
    <xf numFmtId="0" fontId="62" fillId="6" borderId="27" xfId="0" applyFont="1" applyFill="1" applyBorder="1" applyAlignment="1">
      <alignment horizontal="left"/>
    </xf>
    <xf numFmtId="0" fontId="59" fillId="24" borderId="15" xfId="0" applyFont="1" applyFill="1" applyBorder="1" applyAlignment="1">
      <alignment horizontal="center" vertical="center"/>
    </xf>
    <xf numFmtId="0" fontId="59" fillId="24" borderId="16" xfId="0" applyFont="1" applyFill="1" applyBorder="1" applyAlignment="1">
      <alignment horizontal="center" vertical="center"/>
    </xf>
    <xf numFmtId="0" fontId="59" fillId="24" borderId="17" xfId="0" applyFont="1" applyFill="1" applyBorder="1" applyAlignment="1">
      <alignment horizontal="center" vertical="center"/>
    </xf>
    <xf numFmtId="0" fontId="59" fillId="24" borderId="24" xfId="0" applyFont="1" applyFill="1" applyBorder="1" applyAlignment="1">
      <alignment horizontal="center" vertical="center"/>
    </xf>
    <xf numFmtId="0" fontId="59" fillId="24" borderId="0" xfId="0" applyFont="1" applyFill="1" applyAlignment="1">
      <alignment horizontal="center" vertical="center"/>
    </xf>
    <xf numFmtId="0" fontId="59" fillId="24" borderId="25" xfId="0" applyFont="1" applyFill="1" applyBorder="1" applyAlignment="1">
      <alignment horizontal="center" vertical="center"/>
    </xf>
    <xf numFmtId="0" fontId="59" fillId="24" borderId="18" xfId="0" applyFont="1" applyFill="1" applyBorder="1" applyAlignment="1">
      <alignment horizontal="center" vertical="center"/>
    </xf>
    <xf numFmtId="0" fontId="59" fillId="24" borderId="19" xfId="0" applyFont="1" applyFill="1" applyBorder="1" applyAlignment="1">
      <alignment horizontal="center" vertical="center"/>
    </xf>
    <xf numFmtId="0" fontId="59" fillId="24" borderId="20" xfId="0" applyFont="1" applyFill="1" applyBorder="1" applyAlignment="1">
      <alignment horizontal="center" vertical="center"/>
    </xf>
    <xf numFmtId="0" fontId="61" fillId="25" borderId="6" xfId="0" applyFont="1" applyFill="1" applyBorder="1" applyAlignment="1">
      <alignment horizontal="center"/>
    </xf>
    <xf numFmtId="0" fontId="61" fillId="25" borderId="28" xfId="0" applyFont="1" applyFill="1" applyBorder="1" applyAlignment="1">
      <alignment horizontal="center"/>
    </xf>
    <xf numFmtId="0" fontId="61" fillId="25" borderId="27" xfId="0" applyFont="1" applyFill="1" applyBorder="1" applyAlignment="1">
      <alignment horizontal="center"/>
    </xf>
    <xf numFmtId="0" fontId="61" fillId="25" borderId="12" xfId="0" applyFont="1" applyFill="1" applyBorder="1" applyAlignment="1">
      <alignment horizontal="center"/>
    </xf>
    <xf numFmtId="0" fontId="61" fillId="25" borderId="2" xfId="0" applyFont="1" applyFill="1" applyBorder="1" applyAlignment="1">
      <alignment horizontal="center"/>
    </xf>
    <xf numFmtId="0" fontId="61" fillId="25" borderId="3" xfId="0" applyFont="1" applyFill="1" applyBorder="1" applyAlignment="1">
      <alignment horizontal="center"/>
    </xf>
    <xf numFmtId="0" fontId="0" fillId="13" borderId="24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0" fontId="0" fillId="13" borderId="18" xfId="0" applyFill="1" applyBorder="1" applyAlignment="1">
      <alignment horizontal="center" vertical="center" wrapText="1"/>
    </xf>
    <xf numFmtId="0" fontId="0" fillId="13" borderId="19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20" fillId="14" borderId="21" xfId="0" applyFont="1" applyFill="1" applyBorder="1" applyAlignment="1">
      <alignment horizontal="center"/>
    </xf>
    <xf numFmtId="0" fontId="20" fillId="14" borderId="22" xfId="0" applyFont="1" applyFill="1" applyBorder="1" applyAlignment="1">
      <alignment horizontal="center"/>
    </xf>
    <xf numFmtId="0" fontId="20" fillId="14" borderId="23" xfId="0" applyFont="1" applyFill="1" applyBorder="1" applyAlignment="1">
      <alignment horizontal="center"/>
    </xf>
    <xf numFmtId="0" fontId="0" fillId="13" borderId="15" xfId="0" applyFill="1" applyBorder="1" applyAlignment="1">
      <alignment horizontal="center" vertical="center" wrapText="1"/>
    </xf>
    <xf numFmtId="0" fontId="0" fillId="13" borderId="16" xfId="0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 wrapText="1"/>
    </xf>
    <xf numFmtId="0" fontId="20" fillId="15" borderId="21" xfId="0" applyFont="1" applyFill="1" applyBorder="1" applyAlignment="1">
      <alignment horizontal="center"/>
    </xf>
    <xf numFmtId="0" fontId="20" fillId="15" borderId="22" xfId="0" applyFont="1" applyFill="1" applyBorder="1" applyAlignment="1">
      <alignment horizontal="center"/>
    </xf>
    <xf numFmtId="0" fontId="20" fillId="15" borderId="23" xfId="0" applyFont="1" applyFill="1" applyBorder="1" applyAlignment="1">
      <alignment horizontal="center"/>
    </xf>
    <xf numFmtId="0" fontId="0" fillId="16" borderId="15" xfId="0" applyFill="1" applyBorder="1" applyAlignment="1">
      <alignment horizontal="center" vertical="center" wrapText="1"/>
    </xf>
    <xf numFmtId="0" fontId="0" fillId="16" borderId="16" xfId="0" applyFill="1" applyBorder="1" applyAlignment="1">
      <alignment horizontal="center" vertical="center" wrapText="1"/>
    </xf>
    <xf numFmtId="0" fontId="0" fillId="16" borderId="17" xfId="0" applyFill="1" applyBorder="1" applyAlignment="1">
      <alignment horizontal="center" vertical="center" wrapText="1"/>
    </xf>
    <xf numFmtId="0" fontId="0" fillId="16" borderId="24" xfId="0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0" fillId="16" borderId="25" xfId="0" applyFill="1" applyBorder="1" applyAlignment="1">
      <alignment horizontal="center" vertical="center" wrapText="1"/>
    </xf>
    <xf numFmtId="0" fontId="0" fillId="16" borderId="18" xfId="0" applyFill="1" applyBorder="1" applyAlignment="1">
      <alignment horizontal="center" vertical="center" wrapText="1"/>
    </xf>
    <xf numFmtId="0" fontId="0" fillId="16" borderId="19" xfId="0" applyFill="1" applyBorder="1" applyAlignment="1">
      <alignment horizontal="center" vertical="center" wrapText="1"/>
    </xf>
    <xf numFmtId="0" fontId="0" fillId="16" borderId="20" xfId="0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20" fillId="12" borderId="21" xfId="0" applyFont="1" applyFill="1" applyBorder="1" applyAlignment="1">
      <alignment horizontal="center"/>
    </xf>
    <xf numFmtId="0" fontId="20" fillId="12" borderId="22" xfId="0" applyFont="1" applyFill="1" applyBorder="1" applyAlignment="1">
      <alignment horizontal="center"/>
    </xf>
    <xf numFmtId="0" fontId="20" fillId="12" borderId="23" xfId="0" applyFont="1" applyFill="1" applyBorder="1" applyAlignment="1">
      <alignment horizontal="center"/>
    </xf>
    <xf numFmtId="0" fontId="0" fillId="11" borderId="15" xfId="0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 vertical="center" wrapText="1"/>
    </xf>
    <xf numFmtId="0" fontId="0" fillId="11" borderId="17" xfId="0" applyFill="1" applyBorder="1" applyAlignment="1">
      <alignment horizontal="center" vertical="center" wrapText="1"/>
    </xf>
    <xf numFmtId="0" fontId="0" fillId="11" borderId="24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25" xfId="0" applyFill="1" applyBorder="1" applyAlignment="1">
      <alignment horizontal="center" vertical="center" wrapText="1"/>
    </xf>
    <xf numFmtId="0" fontId="0" fillId="11" borderId="18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0" fillId="11" borderId="20" xfId="0" applyFill="1" applyBorder="1" applyAlignment="1">
      <alignment horizontal="center" vertical="center" wrapText="1"/>
    </xf>
    <xf numFmtId="0" fontId="0" fillId="22" borderId="0" xfId="0" applyFill="1" applyAlignment="1">
      <alignment horizontal="center"/>
    </xf>
    <xf numFmtId="0" fontId="20" fillId="18" borderId="21" xfId="0" applyFont="1" applyFill="1" applyBorder="1" applyAlignment="1">
      <alignment horizontal="center"/>
    </xf>
    <xf numFmtId="0" fontId="20" fillId="18" borderId="22" xfId="0" applyFont="1" applyFill="1" applyBorder="1" applyAlignment="1">
      <alignment horizontal="center"/>
    </xf>
    <xf numFmtId="0" fontId="20" fillId="18" borderId="23" xfId="0" applyFont="1" applyFill="1" applyBorder="1" applyAlignment="1">
      <alignment horizontal="center"/>
    </xf>
    <xf numFmtId="0" fontId="0" fillId="17" borderId="15" xfId="0" applyFill="1" applyBorder="1" applyAlignment="1">
      <alignment horizontal="center" vertical="center" wrapText="1"/>
    </xf>
    <xf numFmtId="0" fontId="0" fillId="17" borderId="16" xfId="0" applyFill="1" applyBorder="1" applyAlignment="1">
      <alignment horizontal="center" vertical="center" wrapText="1"/>
    </xf>
    <xf numFmtId="0" fontId="0" fillId="17" borderId="17" xfId="0" applyFill="1" applyBorder="1" applyAlignment="1">
      <alignment horizontal="center" vertical="center" wrapText="1"/>
    </xf>
    <xf numFmtId="0" fontId="0" fillId="17" borderId="24" xfId="0" applyFill="1" applyBorder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0" fillId="17" borderId="25" xfId="0" applyFill="1" applyBorder="1" applyAlignment="1">
      <alignment horizontal="center" vertical="center" wrapText="1"/>
    </xf>
    <xf numFmtId="0" fontId="0" fillId="17" borderId="18" xfId="0" applyFill="1" applyBorder="1" applyAlignment="1">
      <alignment horizontal="center" vertical="center" wrapText="1"/>
    </xf>
    <xf numFmtId="0" fontId="0" fillId="17" borderId="19" xfId="0" applyFill="1" applyBorder="1" applyAlignment="1">
      <alignment horizontal="center" vertical="center" wrapText="1"/>
    </xf>
    <xf numFmtId="0" fontId="0" fillId="17" borderId="20" xfId="0" applyFill="1" applyBorder="1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20" fillId="20" borderId="21" xfId="0" applyFont="1" applyFill="1" applyBorder="1" applyAlignment="1">
      <alignment horizontal="center"/>
    </xf>
    <xf numFmtId="0" fontId="20" fillId="20" borderId="22" xfId="0" applyFont="1" applyFill="1" applyBorder="1" applyAlignment="1">
      <alignment horizontal="center"/>
    </xf>
    <xf numFmtId="0" fontId="20" fillId="20" borderId="23" xfId="0" applyFont="1" applyFill="1" applyBorder="1" applyAlignment="1">
      <alignment horizontal="center"/>
    </xf>
    <xf numFmtId="0" fontId="0" fillId="19" borderId="24" xfId="0" applyFill="1" applyBorder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0" fontId="0" fillId="19" borderId="25" xfId="0" applyFill="1" applyBorder="1" applyAlignment="1">
      <alignment horizontal="center" vertical="center" wrapText="1"/>
    </xf>
    <xf numFmtId="0" fontId="0" fillId="19" borderId="18" xfId="0" applyFill="1" applyBorder="1" applyAlignment="1">
      <alignment horizontal="center" vertical="center" wrapText="1"/>
    </xf>
    <xf numFmtId="0" fontId="0" fillId="19" borderId="19" xfId="0" applyFill="1" applyBorder="1" applyAlignment="1">
      <alignment horizontal="center" vertical="center" wrapText="1"/>
    </xf>
    <xf numFmtId="0" fontId="0" fillId="19" borderId="20" xfId="0" applyFill="1" applyBorder="1" applyAlignment="1">
      <alignment horizontal="center" vertical="center" wrapText="1"/>
    </xf>
    <xf numFmtId="0" fontId="0" fillId="19" borderId="15" xfId="0" applyFill="1" applyBorder="1" applyAlignment="1">
      <alignment horizontal="center" vertical="center" wrapText="1"/>
    </xf>
    <xf numFmtId="0" fontId="0" fillId="19" borderId="16" xfId="0" applyFill="1" applyBorder="1" applyAlignment="1">
      <alignment horizontal="center" vertical="center" wrapText="1"/>
    </xf>
    <xf numFmtId="0" fontId="0" fillId="19" borderId="17" xfId="0" applyFill="1" applyBorder="1" applyAlignment="1">
      <alignment horizontal="center" vertical="center" wrapText="1"/>
    </xf>
    <xf numFmtId="0" fontId="33" fillId="0" borderId="11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5" xfId="0" applyFont="1" applyBorder="1" applyAlignment="1">
      <alignment horizontal="center"/>
    </xf>
    <xf numFmtId="0" fontId="33" fillId="0" borderId="5" xfId="0" applyFont="1" applyBorder="1" applyAlignment="1">
      <alignment horizontal="center" wrapText="1"/>
    </xf>
    <xf numFmtId="0" fontId="33" fillId="0" borderId="3" xfId="0" applyFont="1" applyBorder="1" applyAlignment="1">
      <alignment horizontal="center" wrapText="1"/>
    </xf>
    <xf numFmtId="0" fontId="55" fillId="23" borderId="0" xfId="0" applyFont="1" applyFill="1" applyAlignment="1">
      <alignment horizontal="center"/>
    </xf>
    <xf numFmtId="0" fontId="47" fillId="23" borderId="0" xfId="0" applyFont="1" applyFill="1" applyAlignment="1">
      <alignment horizontal="center"/>
    </xf>
    <xf numFmtId="0" fontId="53" fillId="23" borderId="30" xfId="0" applyFont="1" applyFill="1" applyBorder="1" applyAlignment="1">
      <alignment horizontal="center" vertical="center" wrapText="1" readingOrder="1"/>
    </xf>
    <xf numFmtId="0" fontId="53" fillId="23" borderId="31" xfId="0" applyFont="1" applyFill="1" applyBorder="1" applyAlignment="1">
      <alignment horizontal="center" vertical="center" wrapText="1" readingOrder="1"/>
    </xf>
    <xf numFmtId="0" fontId="54" fillId="23" borderId="0" xfId="0" applyFont="1" applyFill="1" applyAlignment="1">
      <alignment horizontal="center" vertical="center" wrapText="1" readingOrder="1"/>
    </xf>
  </cellXfs>
  <cellStyles count="4">
    <cellStyle name="Hiperłącze" xfId="3" builtinId="8"/>
    <cellStyle name="Normalny" xfId="0" builtinId="0"/>
    <cellStyle name="Normalny 2" xfId="2" xr:uid="{67CE9C33-3313-4032-8E69-820ECA6E458D}"/>
    <cellStyle name="Procentowy" xfId="1" builtinId="5"/>
  </cellStyles>
  <dxfs count="0"/>
  <tableStyles count="0" defaultTableStyle="TableStyleMedium2" defaultPivotStyle="PivotStyleLight16"/>
  <colors>
    <mruColors>
      <color rgb="FFFFCDCD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 trwania</a:t>
            </a:r>
            <a:r>
              <a:rPr lang="pl-PL" baseline="0"/>
              <a:t> względem kwoty kredytu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 Losowanie proste ez'!$C$10:$C$329</c:f>
              <c:numCache>
                <c:formatCode>General</c:formatCode>
                <c:ptCount val="320"/>
                <c:pt idx="0">
                  <c:v>36</c:v>
                </c:pt>
                <c:pt idx="1">
                  <c:v>18</c:v>
                </c:pt>
                <c:pt idx="2">
                  <c:v>30</c:v>
                </c:pt>
                <c:pt idx="3">
                  <c:v>12</c:v>
                </c:pt>
                <c:pt idx="4">
                  <c:v>24</c:v>
                </c:pt>
                <c:pt idx="5">
                  <c:v>8</c:v>
                </c:pt>
                <c:pt idx="6">
                  <c:v>36</c:v>
                </c:pt>
                <c:pt idx="7">
                  <c:v>18</c:v>
                </c:pt>
                <c:pt idx="8">
                  <c:v>12</c:v>
                </c:pt>
                <c:pt idx="9">
                  <c:v>24</c:v>
                </c:pt>
                <c:pt idx="10">
                  <c:v>60</c:v>
                </c:pt>
                <c:pt idx="11">
                  <c:v>9</c:v>
                </c:pt>
                <c:pt idx="12">
                  <c:v>15</c:v>
                </c:pt>
                <c:pt idx="13">
                  <c:v>24</c:v>
                </c:pt>
                <c:pt idx="14">
                  <c:v>42</c:v>
                </c:pt>
                <c:pt idx="15">
                  <c:v>24</c:v>
                </c:pt>
                <c:pt idx="16">
                  <c:v>15</c:v>
                </c:pt>
                <c:pt idx="17">
                  <c:v>9</c:v>
                </c:pt>
                <c:pt idx="18">
                  <c:v>12</c:v>
                </c:pt>
                <c:pt idx="19">
                  <c:v>24</c:v>
                </c:pt>
                <c:pt idx="20">
                  <c:v>24</c:v>
                </c:pt>
                <c:pt idx="21">
                  <c:v>12</c:v>
                </c:pt>
                <c:pt idx="22">
                  <c:v>18</c:v>
                </c:pt>
                <c:pt idx="23">
                  <c:v>6</c:v>
                </c:pt>
                <c:pt idx="24">
                  <c:v>24</c:v>
                </c:pt>
                <c:pt idx="25">
                  <c:v>12</c:v>
                </c:pt>
                <c:pt idx="26">
                  <c:v>18</c:v>
                </c:pt>
                <c:pt idx="27">
                  <c:v>48</c:v>
                </c:pt>
                <c:pt idx="28">
                  <c:v>24</c:v>
                </c:pt>
                <c:pt idx="29">
                  <c:v>10</c:v>
                </c:pt>
                <c:pt idx="30">
                  <c:v>24</c:v>
                </c:pt>
                <c:pt idx="31">
                  <c:v>24</c:v>
                </c:pt>
                <c:pt idx="32">
                  <c:v>30</c:v>
                </c:pt>
                <c:pt idx="33">
                  <c:v>30</c:v>
                </c:pt>
                <c:pt idx="34">
                  <c:v>4</c:v>
                </c:pt>
                <c:pt idx="35">
                  <c:v>21</c:v>
                </c:pt>
                <c:pt idx="36">
                  <c:v>33</c:v>
                </c:pt>
                <c:pt idx="37">
                  <c:v>24</c:v>
                </c:pt>
                <c:pt idx="38">
                  <c:v>20</c:v>
                </c:pt>
                <c:pt idx="39">
                  <c:v>21</c:v>
                </c:pt>
                <c:pt idx="40">
                  <c:v>36</c:v>
                </c:pt>
                <c:pt idx="41">
                  <c:v>24</c:v>
                </c:pt>
                <c:pt idx="42">
                  <c:v>15</c:v>
                </c:pt>
                <c:pt idx="43">
                  <c:v>48</c:v>
                </c:pt>
                <c:pt idx="44">
                  <c:v>6</c:v>
                </c:pt>
                <c:pt idx="45">
                  <c:v>21</c:v>
                </c:pt>
                <c:pt idx="46">
                  <c:v>21</c:v>
                </c:pt>
                <c:pt idx="47">
                  <c:v>4</c:v>
                </c:pt>
                <c:pt idx="48">
                  <c:v>12</c:v>
                </c:pt>
                <c:pt idx="49">
                  <c:v>36</c:v>
                </c:pt>
                <c:pt idx="50">
                  <c:v>18</c:v>
                </c:pt>
                <c:pt idx="51">
                  <c:v>30</c:v>
                </c:pt>
                <c:pt idx="52">
                  <c:v>12</c:v>
                </c:pt>
                <c:pt idx="53">
                  <c:v>12</c:v>
                </c:pt>
                <c:pt idx="54">
                  <c:v>18</c:v>
                </c:pt>
                <c:pt idx="55">
                  <c:v>12</c:v>
                </c:pt>
                <c:pt idx="56">
                  <c:v>6</c:v>
                </c:pt>
                <c:pt idx="57">
                  <c:v>12</c:v>
                </c:pt>
                <c:pt idx="58">
                  <c:v>6</c:v>
                </c:pt>
                <c:pt idx="59">
                  <c:v>10</c:v>
                </c:pt>
                <c:pt idx="60">
                  <c:v>18</c:v>
                </c:pt>
                <c:pt idx="61">
                  <c:v>18</c:v>
                </c:pt>
                <c:pt idx="62">
                  <c:v>12</c:v>
                </c:pt>
                <c:pt idx="63">
                  <c:v>12</c:v>
                </c:pt>
                <c:pt idx="64">
                  <c:v>24</c:v>
                </c:pt>
                <c:pt idx="65">
                  <c:v>18</c:v>
                </c:pt>
                <c:pt idx="66">
                  <c:v>6</c:v>
                </c:pt>
                <c:pt idx="67">
                  <c:v>12</c:v>
                </c:pt>
                <c:pt idx="68">
                  <c:v>40</c:v>
                </c:pt>
                <c:pt idx="69">
                  <c:v>24</c:v>
                </c:pt>
                <c:pt idx="70">
                  <c:v>4</c:v>
                </c:pt>
                <c:pt idx="71">
                  <c:v>10</c:v>
                </c:pt>
                <c:pt idx="72">
                  <c:v>36</c:v>
                </c:pt>
                <c:pt idx="73">
                  <c:v>18</c:v>
                </c:pt>
                <c:pt idx="74">
                  <c:v>9</c:v>
                </c:pt>
                <c:pt idx="75">
                  <c:v>10</c:v>
                </c:pt>
                <c:pt idx="76">
                  <c:v>15</c:v>
                </c:pt>
                <c:pt idx="77">
                  <c:v>15</c:v>
                </c:pt>
                <c:pt idx="78">
                  <c:v>48</c:v>
                </c:pt>
                <c:pt idx="79">
                  <c:v>12</c:v>
                </c:pt>
                <c:pt idx="80">
                  <c:v>24</c:v>
                </c:pt>
                <c:pt idx="81">
                  <c:v>36</c:v>
                </c:pt>
                <c:pt idx="82">
                  <c:v>6</c:v>
                </c:pt>
                <c:pt idx="83">
                  <c:v>12</c:v>
                </c:pt>
                <c:pt idx="84">
                  <c:v>12</c:v>
                </c:pt>
                <c:pt idx="85">
                  <c:v>48</c:v>
                </c:pt>
                <c:pt idx="86">
                  <c:v>30</c:v>
                </c:pt>
                <c:pt idx="87">
                  <c:v>24</c:v>
                </c:pt>
                <c:pt idx="88">
                  <c:v>42</c:v>
                </c:pt>
                <c:pt idx="89">
                  <c:v>12</c:v>
                </c:pt>
                <c:pt idx="90">
                  <c:v>24</c:v>
                </c:pt>
                <c:pt idx="91">
                  <c:v>24</c:v>
                </c:pt>
                <c:pt idx="92">
                  <c:v>18</c:v>
                </c:pt>
                <c:pt idx="93">
                  <c:v>24</c:v>
                </c:pt>
                <c:pt idx="94">
                  <c:v>36</c:v>
                </c:pt>
                <c:pt idx="95">
                  <c:v>60</c:v>
                </c:pt>
                <c:pt idx="96">
                  <c:v>12</c:v>
                </c:pt>
                <c:pt idx="97">
                  <c:v>12</c:v>
                </c:pt>
                <c:pt idx="98">
                  <c:v>10</c:v>
                </c:pt>
                <c:pt idx="99">
                  <c:v>12</c:v>
                </c:pt>
                <c:pt idx="100">
                  <c:v>11</c:v>
                </c:pt>
                <c:pt idx="101">
                  <c:v>60</c:v>
                </c:pt>
                <c:pt idx="102">
                  <c:v>42</c:v>
                </c:pt>
                <c:pt idx="103">
                  <c:v>15</c:v>
                </c:pt>
                <c:pt idx="104">
                  <c:v>42</c:v>
                </c:pt>
                <c:pt idx="105">
                  <c:v>12</c:v>
                </c:pt>
                <c:pt idx="106">
                  <c:v>24</c:v>
                </c:pt>
                <c:pt idx="107">
                  <c:v>12</c:v>
                </c:pt>
                <c:pt idx="108">
                  <c:v>6</c:v>
                </c:pt>
                <c:pt idx="109">
                  <c:v>36</c:v>
                </c:pt>
                <c:pt idx="110">
                  <c:v>24</c:v>
                </c:pt>
                <c:pt idx="111">
                  <c:v>24</c:v>
                </c:pt>
                <c:pt idx="112">
                  <c:v>42</c:v>
                </c:pt>
                <c:pt idx="113">
                  <c:v>18</c:v>
                </c:pt>
                <c:pt idx="114">
                  <c:v>21</c:v>
                </c:pt>
                <c:pt idx="115">
                  <c:v>18</c:v>
                </c:pt>
                <c:pt idx="116">
                  <c:v>24</c:v>
                </c:pt>
                <c:pt idx="117">
                  <c:v>18</c:v>
                </c:pt>
                <c:pt idx="118">
                  <c:v>21</c:v>
                </c:pt>
                <c:pt idx="119">
                  <c:v>10</c:v>
                </c:pt>
                <c:pt idx="120">
                  <c:v>33</c:v>
                </c:pt>
                <c:pt idx="121">
                  <c:v>12</c:v>
                </c:pt>
                <c:pt idx="122">
                  <c:v>36</c:v>
                </c:pt>
                <c:pt idx="123">
                  <c:v>6</c:v>
                </c:pt>
                <c:pt idx="124">
                  <c:v>36</c:v>
                </c:pt>
                <c:pt idx="125">
                  <c:v>30</c:v>
                </c:pt>
                <c:pt idx="126">
                  <c:v>12</c:v>
                </c:pt>
                <c:pt idx="127">
                  <c:v>48</c:v>
                </c:pt>
                <c:pt idx="128">
                  <c:v>12</c:v>
                </c:pt>
                <c:pt idx="129">
                  <c:v>24</c:v>
                </c:pt>
                <c:pt idx="130">
                  <c:v>60</c:v>
                </c:pt>
                <c:pt idx="131">
                  <c:v>6</c:v>
                </c:pt>
                <c:pt idx="132">
                  <c:v>12</c:v>
                </c:pt>
                <c:pt idx="133">
                  <c:v>10</c:v>
                </c:pt>
                <c:pt idx="134">
                  <c:v>42</c:v>
                </c:pt>
                <c:pt idx="135">
                  <c:v>18</c:v>
                </c:pt>
                <c:pt idx="136">
                  <c:v>12</c:v>
                </c:pt>
                <c:pt idx="137">
                  <c:v>18</c:v>
                </c:pt>
                <c:pt idx="138">
                  <c:v>11</c:v>
                </c:pt>
                <c:pt idx="139">
                  <c:v>12</c:v>
                </c:pt>
                <c:pt idx="140">
                  <c:v>24</c:v>
                </c:pt>
                <c:pt idx="141">
                  <c:v>36</c:v>
                </c:pt>
                <c:pt idx="142">
                  <c:v>18</c:v>
                </c:pt>
                <c:pt idx="143">
                  <c:v>36</c:v>
                </c:pt>
                <c:pt idx="144">
                  <c:v>9</c:v>
                </c:pt>
                <c:pt idx="145">
                  <c:v>15</c:v>
                </c:pt>
                <c:pt idx="146">
                  <c:v>18</c:v>
                </c:pt>
                <c:pt idx="147">
                  <c:v>12</c:v>
                </c:pt>
                <c:pt idx="148">
                  <c:v>24</c:v>
                </c:pt>
                <c:pt idx="149">
                  <c:v>27</c:v>
                </c:pt>
                <c:pt idx="150">
                  <c:v>24</c:v>
                </c:pt>
                <c:pt idx="151">
                  <c:v>6</c:v>
                </c:pt>
                <c:pt idx="152">
                  <c:v>9</c:v>
                </c:pt>
                <c:pt idx="153">
                  <c:v>6</c:v>
                </c:pt>
                <c:pt idx="154">
                  <c:v>12</c:v>
                </c:pt>
                <c:pt idx="155">
                  <c:v>24</c:v>
                </c:pt>
                <c:pt idx="156">
                  <c:v>9</c:v>
                </c:pt>
                <c:pt idx="157">
                  <c:v>11</c:v>
                </c:pt>
                <c:pt idx="158">
                  <c:v>12</c:v>
                </c:pt>
                <c:pt idx="159">
                  <c:v>36</c:v>
                </c:pt>
                <c:pt idx="160">
                  <c:v>48</c:v>
                </c:pt>
                <c:pt idx="161">
                  <c:v>24</c:v>
                </c:pt>
                <c:pt idx="162">
                  <c:v>24</c:v>
                </c:pt>
                <c:pt idx="163">
                  <c:v>6</c:v>
                </c:pt>
                <c:pt idx="164">
                  <c:v>6</c:v>
                </c:pt>
                <c:pt idx="165">
                  <c:v>30</c:v>
                </c:pt>
                <c:pt idx="166">
                  <c:v>24</c:v>
                </c:pt>
                <c:pt idx="167">
                  <c:v>6</c:v>
                </c:pt>
                <c:pt idx="168">
                  <c:v>13</c:v>
                </c:pt>
                <c:pt idx="169">
                  <c:v>48</c:v>
                </c:pt>
                <c:pt idx="170">
                  <c:v>24</c:v>
                </c:pt>
                <c:pt idx="171">
                  <c:v>18</c:v>
                </c:pt>
                <c:pt idx="172">
                  <c:v>12</c:v>
                </c:pt>
                <c:pt idx="173">
                  <c:v>21</c:v>
                </c:pt>
                <c:pt idx="174">
                  <c:v>24</c:v>
                </c:pt>
                <c:pt idx="175">
                  <c:v>39</c:v>
                </c:pt>
                <c:pt idx="176">
                  <c:v>15</c:v>
                </c:pt>
                <c:pt idx="177">
                  <c:v>36</c:v>
                </c:pt>
                <c:pt idx="178">
                  <c:v>6</c:v>
                </c:pt>
                <c:pt idx="179">
                  <c:v>30</c:v>
                </c:pt>
                <c:pt idx="180">
                  <c:v>6</c:v>
                </c:pt>
                <c:pt idx="181">
                  <c:v>18</c:v>
                </c:pt>
                <c:pt idx="182">
                  <c:v>15</c:v>
                </c:pt>
                <c:pt idx="183">
                  <c:v>21</c:v>
                </c:pt>
                <c:pt idx="184">
                  <c:v>6</c:v>
                </c:pt>
                <c:pt idx="185">
                  <c:v>36</c:v>
                </c:pt>
                <c:pt idx="186">
                  <c:v>36</c:v>
                </c:pt>
                <c:pt idx="187">
                  <c:v>9</c:v>
                </c:pt>
                <c:pt idx="188">
                  <c:v>24</c:v>
                </c:pt>
                <c:pt idx="189">
                  <c:v>36</c:v>
                </c:pt>
                <c:pt idx="190">
                  <c:v>30</c:v>
                </c:pt>
                <c:pt idx="191">
                  <c:v>30</c:v>
                </c:pt>
                <c:pt idx="192">
                  <c:v>27</c:v>
                </c:pt>
                <c:pt idx="193">
                  <c:v>15</c:v>
                </c:pt>
                <c:pt idx="194">
                  <c:v>36</c:v>
                </c:pt>
                <c:pt idx="195">
                  <c:v>18</c:v>
                </c:pt>
                <c:pt idx="196">
                  <c:v>30</c:v>
                </c:pt>
                <c:pt idx="197">
                  <c:v>12</c:v>
                </c:pt>
                <c:pt idx="198">
                  <c:v>48</c:v>
                </c:pt>
                <c:pt idx="199">
                  <c:v>6</c:v>
                </c:pt>
                <c:pt idx="200">
                  <c:v>48</c:v>
                </c:pt>
                <c:pt idx="201">
                  <c:v>18</c:v>
                </c:pt>
                <c:pt idx="202">
                  <c:v>36</c:v>
                </c:pt>
                <c:pt idx="203">
                  <c:v>12</c:v>
                </c:pt>
                <c:pt idx="204">
                  <c:v>12</c:v>
                </c:pt>
                <c:pt idx="205">
                  <c:v>24</c:v>
                </c:pt>
                <c:pt idx="206">
                  <c:v>18</c:v>
                </c:pt>
                <c:pt idx="207">
                  <c:v>12</c:v>
                </c:pt>
                <c:pt idx="208">
                  <c:v>24</c:v>
                </c:pt>
                <c:pt idx="209">
                  <c:v>6</c:v>
                </c:pt>
                <c:pt idx="210">
                  <c:v>24</c:v>
                </c:pt>
                <c:pt idx="211">
                  <c:v>60</c:v>
                </c:pt>
                <c:pt idx="212">
                  <c:v>18</c:v>
                </c:pt>
                <c:pt idx="213">
                  <c:v>18</c:v>
                </c:pt>
                <c:pt idx="214">
                  <c:v>15</c:v>
                </c:pt>
                <c:pt idx="215">
                  <c:v>28</c:v>
                </c:pt>
                <c:pt idx="216">
                  <c:v>6</c:v>
                </c:pt>
                <c:pt idx="217">
                  <c:v>6</c:v>
                </c:pt>
                <c:pt idx="218">
                  <c:v>21</c:v>
                </c:pt>
                <c:pt idx="219">
                  <c:v>12</c:v>
                </c:pt>
                <c:pt idx="220">
                  <c:v>18</c:v>
                </c:pt>
                <c:pt idx="221">
                  <c:v>24</c:v>
                </c:pt>
                <c:pt idx="222">
                  <c:v>18</c:v>
                </c:pt>
                <c:pt idx="223">
                  <c:v>13</c:v>
                </c:pt>
                <c:pt idx="224">
                  <c:v>39</c:v>
                </c:pt>
                <c:pt idx="225">
                  <c:v>48</c:v>
                </c:pt>
                <c:pt idx="226">
                  <c:v>16</c:v>
                </c:pt>
                <c:pt idx="227">
                  <c:v>18</c:v>
                </c:pt>
                <c:pt idx="228">
                  <c:v>12</c:v>
                </c:pt>
                <c:pt idx="229">
                  <c:v>24</c:v>
                </c:pt>
                <c:pt idx="230">
                  <c:v>48</c:v>
                </c:pt>
                <c:pt idx="231">
                  <c:v>15</c:v>
                </c:pt>
                <c:pt idx="232">
                  <c:v>12</c:v>
                </c:pt>
                <c:pt idx="233">
                  <c:v>18</c:v>
                </c:pt>
                <c:pt idx="234">
                  <c:v>12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9</c:v>
                </c:pt>
                <c:pt idx="242">
                  <c:v>6</c:v>
                </c:pt>
                <c:pt idx="243">
                  <c:v>12</c:v>
                </c:pt>
                <c:pt idx="244">
                  <c:v>6</c:v>
                </c:pt>
                <c:pt idx="245">
                  <c:v>12</c:v>
                </c:pt>
                <c:pt idx="246">
                  <c:v>60</c:v>
                </c:pt>
                <c:pt idx="247">
                  <c:v>24</c:v>
                </c:pt>
                <c:pt idx="248">
                  <c:v>6</c:v>
                </c:pt>
                <c:pt idx="249">
                  <c:v>24</c:v>
                </c:pt>
                <c:pt idx="250">
                  <c:v>9</c:v>
                </c:pt>
                <c:pt idx="251">
                  <c:v>21</c:v>
                </c:pt>
                <c:pt idx="252">
                  <c:v>24</c:v>
                </c:pt>
                <c:pt idx="253">
                  <c:v>6</c:v>
                </c:pt>
                <c:pt idx="254">
                  <c:v>12</c:v>
                </c:pt>
                <c:pt idx="255">
                  <c:v>12</c:v>
                </c:pt>
                <c:pt idx="256">
                  <c:v>36</c:v>
                </c:pt>
                <c:pt idx="257">
                  <c:v>48</c:v>
                </c:pt>
                <c:pt idx="258">
                  <c:v>6</c:v>
                </c:pt>
                <c:pt idx="259">
                  <c:v>24</c:v>
                </c:pt>
                <c:pt idx="260">
                  <c:v>36</c:v>
                </c:pt>
                <c:pt idx="261">
                  <c:v>24</c:v>
                </c:pt>
                <c:pt idx="262">
                  <c:v>9</c:v>
                </c:pt>
                <c:pt idx="263">
                  <c:v>15</c:v>
                </c:pt>
                <c:pt idx="264">
                  <c:v>14</c:v>
                </c:pt>
                <c:pt idx="265">
                  <c:v>12</c:v>
                </c:pt>
                <c:pt idx="266">
                  <c:v>24</c:v>
                </c:pt>
                <c:pt idx="267">
                  <c:v>10</c:v>
                </c:pt>
                <c:pt idx="268">
                  <c:v>18</c:v>
                </c:pt>
                <c:pt idx="269">
                  <c:v>9</c:v>
                </c:pt>
                <c:pt idx="270">
                  <c:v>36</c:v>
                </c:pt>
                <c:pt idx="271">
                  <c:v>36</c:v>
                </c:pt>
                <c:pt idx="272">
                  <c:v>12</c:v>
                </c:pt>
                <c:pt idx="273">
                  <c:v>15</c:v>
                </c:pt>
                <c:pt idx="274">
                  <c:v>12</c:v>
                </c:pt>
                <c:pt idx="275">
                  <c:v>24</c:v>
                </c:pt>
                <c:pt idx="276">
                  <c:v>48</c:v>
                </c:pt>
                <c:pt idx="277">
                  <c:v>14</c:v>
                </c:pt>
                <c:pt idx="278">
                  <c:v>12</c:v>
                </c:pt>
                <c:pt idx="279">
                  <c:v>21</c:v>
                </c:pt>
                <c:pt idx="280">
                  <c:v>48</c:v>
                </c:pt>
                <c:pt idx="281">
                  <c:v>15</c:v>
                </c:pt>
                <c:pt idx="282">
                  <c:v>18</c:v>
                </c:pt>
                <c:pt idx="283">
                  <c:v>12</c:v>
                </c:pt>
                <c:pt idx="284">
                  <c:v>15</c:v>
                </c:pt>
                <c:pt idx="285">
                  <c:v>12</c:v>
                </c:pt>
                <c:pt idx="286">
                  <c:v>18</c:v>
                </c:pt>
                <c:pt idx="287">
                  <c:v>12</c:v>
                </c:pt>
                <c:pt idx="288">
                  <c:v>48</c:v>
                </c:pt>
                <c:pt idx="289">
                  <c:v>15</c:v>
                </c:pt>
                <c:pt idx="290">
                  <c:v>18</c:v>
                </c:pt>
                <c:pt idx="291">
                  <c:v>27</c:v>
                </c:pt>
                <c:pt idx="292">
                  <c:v>36</c:v>
                </c:pt>
                <c:pt idx="293">
                  <c:v>12</c:v>
                </c:pt>
                <c:pt idx="294">
                  <c:v>24</c:v>
                </c:pt>
                <c:pt idx="295">
                  <c:v>15</c:v>
                </c:pt>
                <c:pt idx="296">
                  <c:v>18</c:v>
                </c:pt>
                <c:pt idx="297">
                  <c:v>12</c:v>
                </c:pt>
                <c:pt idx="298">
                  <c:v>8</c:v>
                </c:pt>
                <c:pt idx="299">
                  <c:v>24</c:v>
                </c:pt>
                <c:pt idx="300">
                  <c:v>9</c:v>
                </c:pt>
                <c:pt idx="301">
                  <c:v>12</c:v>
                </c:pt>
                <c:pt idx="302">
                  <c:v>12</c:v>
                </c:pt>
                <c:pt idx="303">
                  <c:v>9</c:v>
                </c:pt>
                <c:pt idx="304">
                  <c:v>24</c:v>
                </c:pt>
                <c:pt idx="305">
                  <c:v>12</c:v>
                </c:pt>
                <c:pt idx="306">
                  <c:v>15</c:v>
                </c:pt>
                <c:pt idx="307">
                  <c:v>36</c:v>
                </c:pt>
                <c:pt idx="308">
                  <c:v>18</c:v>
                </c:pt>
                <c:pt idx="309">
                  <c:v>10</c:v>
                </c:pt>
                <c:pt idx="310">
                  <c:v>12</c:v>
                </c:pt>
                <c:pt idx="311">
                  <c:v>24</c:v>
                </c:pt>
                <c:pt idx="312">
                  <c:v>12</c:v>
                </c:pt>
                <c:pt idx="313">
                  <c:v>24</c:v>
                </c:pt>
                <c:pt idx="314">
                  <c:v>24</c:v>
                </c:pt>
                <c:pt idx="315">
                  <c:v>33</c:v>
                </c:pt>
                <c:pt idx="316">
                  <c:v>36</c:v>
                </c:pt>
                <c:pt idx="317">
                  <c:v>12</c:v>
                </c:pt>
                <c:pt idx="318">
                  <c:v>15</c:v>
                </c:pt>
                <c:pt idx="319">
                  <c:v>24</c:v>
                </c:pt>
              </c:numCache>
            </c:numRef>
          </c:xVal>
          <c:yVal>
            <c:numRef>
              <c:f>'1.2 Losowanie proste ez'!$D$10:$D$329</c:f>
              <c:numCache>
                <c:formatCode>General</c:formatCode>
                <c:ptCount val="320"/>
                <c:pt idx="0">
                  <c:v>2671</c:v>
                </c:pt>
                <c:pt idx="1">
                  <c:v>7374</c:v>
                </c:pt>
                <c:pt idx="2">
                  <c:v>4272</c:v>
                </c:pt>
                <c:pt idx="3">
                  <c:v>2759</c:v>
                </c:pt>
                <c:pt idx="4">
                  <c:v>3972</c:v>
                </c:pt>
                <c:pt idx="5">
                  <c:v>907</c:v>
                </c:pt>
                <c:pt idx="6">
                  <c:v>12389</c:v>
                </c:pt>
                <c:pt idx="7">
                  <c:v>1795</c:v>
                </c:pt>
                <c:pt idx="8">
                  <c:v>1240</c:v>
                </c:pt>
                <c:pt idx="9">
                  <c:v>1442</c:v>
                </c:pt>
                <c:pt idx="10">
                  <c:v>7418</c:v>
                </c:pt>
                <c:pt idx="11">
                  <c:v>2030</c:v>
                </c:pt>
                <c:pt idx="12">
                  <c:v>3186</c:v>
                </c:pt>
                <c:pt idx="13">
                  <c:v>5433</c:v>
                </c:pt>
                <c:pt idx="14">
                  <c:v>4796</c:v>
                </c:pt>
                <c:pt idx="15">
                  <c:v>2424</c:v>
                </c:pt>
                <c:pt idx="16">
                  <c:v>2186</c:v>
                </c:pt>
                <c:pt idx="17">
                  <c:v>2507</c:v>
                </c:pt>
                <c:pt idx="18">
                  <c:v>2859</c:v>
                </c:pt>
                <c:pt idx="19">
                  <c:v>2483</c:v>
                </c:pt>
                <c:pt idx="20">
                  <c:v>4139</c:v>
                </c:pt>
                <c:pt idx="21">
                  <c:v>902</c:v>
                </c:pt>
                <c:pt idx="22">
                  <c:v>1505</c:v>
                </c:pt>
                <c:pt idx="23">
                  <c:v>448</c:v>
                </c:pt>
                <c:pt idx="24">
                  <c:v>6842</c:v>
                </c:pt>
                <c:pt idx="25">
                  <c:v>2930</c:v>
                </c:pt>
                <c:pt idx="26">
                  <c:v>1941</c:v>
                </c:pt>
                <c:pt idx="27">
                  <c:v>3060</c:v>
                </c:pt>
                <c:pt idx="28">
                  <c:v>1377</c:v>
                </c:pt>
                <c:pt idx="29">
                  <c:v>1521</c:v>
                </c:pt>
                <c:pt idx="30">
                  <c:v>1938</c:v>
                </c:pt>
                <c:pt idx="31">
                  <c:v>3069</c:v>
                </c:pt>
                <c:pt idx="32">
                  <c:v>7485</c:v>
                </c:pt>
                <c:pt idx="33">
                  <c:v>2406</c:v>
                </c:pt>
                <c:pt idx="34">
                  <c:v>1455</c:v>
                </c:pt>
                <c:pt idx="35">
                  <c:v>3160</c:v>
                </c:pt>
                <c:pt idx="36">
                  <c:v>7253</c:v>
                </c:pt>
                <c:pt idx="37">
                  <c:v>2978</c:v>
                </c:pt>
                <c:pt idx="38">
                  <c:v>4272</c:v>
                </c:pt>
                <c:pt idx="39">
                  <c:v>2353</c:v>
                </c:pt>
                <c:pt idx="40">
                  <c:v>8086</c:v>
                </c:pt>
                <c:pt idx="41">
                  <c:v>3552</c:v>
                </c:pt>
                <c:pt idx="42">
                  <c:v>2511</c:v>
                </c:pt>
                <c:pt idx="43">
                  <c:v>6224</c:v>
                </c:pt>
                <c:pt idx="44">
                  <c:v>1221</c:v>
                </c:pt>
                <c:pt idx="45">
                  <c:v>3976</c:v>
                </c:pt>
                <c:pt idx="46">
                  <c:v>5248</c:v>
                </c:pt>
                <c:pt idx="47">
                  <c:v>1494</c:v>
                </c:pt>
                <c:pt idx="48">
                  <c:v>684</c:v>
                </c:pt>
                <c:pt idx="49">
                  <c:v>3079</c:v>
                </c:pt>
                <c:pt idx="50">
                  <c:v>2404</c:v>
                </c:pt>
                <c:pt idx="51">
                  <c:v>11998</c:v>
                </c:pt>
                <c:pt idx="52">
                  <c:v>1592</c:v>
                </c:pt>
                <c:pt idx="53">
                  <c:v>522</c:v>
                </c:pt>
                <c:pt idx="54">
                  <c:v>2124</c:v>
                </c:pt>
                <c:pt idx="55">
                  <c:v>1262</c:v>
                </c:pt>
                <c:pt idx="56">
                  <c:v>426</c:v>
                </c:pt>
                <c:pt idx="57">
                  <c:v>5801</c:v>
                </c:pt>
                <c:pt idx="58">
                  <c:v>1740</c:v>
                </c:pt>
                <c:pt idx="59">
                  <c:v>2132</c:v>
                </c:pt>
                <c:pt idx="60">
                  <c:v>1887</c:v>
                </c:pt>
                <c:pt idx="61">
                  <c:v>1820</c:v>
                </c:pt>
                <c:pt idx="62">
                  <c:v>1318</c:v>
                </c:pt>
                <c:pt idx="63">
                  <c:v>754</c:v>
                </c:pt>
                <c:pt idx="64">
                  <c:v>1474</c:v>
                </c:pt>
                <c:pt idx="65">
                  <c:v>3213</c:v>
                </c:pt>
                <c:pt idx="66">
                  <c:v>1766</c:v>
                </c:pt>
                <c:pt idx="67">
                  <c:v>3017</c:v>
                </c:pt>
                <c:pt idx="68">
                  <c:v>5998</c:v>
                </c:pt>
                <c:pt idx="69">
                  <c:v>5943</c:v>
                </c:pt>
                <c:pt idx="70">
                  <c:v>3380</c:v>
                </c:pt>
                <c:pt idx="71">
                  <c:v>894</c:v>
                </c:pt>
                <c:pt idx="72">
                  <c:v>10875</c:v>
                </c:pt>
                <c:pt idx="73">
                  <c:v>2051</c:v>
                </c:pt>
                <c:pt idx="74">
                  <c:v>2136</c:v>
                </c:pt>
                <c:pt idx="75">
                  <c:v>1048</c:v>
                </c:pt>
                <c:pt idx="76">
                  <c:v>1264</c:v>
                </c:pt>
                <c:pt idx="77">
                  <c:v>2728</c:v>
                </c:pt>
                <c:pt idx="78">
                  <c:v>5951</c:v>
                </c:pt>
                <c:pt idx="79">
                  <c:v>1330</c:v>
                </c:pt>
                <c:pt idx="80">
                  <c:v>2325</c:v>
                </c:pt>
                <c:pt idx="81">
                  <c:v>11054</c:v>
                </c:pt>
                <c:pt idx="82">
                  <c:v>1538</c:v>
                </c:pt>
                <c:pt idx="83">
                  <c:v>1567</c:v>
                </c:pt>
                <c:pt idx="84">
                  <c:v>625</c:v>
                </c:pt>
                <c:pt idx="85">
                  <c:v>8358</c:v>
                </c:pt>
                <c:pt idx="86">
                  <c:v>10623</c:v>
                </c:pt>
                <c:pt idx="87">
                  <c:v>5103</c:v>
                </c:pt>
                <c:pt idx="88">
                  <c:v>4042</c:v>
                </c:pt>
                <c:pt idx="89">
                  <c:v>1107</c:v>
                </c:pt>
                <c:pt idx="90">
                  <c:v>1371</c:v>
                </c:pt>
                <c:pt idx="91">
                  <c:v>7758</c:v>
                </c:pt>
                <c:pt idx="92">
                  <c:v>1950</c:v>
                </c:pt>
                <c:pt idx="93">
                  <c:v>3123</c:v>
                </c:pt>
                <c:pt idx="94">
                  <c:v>9629</c:v>
                </c:pt>
                <c:pt idx="95">
                  <c:v>6836</c:v>
                </c:pt>
                <c:pt idx="96">
                  <c:v>2366</c:v>
                </c:pt>
                <c:pt idx="97">
                  <c:v>1402</c:v>
                </c:pt>
                <c:pt idx="98">
                  <c:v>2901</c:v>
                </c:pt>
                <c:pt idx="99">
                  <c:v>1495</c:v>
                </c:pt>
                <c:pt idx="100">
                  <c:v>1154</c:v>
                </c:pt>
                <c:pt idx="101">
                  <c:v>14782</c:v>
                </c:pt>
                <c:pt idx="102">
                  <c:v>4370</c:v>
                </c:pt>
                <c:pt idx="103">
                  <c:v>6850</c:v>
                </c:pt>
                <c:pt idx="104">
                  <c:v>7174</c:v>
                </c:pt>
                <c:pt idx="105">
                  <c:v>1498</c:v>
                </c:pt>
                <c:pt idx="106">
                  <c:v>1258</c:v>
                </c:pt>
                <c:pt idx="107">
                  <c:v>2149</c:v>
                </c:pt>
                <c:pt idx="108">
                  <c:v>518</c:v>
                </c:pt>
                <c:pt idx="109">
                  <c:v>2299</c:v>
                </c:pt>
                <c:pt idx="110">
                  <c:v>3345</c:v>
                </c:pt>
                <c:pt idx="111">
                  <c:v>7393</c:v>
                </c:pt>
                <c:pt idx="112">
                  <c:v>5954</c:v>
                </c:pt>
                <c:pt idx="113">
                  <c:v>2169</c:v>
                </c:pt>
                <c:pt idx="114">
                  <c:v>2580</c:v>
                </c:pt>
                <c:pt idx="115">
                  <c:v>1028</c:v>
                </c:pt>
                <c:pt idx="116">
                  <c:v>1358</c:v>
                </c:pt>
                <c:pt idx="117">
                  <c:v>1055</c:v>
                </c:pt>
                <c:pt idx="118">
                  <c:v>1591</c:v>
                </c:pt>
                <c:pt idx="119">
                  <c:v>1309</c:v>
                </c:pt>
                <c:pt idx="120">
                  <c:v>4281</c:v>
                </c:pt>
                <c:pt idx="121">
                  <c:v>691</c:v>
                </c:pt>
                <c:pt idx="122">
                  <c:v>2613</c:v>
                </c:pt>
                <c:pt idx="123">
                  <c:v>1237</c:v>
                </c:pt>
                <c:pt idx="124">
                  <c:v>15857</c:v>
                </c:pt>
                <c:pt idx="125">
                  <c:v>3441</c:v>
                </c:pt>
                <c:pt idx="126">
                  <c:v>1264</c:v>
                </c:pt>
                <c:pt idx="127">
                  <c:v>10961</c:v>
                </c:pt>
                <c:pt idx="128">
                  <c:v>701</c:v>
                </c:pt>
                <c:pt idx="129">
                  <c:v>6967</c:v>
                </c:pt>
                <c:pt idx="130">
                  <c:v>10366</c:v>
                </c:pt>
                <c:pt idx="131">
                  <c:v>2108</c:v>
                </c:pt>
                <c:pt idx="132">
                  <c:v>1484</c:v>
                </c:pt>
                <c:pt idx="133">
                  <c:v>1038</c:v>
                </c:pt>
                <c:pt idx="134">
                  <c:v>3394</c:v>
                </c:pt>
                <c:pt idx="135">
                  <c:v>1301</c:v>
                </c:pt>
                <c:pt idx="136">
                  <c:v>2969</c:v>
                </c:pt>
                <c:pt idx="137">
                  <c:v>3509</c:v>
                </c:pt>
                <c:pt idx="138">
                  <c:v>2142</c:v>
                </c:pt>
                <c:pt idx="139">
                  <c:v>2133</c:v>
                </c:pt>
                <c:pt idx="140">
                  <c:v>4712</c:v>
                </c:pt>
                <c:pt idx="141">
                  <c:v>6948</c:v>
                </c:pt>
                <c:pt idx="142">
                  <c:v>1216</c:v>
                </c:pt>
                <c:pt idx="143">
                  <c:v>2384</c:v>
                </c:pt>
                <c:pt idx="144">
                  <c:v>2753</c:v>
                </c:pt>
                <c:pt idx="145">
                  <c:v>3594</c:v>
                </c:pt>
                <c:pt idx="146">
                  <c:v>1913</c:v>
                </c:pt>
                <c:pt idx="147">
                  <c:v>2246</c:v>
                </c:pt>
                <c:pt idx="148">
                  <c:v>1249</c:v>
                </c:pt>
                <c:pt idx="149">
                  <c:v>8613</c:v>
                </c:pt>
                <c:pt idx="150">
                  <c:v>11938</c:v>
                </c:pt>
                <c:pt idx="151">
                  <c:v>1204</c:v>
                </c:pt>
                <c:pt idx="152">
                  <c:v>2697</c:v>
                </c:pt>
                <c:pt idx="153">
                  <c:v>1050</c:v>
                </c:pt>
                <c:pt idx="154">
                  <c:v>709</c:v>
                </c:pt>
                <c:pt idx="155">
                  <c:v>1851</c:v>
                </c:pt>
                <c:pt idx="156">
                  <c:v>458</c:v>
                </c:pt>
                <c:pt idx="157">
                  <c:v>1393</c:v>
                </c:pt>
                <c:pt idx="158">
                  <c:v>1526</c:v>
                </c:pt>
                <c:pt idx="159">
                  <c:v>6614</c:v>
                </c:pt>
                <c:pt idx="160">
                  <c:v>7119</c:v>
                </c:pt>
                <c:pt idx="161">
                  <c:v>1275</c:v>
                </c:pt>
                <c:pt idx="162">
                  <c:v>1344</c:v>
                </c:pt>
                <c:pt idx="163">
                  <c:v>1236</c:v>
                </c:pt>
                <c:pt idx="164">
                  <c:v>1374</c:v>
                </c:pt>
                <c:pt idx="165">
                  <c:v>4221</c:v>
                </c:pt>
                <c:pt idx="166">
                  <c:v>1935</c:v>
                </c:pt>
                <c:pt idx="167">
                  <c:v>1343</c:v>
                </c:pt>
                <c:pt idx="168">
                  <c:v>882</c:v>
                </c:pt>
                <c:pt idx="169">
                  <c:v>10297</c:v>
                </c:pt>
                <c:pt idx="170">
                  <c:v>8648</c:v>
                </c:pt>
                <c:pt idx="171">
                  <c:v>3650</c:v>
                </c:pt>
                <c:pt idx="172">
                  <c:v>763</c:v>
                </c:pt>
                <c:pt idx="173">
                  <c:v>2745</c:v>
                </c:pt>
                <c:pt idx="174">
                  <c:v>9277</c:v>
                </c:pt>
                <c:pt idx="175">
                  <c:v>11760</c:v>
                </c:pt>
                <c:pt idx="176">
                  <c:v>950</c:v>
                </c:pt>
                <c:pt idx="177">
                  <c:v>5179</c:v>
                </c:pt>
                <c:pt idx="178">
                  <c:v>1068</c:v>
                </c:pt>
                <c:pt idx="179">
                  <c:v>2503</c:v>
                </c:pt>
                <c:pt idx="180">
                  <c:v>2116</c:v>
                </c:pt>
                <c:pt idx="181">
                  <c:v>1149</c:v>
                </c:pt>
                <c:pt idx="182">
                  <c:v>874</c:v>
                </c:pt>
                <c:pt idx="183">
                  <c:v>2288</c:v>
                </c:pt>
                <c:pt idx="184">
                  <c:v>1203</c:v>
                </c:pt>
                <c:pt idx="185">
                  <c:v>2273</c:v>
                </c:pt>
                <c:pt idx="186">
                  <c:v>2820</c:v>
                </c:pt>
                <c:pt idx="187">
                  <c:v>1670</c:v>
                </c:pt>
                <c:pt idx="188">
                  <c:v>5804</c:v>
                </c:pt>
                <c:pt idx="189">
                  <c:v>3349</c:v>
                </c:pt>
                <c:pt idx="190">
                  <c:v>3832</c:v>
                </c:pt>
                <c:pt idx="191">
                  <c:v>4530</c:v>
                </c:pt>
                <c:pt idx="192">
                  <c:v>4526</c:v>
                </c:pt>
                <c:pt idx="193">
                  <c:v>1271</c:v>
                </c:pt>
                <c:pt idx="194">
                  <c:v>3446</c:v>
                </c:pt>
                <c:pt idx="195">
                  <c:v>4297</c:v>
                </c:pt>
                <c:pt idx="196">
                  <c:v>2522</c:v>
                </c:pt>
                <c:pt idx="197">
                  <c:v>3016</c:v>
                </c:pt>
                <c:pt idx="198">
                  <c:v>7629</c:v>
                </c:pt>
                <c:pt idx="199">
                  <c:v>428</c:v>
                </c:pt>
                <c:pt idx="200">
                  <c:v>9960</c:v>
                </c:pt>
                <c:pt idx="201">
                  <c:v>1882</c:v>
                </c:pt>
                <c:pt idx="202">
                  <c:v>3595</c:v>
                </c:pt>
                <c:pt idx="203">
                  <c:v>976</c:v>
                </c:pt>
                <c:pt idx="204">
                  <c:v>1935</c:v>
                </c:pt>
                <c:pt idx="205">
                  <c:v>2255</c:v>
                </c:pt>
                <c:pt idx="206">
                  <c:v>2775</c:v>
                </c:pt>
                <c:pt idx="207">
                  <c:v>7472</c:v>
                </c:pt>
                <c:pt idx="208">
                  <c:v>3621</c:v>
                </c:pt>
                <c:pt idx="209">
                  <c:v>2647</c:v>
                </c:pt>
                <c:pt idx="210">
                  <c:v>3777</c:v>
                </c:pt>
                <c:pt idx="211">
                  <c:v>7408</c:v>
                </c:pt>
                <c:pt idx="212">
                  <c:v>884</c:v>
                </c:pt>
                <c:pt idx="213">
                  <c:v>1442</c:v>
                </c:pt>
                <c:pt idx="214">
                  <c:v>1845</c:v>
                </c:pt>
                <c:pt idx="215">
                  <c:v>7824</c:v>
                </c:pt>
                <c:pt idx="216">
                  <c:v>1750</c:v>
                </c:pt>
                <c:pt idx="217">
                  <c:v>700</c:v>
                </c:pt>
                <c:pt idx="218">
                  <c:v>2993</c:v>
                </c:pt>
                <c:pt idx="219">
                  <c:v>1574</c:v>
                </c:pt>
                <c:pt idx="220">
                  <c:v>1453</c:v>
                </c:pt>
                <c:pt idx="221">
                  <c:v>3758</c:v>
                </c:pt>
                <c:pt idx="222">
                  <c:v>976</c:v>
                </c:pt>
                <c:pt idx="223">
                  <c:v>1797</c:v>
                </c:pt>
                <c:pt idx="224">
                  <c:v>8588</c:v>
                </c:pt>
                <c:pt idx="225">
                  <c:v>10222</c:v>
                </c:pt>
                <c:pt idx="226">
                  <c:v>2625</c:v>
                </c:pt>
                <c:pt idx="227">
                  <c:v>3612</c:v>
                </c:pt>
                <c:pt idx="228">
                  <c:v>1412</c:v>
                </c:pt>
                <c:pt idx="229">
                  <c:v>1207</c:v>
                </c:pt>
                <c:pt idx="230">
                  <c:v>7238</c:v>
                </c:pt>
                <c:pt idx="231">
                  <c:v>1478</c:v>
                </c:pt>
                <c:pt idx="232">
                  <c:v>1123</c:v>
                </c:pt>
                <c:pt idx="233">
                  <c:v>3850</c:v>
                </c:pt>
                <c:pt idx="234">
                  <c:v>2002</c:v>
                </c:pt>
                <c:pt idx="235">
                  <c:v>915</c:v>
                </c:pt>
                <c:pt idx="236">
                  <c:v>1585</c:v>
                </c:pt>
                <c:pt idx="237">
                  <c:v>1927</c:v>
                </c:pt>
                <c:pt idx="238">
                  <c:v>1311</c:v>
                </c:pt>
                <c:pt idx="239">
                  <c:v>929</c:v>
                </c:pt>
                <c:pt idx="240">
                  <c:v>1355</c:v>
                </c:pt>
                <c:pt idx="241">
                  <c:v>1980</c:v>
                </c:pt>
                <c:pt idx="242">
                  <c:v>1361</c:v>
                </c:pt>
                <c:pt idx="243">
                  <c:v>1155</c:v>
                </c:pt>
                <c:pt idx="244">
                  <c:v>1198</c:v>
                </c:pt>
                <c:pt idx="245">
                  <c:v>682</c:v>
                </c:pt>
                <c:pt idx="246">
                  <c:v>13756</c:v>
                </c:pt>
                <c:pt idx="247">
                  <c:v>1837</c:v>
                </c:pt>
                <c:pt idx="248">
                  <c:v>1543</c:v>
                </c:pt>
                <c:pt idx="249">
                  <c:v>4679</c:v>
                </c:pt>
                <c:pt idx="250">
                  <c:v>1337</c:v>
                </c:pt>
                <c:pt idx="251">
                  <c:v>3414</c:v>
                </c:pt>
                <c:pt idx="252">
                  <c:v>1755</c:v>
                </c:pt>
                <c:pt idx="253">
                  <c:v>14555</c:v>
                </c:pt>
                <c:pt idx="254">
                  <c:v>1503</c:v>
                </c:pt>
                <c:pt idx="255">
                  <c:v>766</c:v>
                </c:pt>
                <c:pt idx="256">
                  <c:v>5493</c:v>
                </c:pt>
                <c:pt idx="257">
                  <c:v>3051</c:v>
                </c:pt>
                <c:pt idx="258">
                  <c:v>860</c:v>
                </c:pt>
                <c:pt idx="259">
                  <c:v>2022</c:v>
                </c:pt>
                <c:pt idx="260">
                  <c:v>7678</c:v>
                </c:pt>
                <c:pt idx="261">
                  <c:v>1285</c:v>
                </c:pt>
                <c:pt idx="262">
                  <c:v>1478</c:v>
                </c:pt>
                <c:pt idx="263">
                  <c:v>2360</c:v>
                </c:pt>
                <c:pt idx="264">
                  <c:v>802</c:v>
                </c:pt>
                <c:pt idx="265">
                  <c:v>701</c:v>
                </c:pt>
                <c:pt idx="266">
                  <c:v>1282</c:v>
                </c:pt>
                <c:pt idx="267">
                  <c:v>7308</c:v>
                </c:pt>
                <c:pt idx="268">
                  <c:v>3001</c:v>
                </c:pt>
                <c:pt idx="269">
                  <c:v>1388</c:v>
                </c:pt>
                <c:pt idx="270">
                  <c:v>2394</c:v>
                </c:pt>
                <c:pt idx="271">
                  <c:v>9271</c:v>
                </c:pt>
                <c:pt idx="272">
                  <c:v>6199</c:v>
                </c:pt>
                <c:pt idx="273">
                  <c:v>2687</c:v>
                </c:pt>
                <c:pt idx="274">
                  <c:v>1274</c:v>
                </c:pt>
                <c:pt idx="275">
                  <c:v>4042</c:v>
                </c:pt>
                <c:pt idx="276">
                  <c:v>4605</c:v>
                </c:pt>
                <c:pt idx="277">
                  <c:v>1410</c:v>
                </c:pt>
                <c:pt idx="278">
                  <c:v>2748</c:v>
                </c:pt>
                <c:pt idx="279">
                  <c:v>2782</c:v>
                </c:pt>
                <c:pt idx="280">
                  <c:v>5096</c:v>
                </c:pt>
                <c:pt idx="281">
                  <c:v>1532</c:v>
                </c:pt>
                <c:pt idx="282">
                  <c:v>433</c:v>
                </c:pt>
                <c:pt idx="283">
                  <c:v>1372</c:v>
                </c:pt>
                <c:pt idx="284">
                  <c:v>3643</c:v>
                </c:pt>
                <c:pt idx="285">
                  <c:v>2171</c:v>
                </c:pt>
                <c:pt idx="286">
                  <c:v>1943</c:v>
                </c:pt>
                <c:pt idx="287">
                  <c:v>1493</c:v>
                </c:pt>
                <c:pt idx="288">
                  <c:v>7685</c:v>
                </c:pt>
                <c:pt idx="289">
                  <c:v>392</c:v>
                </c:pt>
                <c:pt idx="290">
                  <c:v>2600</c:v>
                </c:pt>
                <c:pt idx="291">
                  <c:v>2528</c:v>
                </c:pt>
                <c:pt idx="292">
                  <c:v>3711</c:v>
                </c:pt>
                <c:pt idx="293">
                  <c:v>3077</c:v>
                </c:pt>
                <c:pt idx="294">
                  <c:v>2812</c:v>
                </c:pt>
                <c:pt idx="295">
                  <c:v>3368</c:v>
                </c:pt>
                <c:pt idx="296">
                  <c:v>2389</c:v>
                </c:pt>
                <c:pt idx="297">
                  <c:v>1163</c:v>
                </c:pt>
                <c:pt idx="298">
                  <c:v>3398</c:v>
                </c:pt>
                <c:pt idx="299">
                  <c:v>1940</c:v>
                </c:pt>
                <c:pt idx="300">
                  <c:v>1313</c:v>
                </c:pt>
                <c:pt idx="301">
                  <c:v>2073</c:v>
                </c:pt>
                <c:pt idx="302">
                  <c:v>1934</c:v>
                </c:pt>
                <c:pt idx="303">
                  <c:v>3074</c:v>
                </c:pt>
                <c:pt idx="304">
                  <c:v>3757</c:v>
                </c:pt>
                <c:pt idx="305">
                  <c:v>3399</c:v>
                </c:pt>
                <c:pt idx="306">
                  <c:v>1360</c:v>
                </c:pt>
                <c:pt idx="307">
                  <c:v>7432</c:v>
                </c:pt>
                <c:pt idx="308">
                  <c:v>1245</c:v>
                </c:pt>
                <c:pt idx="309">
                  <c:v>1418</c:v>
                </c:pt>
                <c:pt idx="310">
                  <c:v>759</c:v>
                </c:pt>
                <c:pt idx="311">
                  <c:v>3149</c:v>
                </c:pt>
                <c:pt idx="312">
                  <c:v>1092</c:v>
                </c:pt>
                <c:pt idx="313">
                  <c:v>2684</c:v>
                </c:pt>
                <c:pt idx="314">
                  <c:v>3632</c:v>
                </c:pt>
                <c:pt idx="315">
                  <c:v>2764</c:v>
                </c:pt>
                <c:pt idx="316">
                  <c:v>3835</c:v>
                </c:pt>
                <c:pt idx="317">
                  <c:v>1393</c:v>
                </c:pt>
                <c:pt idx="318">
                  <c:v>2326</c:v>
                </c:pt>
                <c:pt idx="319">
                  <c:v>1413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6-4B7E-A061-31B7E45EE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761984"/>
        <c:axId val="1533764384"/>
      </c:scatterChart>
      <c:valAx>
        <c:axId val="153376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trwania (w</a:t>
                </a:r>
                <a:r>
                  <a:rPr lang="pl-PL" baseline="0"/>
                  <a:t> miesiącach)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33764384"/>
        <c:crosses val="autoZero"/>
        <c:crossBetween val="midCat"/>
      </c:valAx>
      <c:valAx>
        <c:axId val="153376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Kwota</a:t>
                </a:r>
                <a:r>
                  <a:rPr lang="pl-PL" baseline="0"/>
                  <a:t> kredytu (w DM)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3376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87912</xdr:colOff>
      <xdr:row>36</xdr:row>
      <xdr:rowOff>181100</xdr:rowOff>
    </xdr:from>
    <xdr:ext cx="1359274" cy="3973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C701CB1E-941C-FDBB-6C7D-4D9CCE8EB47E}"/>
                </a:ext>
              </a:extLst>
            </xdr:cNvPr>
            <xdr:cNvSpPr txBox="1"/>
          </xdr:nvSpPr>
          <xdr:spPr>
            <a:xfrm>
              <a:off x="2118098" y="6881257"/>
              <a:ext cx="1359274" cy="3973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</m:acc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  <m:sup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d>
                          <m:d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p>
                          <m:sSup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C701CB1E-941C-FDBB-6C7D-4D9CCE8EB47E}"/>
                </a:ext>
              </a:extLst>
            </xdr:cNvPr>
            <xdr:cNvSpPr txBox="1"/>
          </xdr:nvSpPr>
          <xdr:spPr>
            <a:xfrm>
              <a:off x="2118098" y="6881257"/>
              <a:ext cx="1359274" cy="3973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l-PL" sz="1100" i="0">
                  <a:latin typeface="Cambria Math" panose="02040503050406030204" pitchFamily="18" charset="0"/>
                </a:rPr>
                <a:t>(</a:t>
              </a:r>
              <a:r>
                <a:rPr lang="pl-PL" sz="1100" b="0" i="0">
                  <a:latin typeface="Cambria Math" panose="02040503050406030204" pitchFamily="18" charset="0"/>
                </a:rPr>
                <a:t>𝐷 ̂_0^2 (𝑦 ̅ )−𝐷 ̂^2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(𝑦 ̅))/(𝐷 ̂^2 (𝑦 ̅))</a:t>
              </a:r>
              <a:endParaRPr lang="pl-PL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70485</xdr:colOff>
      <xdr:row>10</xdr:row>
      <xdr:rowOff>161925</xdr:rowOff>
    </xdr:from>
    <xdr:to>
      <xdr:col>24</xdr:col>
      <xdr:colOff>295275</xdr:colOff>
      <xdr:row>35</xdr:row>
      <xdr:rowOff>171450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D4953D5-F3CA-535C-8604-E230B39A7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587127</xdr:colOff>
      <xdr:row>99</xdr:row>
      <xdr:rowOff>174748</xdr:rowOff>
    </xdr:from>
    <xdr:ext cx="991041" cy="392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7B8F72A6-E620-E4CF-B529-0B27C9AC2E51}"/>
                </a:ext>
              </a:extLst>
            </xdr:cNvPr>
            <xdr:cNvSpPr txBox="1"/>
          </xdr:nvSpPr>
          <xdr:spPr>
            <a:xfrm>
              <a:off x="5361533" y="19992701"/>
              <a:ext cx="991041" cy="392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d>
                          <m:d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𝑞</m:t>
                                    </m:r>
                                  </m:sub>
                                </m:sSub>
                              </m:e>
                            </m:acc>
                          </m:e>
                        </m:d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7B8F72A6-E620-E4CF-B529-0B27C9AC2E51}"/>
                </a:ext>
              </a:extLst>
            </xdr:cNvPr>
            <xdr:cNvSpPr txBox="1"/>
          </xdr:nvSpPr>
          <xdr:spPr>
            <a:xfrm>
              <a:off x="5361533" y="19992701"/>
              <a:ext cx="991041" cy="392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 ̂^2 ((𝑦_𝑞 ) ̅ )−𝐷 ̂^2 (𝑦 ̅))/(𝐷 ̂^2 (𝑦 ̅))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11</xdr:col>
      <xdr:colOff>543937</xdr:colOff>
      <xdr:row>99</xdr:row>
      <xdr:rowOff>177124</xdr:rowOff>
    </xdr:from>
    <xdr:ext cx="969368" cy="3833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pole tekstowe 3">
              <a:extLst>
                <a:ext uri="{FF2B5EF4-FFF2-40B4-BE49-F238E27FC236}">
                  <a16:creationId xmlns:a16="http://schemas.microsoft.com/office/drawing/2014/main" id="{75A1BB05-57A6-70B2-83E8-B11965DEF22E}"/>
                </a:ext>
              </a:extLst>
            </xdr:cNvPr>
            <xdr:cNvSpPr txBox="1"/>
          </xdr:nvSpPr>
          <xdr:spPr>
            <a:xfrm>
              <a:off x="8471980" y="19867528"/>
              <a:ext cx="969368" cy="38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d>
                          <m:d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sub>
                                </m:sSub>
                              </m:e>
                            </m:acc>
                          </m:e>
                        </m:d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4" name="pole tekstowe 3">
              <a:extLst>
                <a:ext uri="{FF2B5EF4-FFF2-40B4-BE49-F238E27FC236}">
                  <a16:creationId xmlns:a16="http://schemas.microsoft.com/office/drawing/2014/main" id="{75A1BB05-57A6-70B2-83E8-B11965DEF22E}"/>
                </a:ext>
              </a:extLst>
            </xdr:cNvPr>
            <xdr:cNvSpPr txBox="1"/>
          </xdr:nvSpPr>
          <xdr:spPr>
            <a:xfrm>
              <a:off x="8471980" y="19867528"/>
              <a:ext cx="969368" cy="38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 ̂^2 ((𝑦_𝑟 ) ̅ )−𝐷 ̂^2 (𝑦 ̅))/(𝐷 ̂^2 (𝑦 ̅))</a:t>
              </a:r>
              <a:endParaRPr lang="pl-PL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182760</xdr:colOff>
      <xdr:row>45</xdr:row>
      <xdr:rowOff>165360</xdr:rowOff>
    </xdr:from>
    <xdr:ext cx="1177758" cy="3886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5ABF93F-3BA9-28E7-4C95-D1DDA4EA9CE8}"/>
                </a:ext>
              </a:extLst>
            </xdr:cNvPr>
            <xdr:cNvSpPr txBox="1"/>
          </xdr:nvSpPr>
          <xdr:spPr>
            <a:xfrm>
              <a:off x="2798472" y="8964995"/>
              <a:ext cx="1177758" cy="3886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b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𝑝𝑟𝑜𝑝</m:t>
                            </m:r>
                          </m:sub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  <m:d>
                          <m:d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𝑤</m:t>
                                    </m:r>
                                  </m:sub>
                                </m:sSub>
                              </m:e>
                            </m:acc>
                          </m:e>
                        </m:d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5ABF93F-3BA9-28E7-4C95-D1DDA4EA9CE8}"/>
                </a:ext>
              </a:extLst>
            </xdr:cNvPr>
            <xdr:cNvSpPr txBox="1"/>
          </xdr:nvSpPr>
          <xdr:spPr>
            <a:xfrm>
              <a:off x="2798472" y="8964995"/>
              <a:ext cx="1177758" cy="3886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 ̂_𝑝𝑟𝑜𝑝^2 ((𝑦_𝑤 ) ̅ )−𝐷 ̂^2 (𝑦 ̅))/(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 ̂^2 (𝑦 ̅)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pl-PL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383524</xdr:colOff>
      <xdr:row>44</xdr:row>
      <xdr:rowOff>162438</xdr:rowOff>
    </xdr:from>
    <xdr:ext cx="1003608" cy="384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779EBE7D-71A4-C50D-05D8-4EC9DA85B177}"/>
                </a:ext>
              </a:extLst>
            </xdr:cNvPr>
            <xdr:cNvSpPr txBox="1"/>
          </xdr:nvSpPr>
          <xdr:spPr>
            <a:xfrm>
              <a:off x="3004541" y="8912300"/>
              <a:ext cx="1003608" cy="384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sub>
                            </m:sSub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)−</m:t>
                        </m:r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779EBE7D-71A4-C50D-05D8-4EC9DA85B177}"/>
                </a:ext>
              </a:extLst>
            </xdr:cNvPr>
            <xdr:cNvSpPr txBox="1"/>
          </xdr:nvSpPr>
          <xdr:spPr>
            <a:xfrm>
              <a:off x="3004541" y="8912300"/>
              <a:ext cx="1003608" cy="384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 ̂^2 ((𝑦_𝑤 ) ̅)−𝐷 ̂^2 (𝑦 ̅))/(𝐷 ̂^2 (𝑦 ̅))</a:t>
              </a:r>
              <a:endParaRPr lang="pl-PL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361292</xdr:colOff>
      <xdr:row>47</xdr:row>
      <xdr:rowOff>183931</xdr:rowOff>
    </xdr:from>
    <xdr:ext cx="1097415" cy="390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BF1E441D-978B-404C-B5DD-8EC3C5A1B090}"/>
                </a:ext>
              </a:extLst>
            </xdr:cNvPr>
            <xdr:cNvSpPr txBox="1"/>
          </xdr:nvSpPr>
          <xdr:spPr>
            <a:xfrm>
              <a:off x="2804947" y="9150569"/>
              <a:ext cx="1097415" cy="390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b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𝑜𝑝𝑡</m:t>
                            </m:r>
                          </m:sub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sub>
                            </m:sSub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)−</m:t>
                        </m:r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BF1E441D-978B-404C-B5DD-8EC3C5A1B090}"/>
                </a:ext>
              </a:extLst>
            </xdr:cNvPr>
            <xdr:cNvSpPr txBox="1"/>
          </xdr:nvSpPr>
          <xdr:spPr>
            <a:xfrm>
              <a:off x="2804947" y="9150569"/>
              <a:ext cx="1097415" cy="390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 ̂_𝑜𝑝𝑡^2 ((𝑦_𝑤 ) ̅)−𝐷 ̂^2 (𝑦 ̅))/(𝐷 ̂^2 (𝑦 ̅))</a:t>
              </a:r>
              <a:endParaRPr lang="pl-PL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307756</xdr:colOff>
      <xdr:row>45</xdr:row>
      <xdr:rowOff>174406</xdr:rowOff>
    </xdr:from>
    <xdr:ext cx="1309268" cy="3939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535F5A15-E447-32B2-1881-3B7B4C029E7E}"/>
                </a:ext>
              </a:extLst>
            </xdr:cNvPr>
            <xdr:cNvSpPr txBox="1"/>
          </xdr:nvSpPr>
          <xdr:spPr>
            <a:xfrm>
              <a:off x="2927131" y="8918356"/>
              <a:ext cx="1309268" cy="393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b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𝑝𝑜𝑠𝑡</m:t>
                            </m:r>
                          </m:sub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  <m:d>
                          <m:d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𝑝𝑜𝑠𝑡</m:t>
                                    </m:r>
                                  </m:sub>
                                </m:sSub>
                              </m:e>
                            </m:acc>
                          </m:e>
                        </m:d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535F5A15-E447-32B2-1881-3B7B4C029E7E}"/>
                </a:ext>
              </a:extLst>
            </xdr:cNvPr>
            <xdr:cNvSpPr txBox="1"/>
          </xdr:nvSpPr>
          <xdr:spPr>
            <a:xfrm>
              <a:off x="2927131" y="8918356"/>
              <a:ext cx="1309268" cy="393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 ̂_𝑝𝑜𝑠𝑡^2 ((𝑦_𝑝𝑜𝑠𝑡 ) ̅ )−𝐷 ̂^2 (𝑦 ̅))/(𝐷 ̂^2 (𝑦 ̅))</a:t>
              </a:r>
              <a:endParaRPr lang="pl-PL" sz="110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254197</xdr:colOff>
      <xdr:row>81</xdr:row>
      <xdr:rowOff>22027</xdr:rowOff>
    </xdr:from>
    <xdr:ext cx="973472" cy="3833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72775269-3C9A-F18E-B6B3-52E08A19D830}"/>
                </a:ext>
              </a:extLst>
            </xdr:cNvPr>
            <xdr:cNvSpPr txBox="1"/>
          </xdr:nvSpPr>
          <xdr:spPr>
            <a:xfrm>
              <a:off x="3183135" y="9445824"/>
              <a:ext cx="973472" cy="38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d>
                          <m:d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sub>
                                </m:sSub>
                              </m:e>
                            </m:acc>
                          </m:e>
                        </m:d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72775269-3C9A-F18E-B6B3-52E08A19D830}"/>
                </a:ext>
              </a:extLst>
            </xdr:cNvPr>
            <xdr:cNvSpPr txBox="1"/>
          </xdr:nvSpPr>
          <xdr:spPr>
            <a:xfrm>
              <a:off x="3183135" y="9445824"/>
              <a:ext cx="973472" cy="38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 ̂^2 ((𝑦_𝑧 ) ̅ )−𝐷 ̂^2 (𝑦 ̅))/(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 ̂^2 (𝑦 ̅)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pl-PL" sz="110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254197</xdr:colOff>
      <xdr:row>56</xdr:row>
      <xdr:rowOff>22027</xdr:rowOff>
    </xdr:from>
    <xdr:ext cx="973472" cy="3833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734C4A3C-E056-4099-9644-A27A8F8BCBBE}"/>
                </a:ext>
              </a:extLst>
            </xdr:cNvPr>
            <xdr:cNvSpPr txBox="1"/>
          </xdr:nvSpPr>
          <xdr:spPr>
            <a:xfrm>
              <a:off x="3187897" y="15795427"/>
              <a:ext cx="973472" cy="38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d>
                          <m:d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sub>
                                </m:sSub>
                              </m:e>
                            </m:acc>
                          </m:e>
                        </m:d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sSup>
                          <m:sSupPr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</m:acc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734C4A3C-E056-4099-9644-A27A8F8BCBBE}"/>
                </a:ext>
              </a:extLst>
            </xdr:cNvPr>
            <xdr:cNvSpPr txBox="1"/>
          </xdr:nvSpPr>
          <xdr:spPr>
            <a:xfrm>
              <a:off x="3187897" y="15795427"/>
              <a:ext cx="973472" cy="38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 ̂^2 ((𝑦_𝑧 ) ̅ )−𝐷 ̂^2 (𝑦 ̅))/(𝐷 ̂^2 (𝑦 ̅))</a:t>
              </a:r>
              <a:endParaRPr lang="pl-PL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JLZml/Credit-Scoring-Data-Sets/tree/master/1.%20UCI%20Repository/Germa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301F-7C45-40B7-B7AC-8A5D99C59737}">
  <dimension ref="C1:R19"/>
  <sheetViews>
    <sheetView tabSelected="1" workbookViewId="0">
      <selection activeCell="U12" sqref="U12"/>
    </sheetView>
  </sheetViews>
  <sheetFormatPr defaultRowHeight="14.4" x14ac:dyDescent="0.3"/>
  <sheetData>
    <row r="1" spans="3:18" ht="15" thickBot="1" x14ac:dyDescent="0.35"/>
    <row r="2" spans="3:18" x14ac:dyDescent="0.3">
      <c r="C2" s="275" t="s">
        <v>236</v>
      </c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7"/>
    </row>
    <row r="3" spans="3:18" x14ac:dyDescent="0.3">
      <c r="C3" s="278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80"/>
    </row>
    <row r="4" spans="3:18" x14ac:dyDescent="0.3">
      <c r="C4" s="278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80"/>
    </row>
    <row r="5" spans="3:18" x14ac:dyDescent="0.3">
      <c r="C5" s="278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80"/>
    </row>
    <row r="6" spans="3:18" ht="15" thickBot="1" x14ac:dyDescent="0.35">
      <c r="C6" s="281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3"/>
    </row>
    <row r="8" spans="3:18" ht="22.8" x14ac:dyDescent="0.4">
      <c r="C8" s="284" t="s">
        <v>284</v>
      </c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  <c r="R8" s="286"/>
    </row>
    <row r="9" spans="3:18" ht="22.8" x14ac:dyDescent="0.4">
      <c r="C9" s="287" t="s">
        <v>285</v>
      </c>
      <c r="D9" s="288"/>
      <c r="E9" s="288"/>
      <c r="F9" s="288"/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8"/>
      <c r="R9" s="289"/>
    </row>
    <row r="11" spans="3:18" ht="20.399999999999999" x14ac:dyDescent="0.35">
      <c r="C11" s="272" t="s">
        <v>238</v>
      </c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3"/>
      <c r="R11" s="274"/>
    </row>
    <row r="12" spans="3:18" ht="24.75" customHeight="1" x14ac:dyDescent="0.3">
      <c r="C12" s="263" t="s">
        <v>270</v>
      </c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5"/>
    </row>
    <row r="13" spans="3:18" x14ac:dyDescent="0.3">
      <c r="C13" s="263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5"/>
    </row>
    <row r="14" spans="3:18" ht="18" customHeight="1" x14ac:dyDescent="0.3">
      <c r="C14" s="269" t="s">
        <v>237</v>
      </c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1"/>
    </row>
    <row r="15" spans="3:18" ht="18" customHeight="1" x14ac:dyDescent="0.3">
      <c r="C15" s="263" t="s">
        <v>239</v>
      </c>
      <c r="D15" s="264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5"/>
    </row>
    <row r="16" spans="3:18" ht="18" customHeight="1" x14ac:dyDescent="0.3">
      <c r="C16" s="263"/>
      <c r="D16" s="264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4"/>
      <c r="Q16" s="264"/>
      <c r="R16" s="265"/>
    </row>
    <row r="17" spans="3:18" ht="15" customHeight="1" x14ac:dyDescent="0.3"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5"/>
    </row>
    <row r="18" spans="3:18" ht="15" customHeight="1" x14ac:dyDescent="0.3">
      <c r="C18" s="263"/>
      <c r="D18" s="264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64"/>
      <c r="R18" s="265"/>
    </row>
    <row r="19" spans="3:18" x14ac:dyDescent="0.3">
      <c r="C19" s="266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  <c r="Q19" s="267"/>
      <c r="R19" s="268"/>
    </row>
  </sheetData>
  <mergeCells count="7">
    <mergeCell ref="C15:R19"/>
    <mergeCell ref="C14:R14"/>
    <mergeCell ref="C11:R11"/>
    <mergeCell ref="C12:R13"/>
    <mergeCell ref="C2:R6"/>
    <mergeCell ref="C8:R8"/>
    <mergeCell ref="C9:R9"/>
  </mergeCells>
  <hyperlinks>
    <hyperlink ref="C14" r:id="rId1" xr:uid="{BB6D3DAC-A0F8-4D5C-9244-934C7D0ADF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3707-D562-4FB5-94F1-6E5C206CBAF4}">
  <dimension ref="A1:G1001"/>
  <sheetViews>
    <sheetView workbookViewId="0">
      <selection activeCell="P1009" sqref="P1009"/>
    </sheetView>
  </sheetViews>
  <sheetFormatPr defaultRowHeight="14.4" x14ac:dyDescent="0.3"/>
  <cols>
    <col min="2" max="2" width="12.33203125" bestFit="1" customWidth="1"/>
    <col min="3" max="3" width="14.5546875" customWidth="1"/>
    <col min="4" max="4" width="10.5546875" customWidth="1"/>
    <col min="5" max="5" width="22.6640625" bestFit="1" customWidth="1"/>
    <col min="6" max="6" width="16.44140625" customWidth="1"/>
    <col min="7" max="7" width="15.5546875" customWidth="1"/>
  </cols>
  <sheetData>
    <row r="1" spans="1:7" x14ac:dyDescent="0.3">
      <c r="A1" s="36" t="s">
        <v>12</v>
      </c>
      <c r="B1" s="37" t="s">
        <v>63</v>
      </c>
      <c r="C1" s="37" t="s">
        <v>126</v>
      </c>
      <c r="D1" s="37" t="s">
        <v>0</v>
      </c>
      <c r="E1" s="37" t="s">
        <v>127</v>
      </c>
      <c r="F1" s="37" t="s">
        <v>1</v>
      </c>
      <c r="G1" s="41" t="s">
        <v>2</v>
      </c>
    </row>
    <row r="2" spans="1:7" x14ac:dyDescent="0.3">
      <c r="A2" s="34">
        <v>1</v>
      </c>
      <c r="B2" s="34">
        <v>6</v>
      </c>
      <c r="C2" s="34">
        <v>1169</v>
      </c>
      <c r="D2" s="34">
        <v>67</v>
      </c>
      <c r="E2" s="34" t="s">
        <v>3</v>
      </c>
      <c r="F2" s="34" t="s">
        <v>4</v>
      </c>
      <c r="G2" s="39" t="s">
        <v>5</v>
      </c>
    </row>
    <row r="3" spans="1:7" x14ac:dyDescent="0.3">
      <c r="A3" s="34">
        <v>2</v>
      </c>
      <c r="B3" s="34">
        <v>48</v>
      </c>
      <c r="C3" s="34">
        <v>5951</v>
      </c>
      <c r="D3" s="34">
        <v>22</v>
      </c>
      <c r="E3" s="34" t="s">
        <v>6</v>
      </c>
      <c r="F3" s="34" t="s">
        <v>4</v>
      </c>
      <c r="G3" s="39" t="s">
        <v>7</v>
      </c>
    </row>
    <row r="4" spans="1:7" x14ac:dyDescent="0.3">
      <c r="A4" s="34">
        <v>3</v>
      </c>
      <c r="B4" s="34">
        <v>12</v>
      </c>
      <c r="C4" s="34">
        <v>2096</v>
      </c>
      <c r="D4" s="34">
        <v>49</v>
      </c>
      <c r="E4" s="34" t="s">
        <v>3</v>
      </c>
      <c r="F4" s="34" t="s">
        <v>4</v>
      </c>
      <c r="G4" s="39" t="s">
        <v>5</v>
      </c>
    </row>
    <row r="5" spans="1:7" x14ac:dyDescent="0.3">
      <c r="A5" s="34">
        <v>4</v>
      </c>
      <c r="B5" s="34">
        <v>42</v>
      </c>
      <c r="C5" s="34">
        <v>7882</v>
      </c>
      <c r="D5" s="34">
        <v>45</v>
      </c>
      <c r="E5" s="34" t="s">
        <v>3</v>
      </c>
      <c r="F5" s="34" t="s">
        <v>8</v>
      </c>
      <c r="G5" s="39" t="s">
        <v>5</v>
      </c>
    </row>
    <row r="6" spans="1:7" x14ac:dyDescent="0.3">
      <c r="A6" s="34">
        <v>5</v>
      </c>
      <c r="B6" s="34">
        <v>24</v>
      </c>
      <c r="C6" s="34">
        <v>4870</v>
      </c>
      <c r="D6" s="34">
        <v>53</v>
      </c>
      <c r="E6" s="34" t="s">
        <v>3</v>
      </c>
      <c r="F6" s="34" t="s">
        <v>8</v>
      </c>
      <c r="G6" s="39" t="s">
        <v>7</v>
      </c>
    </row>
    <row r="7" spans="1:7" x14ac:dyDescent="0.3">
      <c r="A7" s="34">
        <v>6</v>
      </c>
      <c r="B7" s="34">
        <v>36</v>
      </c>
      <c r="C7" s="34">
        <v>9055</v>
      </c>
      <c r="D7" s="34">
        <v>35</v>
      </c>
      <c r="E7" s="34" t="s">
        <v>3</v>
      </c>
      <c r="F7" s="34" t="s">
        <v>8</v>
      </c>
      <c r="G7" s="39" t="s">
        <v>5</v>
      </c>
    </row>
    <row r="8" spans="1:7" x14ac:dyDescent="0.3">
      <c r="A8" s="34">
        <v>7</v>
      </c>
      <c r="B8" s="34">
        <v>24</v>
      </c>
      <c r="C8" s="34">
        <v>2835</v>
      </c>
      <c r="D8" s="34">
        <v>53</v>
      </c>
      <c r="E8" s="34" t="s">
        <v>3</v>
      </c>
      <c r="F8" s="34" t="s">
        <v>4</v>
      </c>
      <c r="G8" s="39" t="s">
        <v>5</v>
      </c>
    </row>
    <row r="9" spans="1:7" x14ac:dyDescent="0.3">
      <c r="A9" s="34">
        <v>8</v>
      </c>
      <c r="B9" s="34">
        <v>36</v>
      </c>
      <c r="C9" s="34">
        <v>6948</v>
      </c>
      <c r="D9" s="34">
        <v>35</v>
      </c>
      <c r="E9" s="34" t="s">
        <v>3</v>
      </c>
      <c r="F9" s="34" t="s">
        <v>9</v>
      </c>
      <c r="G9" s="39" t="s">
        <v>5</v>
      </c>
    </row>
    <row r="10" spans="1:7" x14ac:dyDescent="0.3">
      <c r="A10" s="34">
        <v>9</v>
      </c>
      <c r="B10" s="34">
        <v>12</v>
      </c>
      <c r="C10" s="34">
        <v>3059</v>
      </c>
      <c r="D10" s="34">
        <v>61</v>
      </c>
      <c r="E10" s="34" t="s">
        <v>10</v>
      </c>
      <c r="F10" s="34" t="s">
        <v>4</v>
      </c>
      <c r="G10" s="39" t="s">
        <v>5</v>
      </c>
    </row>
    <row r="11" spans="1:7" x14ac:dyDescent="0.3">
      <c r="A11" s="34">
        <v>10</v>
      </c>
      <c r="B11" s="34">
        <v>30</v>
      </c>
      <c r="C11" s="34">
        <v>5234</v>
      </c>
      <c r="D11" s="34">
        <v>28</v>
      </c>
      <c r="E11" s="34" t="s">
        <v>11</v>
      </c>
      <c r="F11" s="34" t="s">
        <v>4</v>
      </c>
      <c r="G11" s="39" t="s">
        <v>7</v>
      </c>
    </row>
    <row r="12" spans="1:7" x14ac:dyDescent="0.3">
      <c r="A12" s="34">
        <v>11</v>
      </c>
      <c r="B12" s="34">
        <v>12</v>
      </c>
      <c r="C12" s="34">
        <v>1295</v>
      </c>
      <c r="D12" s="34">
        <v>25</v>
      </c>
      <c r="E12" s="34" t="s">
        <v>6</v>
      </c>
      <c r="F12" s="34" t="s">
        <v>9</v>
      </c>
      <c r="G12" s="39" t="s">
        <v>7</v>
      </c>
    </row>
    <row r="13" spans="1:7" x14ac:dyDescent="0.3">
      <c r="A13" s="34">
        <v>12</v>
      </c>
      <c r="B13" s="34">
        <v>48</v>
      </c>
      <c r="C13" s="34">
        <v>4308</v>
      </c>
      <c r="D13" s="34">
        <v>24</v>
      </c>
      <c r="E13" s="34" t="s">
        <v>6</v>
      </c>
      <c r="F13" s="34" t="s">
        <v>9</v>
      </c>
      <c r="G13" s="39" t="s">
        <v>7</v>
      </c>
    </row>
    <row r="14" spans="1:7" x14ac:dyDescent="0.3">
      <c r="A14" s="34">
        <v>13</v>
      </c>
      <c r="B14" s="34">
        <v>12</v>
      </c>
      <c r="C14" s="34">
        <v>1567</v>
      </c>
      <c r="D14" s="34">
        <v>22</v>
      </c>
      <c r="E14" s="34" t="s">
        <v>6</v>
      </c>
      <c r="F14" s="34" t="s">
        <v>4</v>
      </c>
      <c r="G14" s="39" t="s">
        <v>5</v>
      </c>
    </row>
    <row r="15" spans="1:7" x14ac:dyDescent="0.3">
      <c r="A15" s="34">
        <v>14</v>
      </c>
      <c r="B15" s="34">
        <v>24</v>
      </c>
      <c r="C15" s="34">
        <v>1199</v>
      </c>
      <c r="D15" s="34">
        <v>60</v>
      </c>
      <c r="E15" s="34" t="s">
        <v>3</v>
      </c>
      <c r="F15" s="34" t="s">
        <v>4</v>
      </c>
      <c r="G15" s="39" t="s">
        <v>7</v>
      </c>
    </row>
    <row r="16" spans="1:7" x14ac:dyDescent="0.3">
      <c r="A16" s="34">
        <v>15</v>
      </c>
      <c r="B16" s="34">
        <v>15</v>
      </c>
      <c r="C16" s="34">
        <v>1403</v>
      </c>
      <c r="D16" s="34">
        <v>28</v>
      </c>
      <c r="E16" s="34" t="s">
        <v>6</v>
      </c>
      <c r="F16" s="34" t="s">
        <v>9</v>
      </c>
      <c r="G16" s="39" t="s">
        <v>5</v>
      </c>
    </row>
    <row r="17" spans="1:7" x14ac:dyDescent="0.3">
      <c r="A17" s="34">
        <v>16</v>
      </c>
      <c r="B17" s="34">
        <v>24</v>
      </c>
      <c r="C17" s="34">
        <v>1282</v>
      </c>
      <c r="D17" s="34">
        <v>32</v>
      </c>
      <c r="E17" s="34" t="s">
        <v>6</v>
      </c>
      <c r="F17" s="34" t="s">
        <v>4</v>
      </c>
      <c r="G17" s="39" t="s">
        <v>7</v>
      </c>
    </row>
    <row r="18" spans="1:7" x14ac:dyDescent="0.3">
      <c r="A18" s="34">
        <v>17</v>
      </c>
      <c r="B18" s="34">
        <v>24</v>
      </c>
      <c r="C18" s="34">
        <v>2424</v>
      </c>
      <c r="D18" s="34">
        <v>53</v>
      </c>
      <c r="E18" s="34" t="s">
        <v>3</v>
      </c>
      <c r="F18" s="34" t="s">
        <v>4</v>
      </c>
      <c r="G18" s="39" t="s">
        <v>5</v>
      </c>
    </row>
    <row r="19" spans="1:7" x14ac:dyDescent="0.3">
      <c r="A19" s="34">
        <v>18</v>
      </c>
      <c r="B19" s="34">
        <v>30</v>
      </c>
      <c r="C19" s="34">
        <v>8072</v>
      </c>
      <c r="D19" s="34">
        <v>25</v>
      </c>
      <c r="E19" s="34" t="s">
        <v>3</v>
      </c>
      <c r="F19" s="34" t="s">
        <v>4</v>
      </c>
      <c r="G19" s="39" t="s">
        <v>5</v>
      </c>
    </row>
    <row r="20" spans="1:7" x14ac:dyDescent="0.3">
      <c r="A20" s="34">
        <v>19</v>
      </c>
      <c r="B20" s="34">
        <v>24</v>
      </c>
      <c r="C20" s="34">
        <v>12579</v>
      </c>
      <c r="D20" s="34">
        <v>44</v>
      </c>
      <c r="E20" s="34" t="s">
        <v>6</v>
      </c>
      <c r="F20" s="34" t="s">
        <v>8</v>
      </c>
      <c r="G20" s="39" t="s">
        <v>7</v>
      </c>
    </row>
    <row r="21" spans="1:7" x14ac:dyDescent="0.3">
      <c r="A21" s="34">
        <v>20</v>
      </c>
      <c r="B21" s="34">
        <v>24</v>
      </c>
      <c r="C21" s="34">
        <v>3430</v>
      </c>
      <c r="D21" s="34">
        <v>31</v>
      </c>
      <c r="E21" s="34" t="s">
        <v>3</v>
      </c>
      <c r="F21" s="34" t="s">
        <v>4</v>
      </c>
      <c r="G21" s="39" t="s">
        <v>5</v>
      </c>
    </row>
    <row r="22" spans="1:7" x14ac:dyDescent="0.3">
      <c r="A22" s="34">
        <v>21</v>
      </c>
      <c r="B22" s="34">
        <v>9</v>
      </c>
      <c r="C22" s="34">
        <v>2134</v>
      </c>
      <c r="D22" s="34">
        <v>48</v>
      </c>
      <c r="E22" s="34" t="s">
        <v>3</v>
      </c>
      <c r="F22" s="34" t="s">
        <v>4</v>
      </c>
      <c r="G22" s="39" t="s">
        <v>5</v>
      </c>
    </row>
    <row r="23" spans="1:7" x14ac:dyDescent="0.3">
      <c r="A23" s="34">
        <v>22</v>
      </c>
      <c r="B23" s="34">
        <v>6</v>
      </c>
      <c r="C23" s="34">
        <v>2647</v>
      </c>
      <c r="D23" s="34">
        <v>44</v>
      </c>
      <c r="E23" s="34" t="s">
        <v>3</v>
      </c>
      <c r="F23" s="34" t="s">
        <v>9</v>
      </c>
      <c r="G23" s="39" t="s">
        <v>5</v>
      </c>
    </row>
    <row r="24" spans="1:7" x14ac:dyDescent="0.3">
      <c r="A24" s="34">
        <v>23</v>
      </c>
      <c r="B24" s="34">
        <v>10</v>
      </c>
      <c r="C24" s="34">
        <v>2241</v>
      </c>
      <c r="D24" s="34">
        <v>48</v>
      </c>
      <c r="E24" s="34" t="s">
        <v>3</v>
      </c>
      <c r="F24" s="34" t="s">
        <v>9</v>
      </c>
      <c r="G24" s="39" t="s">
        <v>5</v>
      </c>
    </row>
    <row r="25" spans="1:7" x14ac:dyDescent="0.3">
      <c r="A25" s="34">
        <v>24</v>
      </c>
      <c r="B25" s="34">
        <v>12</v>
      </c>
      <c r="C25" s="34">
        <v>1804</v>
      </c>
      <c r="D25" s="34">
        <v>44</v>
      </c>
      <c r="E25" s="34" t="s">
        <v>3</v>
      </c>
      <c r="F25" s="34" t="s">
        <v>4</v>
      </c>
      <c r="G25" s="39" t="s">
        <v>5</v>
      </c>
    </row>
    <row r="26" spans="1:7" x14ac:dyDescent="0.3">
      <c r="A26" s="34">
        <v>25</v>
      </c>
      <c r="B26" s="34">
        <v>10</v>
      </c>
      <c r="C26" s="34">
        <v>2069</v>
      </c>
      <c r="D26" s="34">
        <v>26</v>
      </c>
      <c r="E26" s="34" t="s">
        <v>11</v>
      </c>
      <c r="F26" s="34" t="s">
        <v>4</v>
      </c>
      <c r="G26" s="39" t="s">
        <v>5</v>
      </c>
    </row>
    <row r="27" spans="1:7" x14ac:dyDescent="0.3">
      <c r="A27" s="34">
        <v>26</v>
      </c>
      <c r="B27" s="34">
        <v>6</v>
      </c>
      <c r="C27" s="34">
        <v>1374</v>
      </c>
      <c r="D27" s="34">
        <v>36</v>
      </c>
      <c r="E27" s="34" t="s">
        <v>3</v>
      </c>
      <c r="F27" s="34" t="s">
        <v>4</v>
      </c>
      <c r="G27" s="39" t="s">
        <v>5</v>
      </c>
    </row>
    <row r="28" spans="1:7" x14ac:dyDescent="0.3">
      <c r="A28" s="34">
        <v>27</v>
      </c>
      <c r="B28" s="34">
        <v>6</v>
      </c>
      <c r="C28" s="34">
        <v>426</v>
      </c>
      <c r="D28" s="34">
        <v>39</v>
      </c>
      <c r="E28" s="34" t="s">
        <v>11</v>
      </c>
      <c r="F28" s="34" t="s">
        <v>4</v>
      </c>
      <c r="G28" s="39" t="s">
        <v>5</v>
      </c>
    </row>
    <row r="29" spans="1:7" x14ac:dyDescent="0.3">
      <c r="A29" s="34">
        <v>28</v>
      </c>
      <c r="B29" s="34">
        <v>12</v>
      </c>
      <c r="C29" s="34">
        <v>409</v>
      </c>
      <c r="D29" s="34">
        <v>42</v>
      </c>
      <c r="E29" s="34" t="s">
        <v>6</v>
      </c>
      <c r="F29" s="34" t="s">
        <v>9</v>
      </c>
      <c r="G29" s="39" t="s">
        <v>5</v>
      </c>
    </row>
    <row r="30" spans="1:7" x14ac:dyDescent="0.3">
      <c r="A30" s="34">
        <v>29</v>
      </c>
      <c r="B30" s="34">
        <v>7</v>
      </c>
      <c r="C30" s="34">
        <v>2415</v>
      </c>
      <c r="D30" s="34">
        <v>34</v>
      </c>
      <c r="E30" s="34" t="s">
        <v>3</v>
      </c>
      <c r="F30" s="34" t="s">
        <v>4</v>
      </c>
      <c r="G30" s="39" t="s">
        <v>5</v>
      </c>
    </row>
    <row r="31" spans="1:7" x14ac:dyDescent="0.3">
      <c r="A31" s="34">
        <v>30</v>
      </c>
      <c r="B31" s="34">
        <v>60</v>
      </c>
      <c r="C31" s="34">
        <v>6836</v>
      </c>
      <c r="D31" s="34">
        <v>63</v>
      </c>
      <c r="E31" s="34" t="s">
        <v>3</v>
      </c>
      <c r="F31" s="34" t="s">
        <v>4</v>
      </c>
      <c r="G31" s="39" t="s">
        <v>7</v>
      </c>
    </row>
    <row r="32" spans="1:7" x14ac:dyDescent="0.3">
      <c r="A32" s="34">
        <v>31</v>
      </c>
      <c r="B32" s="34">
        <v>18</v>
      </c>
      <c r="C32" s="34">
        <v>1913</v>
      </c>
      <c r="D32" s="34">
        <v>36</v>
      </c>
      <c r="E32" s="34" t="s">
        <v>11</v>
      </c>
      <c r="F32" s="34" t="s">
        <v>4</v>
      </c>
      <c r="G32" s="39" t="s">
        <v>5</v>
      </c>
    </row>
    <row r="33" spans="1:7" x14ac:dyDescent="0.3">
      <c r="A33" s="34">
        <v>32</v>
      </c>
      <c r="B33" s="34">
        <v>24</v>
      </c>
      <c r="C33" s="34">
        <v>4020</v>
      </c>
      <c r="D33" s="34">
        <v>27</v>
      </c>
      <c r="E33" s="34" t="s">
        <v>3</v>
      </c>
      <c r="F33" s="34" t="s">
        <v>4</v>
      </c>
      <c r="G33" s="39" t="s">
        <v>5</v>
      </c>
    </row>
    <row r="34" spans="1:7" x14ac:dyDescent="0.3">
      <c r="A34" s="34">
        <v>33</v>
      </c>
      <c r="B34" s="34">
        <v>18</v>
      </c>
      <c r="C34" s="34">
        <v>5866</v>
      </c>
      <c r="D34" s="34">
        <v>30</v>
      </c>
      <c r="E34" s="34" t="s">
        <v>3</v>
      </c>
      <c r="F34" s="34" t="s">
        <v>4</v>
      </c>
      <c r="G34" s="39" t="s">
        <v>5</v>
      </c>
    </row>
    <row r="35" spans="1:7" x14ac:dyDescent="0.3">
      <c r="A35" s="34">
        <v>34</v>
      </c>
      <c r="B35" s="34">
        <v>12</v>
      </c>
      <c r="C35" s="34">
        <v>1264</v>
      </c>
      <c r="D35" s="34">
        <v>57</v>
      </c>
      <c r="E35" s="34" t="s">
        <v>3</v>
      </c>
      <c r="F35" s="34" t="s">
        <v>9</v>
      </c>
      <c r="G35" s="39" t="s">
        <v>5</v>
      </c>
    </row>
    <row r="36" spans="1:7" x14ac:dyDescent="0.3">
      <c r="A36" s="34">
        <v>35</v>
      </c>
      <c r="B36" s="34">
        <v>12</v>
      </c>
      <c r="C36" s="34">
        <v>1474</v>
      </c>
      <c r="D36" s="34">
        <v>33</v>
      </c>
      <c r="E36" s="34" t="s">
        <v>6</v>
      </c>
      <c r="F36" s="34" t="s">
        <v>4</v>
      </c>
      <c r="G36" s="39" t="s">
        <v>5</v>
      </c>
    </row>
    <row r="37" spans="1:7" x14ac:dyDescent="0.3">
      <c r="A37" s="34">
        <v>36</v>
      </c>
      <c r="B37" s="34">
        <v>45</v>
      </c>
      <c r="C37" s="34">
        <v>4746</v>
      </c>
      <c r="D37" s="34">
        <v>25</v>
      </c>
      <c r="E37" s="34" t="s">
        <v>3</v>
      </c>
      <c r="F37" s="34" t="s">
        <v>4</v>
      </c>
      <c r="G37" s="39" t="s">
        <v>7</v>
      </c>
    </row>
    <row r="38" spans="1:7" x14ac:dyDescent="0.3">
      <c r="A38" s="34">
        <v>37</v>
      </c>
      <c r="B38" s="34">
        <v>48</v>
      </c>
      <c r="C38" s="34">
        <v>6110</v>
      </c>
      <c r="D38" s="34">
        <v>31</v>
      </c>
      <c r="E38" s="34" t="s">
        <v>3</v>
      </c>
      <c r="F38" s="34" t="s">
        <v>8</v>
      </c>
      <c r="G38" s="39" t="s">
        <v>5</v>
      </c>
    </row>
    <row r="39" spans="1:7" x14ac:dyDescent="0.3">
      <c r="A39" s="34">
        <v>38</v>
      </c>
      <c r="B39" s="34">
        <v>18</v>
      </c>
      <c r="C39" s="34">
        <v>2100</v>
      </c>
      <c r="D39" s="34">
        <v>37</v>
      </c>
      <c r="E39" s="34" t="s">
        <v>3</v>
      </c>
      <c r="F39" s="34" t="s">
        <v>4</v>
      </c>
      <c r="G39" s="39" t="s">
        <v>7</v>
      </c>
    </row>
    <row r="40" spans="1:7" x14ac:dyDescent="0.3">
      <c r="A40" s="34">
        <v>39</v>
      </c>
      <c r="B40" s="34">
        <v>10</v>
      </c>
      <c r="C40" s="34">
        <v>1225</v>
      </c>
      <c r="D40" s="34">
        <v>37</v>
      </c>
      <c r="E40" s="34" t="s">
        <v>3</v>
      </c>
      <c r="F40" s="34" t="s">
        <v>4</v>
      </c>
      <c r="G40" s="39" t="s">
        <v>5</v>
      </c>
    </row>
    <row r="41" spans="1:7" x14ac:dyDescent="0.3">
      <c r="A41" s="34">
        <v>40</v>
      </c>
      <c r="B41" s="34">
        <v>9</v>
      </c>
      <c r="C41" s="34">
        <v>458</v>
      </c>
      <c r="D41" s="34">
        <v>24</v>
      </c>
      <c r="E41" s="34" t="s">
        <v>3</v>
      </c>
      <c r="F41" s="34" t="s">
        <v>4</v>
      </c>
      <c r="G41" s="39" t="s">
        <v>5</v>
      </c>
    </row>
    <row r="42" spans="1:7" x14ac:dyDescent="0.3">
      <c r="A42" s="34">
        <v>41</v>
      </c>
      <c r="B42" s="34">
        <v>30</v>
      </c>
      <c r="C42" s="34">
        <v>2333</v>
      </c>
      <c r="D42" s="34">
        <v>30</v>
      </c>
      <c r="E42" s="34" t="s">
        <v>3</v>
      </c>
      <c r="F42" s="34" t="s">
        <v>4</v>
      </c>
      <c r="G42" s="39" t="s">
        <v>5</v>
      </c>
    </row>
    <row r="43" spans="1:7" x14ac:dyDescent="0.3">
      <c r="A43" s="34">
        <v>42</v>
      </c>
      <c r="B43" s="34">
        <v>12</v>
      </c>
      <c r="C43" s="34">
        <v>1158</v>
      </c>
      <c r="D43" s="34">
        <v>26</v>
      </c>
      <c r="E43" s="34" t="s">
        <v>10</v>
      </c>
      <c r="F43" s="34" t="s">
        <v>4</v>
      </c>
      <c r="G43" s="39" t="s">
        <v>5</v>
      </c>
    </row>
    <row r="44" spans="1:7" x14ac:dyDescent="0.3">
      <c r="A44" s="34">
        <v>43</v>
      </c>
      <c r="B44" s="34">
        <v>18</v>
      </c>
      <c r="C44" s="34">
        <v>6204</v>
      </c>
      <c r="D44" s="34">
        <v>44</v>
      </c>
      <c r="E44" s="34" t="s">
        <v>3</v>
      </c>
      <c r="F44" s="34" t="s">
        <v>4</v>
      </c>
      <c r="G44" s="39" t="s">
        <v>5</v>
      </c>
    </row>
    <row r="45" spans="1:7" x14ac:dyDescent="0.3">
      <c r="A45" s="34">
        <v>44</v>
      </c>
      <c r="B45" s="34">
        <v>30</v>
      </c>
      <c r="C45" s="34">
        <v>6187</v>
      </c>
      <c r="D45" s="34">
        <v>24</v>
      </c>
      <c r="E45" s="34" t="s">
        <v>11</v>
      </c>
      <c r="F45" s="34" t="s">
        <v>9</v>
      </c>
      <c r="G45" s="39" t="s">
        <v>5</v>
      </c>
    </row>
    <row r="46" spans="1:7" x14ac:dyDescent="0.3">
      <c r="A46" s="34">
        <v>45</v>
      </c>
      <c r="B46" s="34">
        <v>48</v>
      </c>
      <c r="C46" s="34">
        <v>6143</v>
      </c>
      <c r="D46" s="34">
        <v>58</v>
      </c>
      <c r="E46" s="34" t="s">
        <v>6</v>
      </c>
      <c r="F46" s="34" t="s">
        <v>8</v>
      </c>
      <c r="G46" s="39" t="s">
        <v>7</v>
      </c>
    </row>
    <row r="47" spans="1:7" x14ac:dyDescent="0.3">
      <c r="A47" s="34">
        <v>46</v>
      </c>
      <c r="B47" s="34">
        <v>11</v>
      </c>
      <c r="C47" s="34">
        <v>1393</v>
      </c>
      <c r="D47" s="34">
        <v>35</v>
      </c>
      <c r="E47" s="34" t="s">
        <v>6</v>
      </c>
      <c r="F47" s="34" t="s">
        <v>4</v>
      </c>
      <c r="G47" s="39" t="s">
        <v>5</v>
      </c>
    </row>
    <row r="48" spans="1:7" x14ac:dyDescent="0.3">
      <c r="A48" s="34">
        <v>47</v>
      </c>
      <c r="B48" s="34">
        <v>36</v>
      </c>
      <c r="C48" s="34">
        <v>2299</v>
      </c>
      <c r="D48" s="34">
        <v>39</v>
      </c>
      <c r="E48" s="34" t="s">
        <v>3</v>
      </c>
      <c r="F48" s="34" t="s">
        <v>4</v>
      </c>
      <c r="G48" s="39" t="s">
        <v>5</v>
      </c>
    </row>
    <row r="49" spans="1:7" x14ac:dyDescent="0.3">
      <c r="A49" s="34">
        <v>48</v>
      </c>
      <c r="B49" s="34">
        <v>6</v>
      </c>
      <c r="C49" s="34">
        <v>1352</v>
      </c>
      <c r="D49" s="34">
        <v>23</v>
      </c>
      <c r="E49" s="34" t="s">
        <v>6</v>
      </c>
      <c r="F49" s="34" t="s">
        <v>9</v>
      </c>
      <c r="G49" s="39" t="s">
        <v>5</v>
      </c>
    </row>
    <row r="50" spans="1:7" x14ac:dyDescent="0.3">
      <c r="A50" s="34">
        <v>49</v>
      </c>
      <c r="B50" s="34">
        <v>11</v>
      </c>
      <c r="C50" s="34">
        <v>7228</v>
      </c>
      <c r="D50" s="34">
        <v>39</v>
      </c>
      <c r="E50" s="34" t="s">
        <v>3</v>
      </c>
      <c r="F50" s="34" t="s">
        <v>4</v>
      </c>
      <c r="G50" s="39" t="s">
        <v>5</v>
      </c>
    </row>
    <row r="51" spans="1:7" x14ac:dyDescent="0.3">
      <c r="A51" s="34">
        <v>50</v>
      </c>
      <c r="B51" s="34">
        <v>12</v>
      </c>
      <c r="C51" s="34">
        <v>2073</v>
      </c>
      <c r="D51" s="34">
        <v>28</v>
      </c>
      <c r="E51" s="34" t="s">
        <v>6</v>
      </c>
      <c r="F51" s="34" t="s">
        <v>4</v>
      </c>
      <c r="G51" s="39" t="s">
        <v>5</v>
      </c>
    </row>
    <row r="52" spans="1:7" x14ac:dyDescent="0.3">
      <c r="A52" s="34">
        <v>51</v>
      </c>
      <c r="B52" s="34">
        <v>24</v>
      </c>
      <c r="C52" s="34">
        <v>2333</v>
      </c>
      <c r="D52" s="34">
        <v>29</v>
      </c>
      <c r="E52" s="34" t="s">
        <v>3</v>
      </c>
      <c r="F52" s="34" t="s">
        <v>4</v>
      </c>
      <c r="G52" s="39" t="s">
        <v>5</v>
      </c>
    </row>
    <row r="53" spans="1:7" x14ac:dyDescent="0.3">
      <c r="A53" s="34">
        <v>52</v>
      </c>
      <c r="B53" s="34">
        <v>27</v>
      </c>
      <c r="C53" s="34">
        <v>5965</v>
      </c>
      <c r="D53" s="34">
        <v>30</v>
      </c>
      <c r="E53" s="34" t="s">
        <v>3</v>
      </c>
      <c r="F53" s="34" t="s">
        <v>4</v>
      </c>
      <c r="G53" s="39" t="s">
        <v>5</v>
      </c>
    </row>
    <row r="54" spans="1:7" x14ac:dyDescent="0.3">
      <c r="A54" s="34">
        <v>53</v>
      </c>
      <c r="B54" s="34">
        <v>12</v>
      </c>
      <c r="C54" s="34">
        <v>1262</v>
      </c>
      <c r="D54" s="34">
        <v>25</v>
      </c>
      <c r="E54" s="34" t="s">
        <v>3</v>
      </c>
      <c r="F54" s="34" t="s">
        <v>4</v>
      </c>
      <c r="G54" s="39" t="s">
        <v>5</v>
      </c>
    </row>
    <row r="55" spans="1:7" x14ac:dyDescent="0.3">
      <c r="A55" s="34">
        <v>54</v>
      </c>
      <c r="B55" s="34">
        <v>18</v>
      </c>
      <c r="C55" s="34">
        <v>3378</v>
      </c>
      <c r="D55" s="34">
        <v>31</v>
      </c>
      <c r="E55" s="34" t="s">
        <v>3</v>
      </c>
      <c r="F55" s="34" t="s">
        <v>4</v>
      </c>
      <c r="G55" s="39" t="s">
        <v>5</v>
      </c>
    </row>
    <row r="56" spans="1:7" x14ac:dyDescent="0.3">
      <c r="A56" s="34">
        <v>55</v>
      </c>
      <c r="B56" s="34">
        <v>36</v>
      </c>
      <c r="C56" s="34">
        <v>2225</v>
      </c>
      <c r="D56" s="34">
        <v>57</v>
      </c>
      <c r="E56" s="34" t="s">
        <v>3</v>
      </c>
      <c r="F56" s="34" t="s">
        <v>8</v>
      </c>
      <c r="G56" s="39" t="s">
        <v>7</v>
      </c>
    </row>
    <row r="57" spans="1:7" x14ac:dyDescent="0.3">
      <c r="A57" s="34">
        <v>56</v>
      </c>
      <c r="B57" s="34">
        <v>6</v>
      </c>
      <c r="C57" s="34">
        <v>783</v>
      </c>
      <c r="D57" s="34">
        <v>26</v>
      </c>
      <c r="E57" s="34" t="s">
        <v>3</v>
      </c>
      <c r="F57" s="34" t="s">
        <v>4</v>
      </c>
      <c r="G57" s="39" t="s">
        <v>5</v>
      </c>
    </row>
    <row r="58" spans="1:7" x14ac:dyDescent="0.3">
      <c r="A58" s="34">
        <v>57</v>
      </c>
      <c r="B58" s="34">
        <v>12</v>
      </c>
      <c r="C58" s="34">
        <v>6468</v>
      </c>
      <c r="D58" s="34">
        <v>52</v>
      </c>
      <c r="E58" s="34" t="s">
        <v>3</v>
      </c>
      <c r="F58" s="34" t="s">
        <v>4</v>
      </c>
      <c r="G58" s="39" t="s">
        <v>7</v>
      </c>
    </row>
    <row r="59" spans="1:7" x14ac:dyDescent="0.3">
      <c r="A59" s="34">
        <v>58</v>
      </c>
      <c r="B59" s="34">
        <v>36</v>
      </c>
      <c r="C59" s="34">
        <v>9566</v>
      </c>
      <c r="D59" s="34">
        <v>31</v>
      </c>
      <c r="E59" s="34" t="s">
        <v>6</v>
      </c>
      <c r="F59" s="34" t="s">
        <v>4</v>
      </c>
      <c r="G59" s="39" t="s">
        <v>5</v>
      </c>
    </row>
    <row r="60" spans="1:7" x14ac:dyDescent="0.3">
      <c r="A60" s="34">
        <v>59</v>
      </c>
      <c r="B60" s="34">
        <v>18</v>
      </c>
      <c r="C60" s="34">
        <v>1961</v>
      </c>
      <c r="D60" s="34">
        <v>23</v>
      </c>
      <c r="E60" s="34" t="s">
        <v>6</v>
      </c>
      <c r="F60" s="34" t="s">
        <v>4</v>
      </c>
      <c r="G60" s="39" t="s">
        <v>5</v>
      </c>
    </row>
    <row r="61" spans="1:7" x14ac:dyDescent="0.3">
      <c r="A61" s="34">
        <v>60</v>
      </c>
      <c r="B61" s="34">
        <v>36</v>
      </c>
      <c r="C61" s="34">
        <v>6229</v>
      </c>
      <c r="D61" s="34">
        <v>23</v>
      </c>
      <c r="E61" s="34" t="s">
        <v>6</v>
      </c>
      <c r="F61" s="34" t="s">
        <v>9</v>
      </c>
      <c r="G61" s="39" t="s">
        <v>7</v>
      </c>
    </row>
    <row r="62" spans="1:7" x14ac:dyDescent="0.3">
      <c r="A62" s="34">
        <v>61</v>
      </c>
      <c r="B62" s="34">
        <v>9</v>
      </c>
      <c r="C62" s="34">
        <v>1391</v>
      </c>
      <c r="D62" s="34">
        <v>27</v>
      </c>
      <c r="E62" s="34" t="s">
        <v>11</v>
      </c>
      <c r="F62" s="34" t="s">
        <v>4</v>
      </c>
      <c r="G62" s="39" t="s">
        <v>5</v>
      </c>
    </row>
    <row r="63" spans="1:7" x14ac:dyDescent="0.3">
      <c r="A63" s="34">
        <v>62</v>
      </c>
      <c r="B63" s="34">
        <v>15</v>
      </c>
      <c r="C63" s="34">
        <v>1537</v>
      </c>
      <c r="D63" s="34">
        <v>50</v>
      </c>
      <c r="E63" s="34" t="s">
        <v>3</v>
      </c>
      <c r="F63" s="34" t="s">
        <v>4</v>
      </c>
      <c r="G63" s="39" t="s">
        <v>5</v>
      </c>
    </row>
    <row r="64" spans="1:7" x14ac:dyDescent="0.3">
      <c r="A64" s="34">
        <v>63</v>
      </c>
      <c r="B64" s="34">
        <v>36</v>
      </c>
      <c r="C64" s="34">
        <v>1953</v>
      </c>
      <c r="D64" s="34">
        <v>61</v>
      </c>
      <c r="E64" s="34" t="s">
        <v>3</v>
      </c>
      <c r="F64" s="34" t="s">
        <v>8</v>
      </c>
      <c r="G64" s="39" t="s">
        <v>7</v>
      </c>
    </row>
    <row r="65" spans="1:7" x14ac:dyDescent="0.3">
      <c r="A65" s="34">
        <v>64</v>
      </c>
      <c r="B65" s="34">
        <v>48</v>
      </c>
      <c r="C65" s="34">
        <v>14421</v>
      </c>
      <c r="D65" s="34">
        <v>25</v>
      </c>
      <c r="E65" s="34" t="s">
        <v>3</v>
      </c>
      <c r="F65" s="34" t="s">
        <v>4</v>
      </c>
      <c r="G65" s="39" t="s">
        <v>7</v>
      </c>
    </row>
    <row r="66" spans="1:7" x14ac:dyDescent="0.3">
      <c r="A66" s="34">
        <v>65</v>
      </c>
      <c r="B66" s="34">
        <v>24</v>
      </c>
      <c r="C66" s="34">
        <v>3181</v>
      </c>
      <c r="D66" s="34">
        <v>26</v>
      </c>
      <c r="E66" s="34" t="s">
        <v>6</v>
      </c>
      <c r="F66" s="34" t="s">
        <v>4</v>
      </c>
      <c r="G66" s="39" t="s">
        <v>5</v>
      </c>
    </row>
    <row r="67" spans="1:7" x14ac:dyDescent="0.3">
      <c r="A67" s="34">
        <v>66</v>
      </c>
      <c r="B67" s="34">
        <v>27</v>
      </c>
      <c r="C67" s="34">
        <v>5190</v>
      </c>
      <c r="D67" s="34">
        <v>48</v>
      </c>
      <c r="E67" s="34" t="s">
        <v>3</v>
      </c>
      <c r="F67" s="34" t="s">
        <v>4</v>
      </c>
      <c r="G67" s="39" t="s">
        <v>5</v>
      </c>
    </row>
    <row r="68" spans="1:7" x14ac:dyDescent="0.3">
      <c r="A68" s="34">
        <v>67</v>
      </c>
      <c r="B68" s="34">
        <v>12</v>
      </c>
      <c r="C68" s="34">
        <v>2171</v>
      </c>
      <c r="D68" s="34">
        <v>29</v>
      </c>
      <c r="E68" s="34" t="s">
        <v>6</v>
      </c>
      <c r="F68" s="34" t="s">
        <v>4</v>
      </c>
      <c r="G68" s="39" t="s">
        <v>5</v>
      </c>
    </row>
    <row r="69" spans="1:7" x14ac:dyDescent="0.3">
      <c r="A69" s="34">
        <v>68</v>
      </c>
      <c r="B69" s="34">
        <v>12</v>
      </c>
      <c r="C69" s="34">
        <v>1007</v>
      </c>
      <c r="D69" s="34">
        <v>22</v>
      </c>
      <c r="E69" s="34" t="s">
        <v>11</v>
      </c>
      <c r="F69" s="34" t="s">
        <v>4</v>
      </c>
      <c r="G69" s="39" t="s">
        <v>5</v>
      </c>
    </row>
    <row r="70" spans="1:7" x14ac:dyDescent="0.3">
      <c r="A70" s="34">
        <v>69</v>
      </c>
      <c r="B70" s="34">
        <v>36</v>
      </c>
      <c r="C70" s="34">
        <v>1819</v>
      </c>
      <c r="D70" s="34">
        <v>37</v>
      </c>
      <c r="E70" s="34" t="s">
        <v>3</v>
      </c>
      <c r="F70" s="34" t="s">
        <v>8</v>
      </c>
      <c r="G70" s="39" t="s">
        <v>7</v>
      </c>
    </row>
    <row r="71" spans="1:7" x14ac:dyDescent="0.3">
      <c r="A71" s="34">
        <v>70</v>
      </c>
      <c r="B71" s="34">
        <v>36</v>
      </c>
      <c r="C71" s="34">
        <v>2394</v>
      </c>
      <c r="D71" s="34">
        <v>25</v>
      </c>
      <c r="E71" s="34" t="s">
        <v>6</v>
      </c>
      <c r="F71" s="34" t="s">
        <v>4</v>
      </c>
      <c r="G71" s="39" t="s">
        <v>5</v>
      </c>
    </row>
    <row r="72" spans="1:7" x14ac:dyDescent="0.3">
      <c r="A72" s="34">
        <v>71</v>
      </c>
      <c r="B72" s="34">
        <v>36</v>
      </c>
      <c r="C72" s="34">
        <v>8133</v>
      </c>
      <c r="D72" s="34">
        <v>30</v>
      </c>
      <c r="E72" s="34" t="s">
        <v>6</v>
      </c>
      <c r="F72" s="34" t="s">
        <v>4</v>
      </c>
      <c r="G72" s="39" t="s">
        <v>5</v>
      </c>
    </row>
    <row r="73" spans="1:7" x14ac:dyDescent="0.3">
      <c r="A73" s="34">
        <v>72</v>
      </c>
      <c r="B73" s="34">
        <v>7</v>
      </c>
      <c r="C73" s="34">
        <v>730</v>
      </c>
      <c r="D73" s="34">
        <v>46</v>
      </c>
      <c r="E73" s="34" t="s">
        <v>3</v>
      </c>
      <c r="F73" s="34" t="s">
        <v>9</v>
      </c>
      <c r="G73" s="39" t="s">
        <v>5</v>
      </c>
    </row>
    <row r="74" spans="1:7" x14ac:dyDescent="0.3">
      <c r="A74" s="34">
        <v>73</v>
      </c>
      <c r="B74" s="34">
        <v>8</v>
      </c>
      <c r="C74" s="34">
        <v>1164</v>
      </c>
      <c r="D74" s="34">
        <v>51</v>
      </c>
      <c r="E74" s="34" t="s">
        <v>3</v>
      </c>
      <c r="F74" s="34" t="s">
        <v>8</v>
      </c>
      <c r="G74" s="39" t="s">
        <v>5</v>
      </c>
    </row>
    <row r="75" spans="1:7" x14ac:dyDescent="0.3">
      <c r="A75" s="34">
        <v>74</v>
      </c>
      <c r="B75" s="34">
        <v>42</v>
      </c>
      <c r="C75" s="34">
        <v>5954</v>
      </c>
      <c r="D75" s="34">
        <v>41</v>
      </c>
      <c r="E75" s="34" t="s">
        <v>6</v>
      </c>
      <c r="F75" s="34" t="s">
        <v>4</v>
      </c>
      <c r="G75" s="39" t="s">
        <v>5</v>
      </c>
    </row>
    <row r="76" spans="1:7" x14ac:dyDescent="0.3">
      <c r="A76" s="34">
        <v>75</v>
      </c>
      <c r="B76" s="34">
        <v>36</v>
      </c>
      <c r="C76" s="34">
        <v>1977</v>
      </c>
      <c r="D76" s="34">
        <v>40</v>
      </c>
      <c r="E76" s="34" t="s">
        <v>3</v>
      </c>
      <c r="F76" s="34" t="s">
        <v>4</v>
      </c>
      <c r="G76" s="39" t="s">
        <v>7</v>
      </c>
    </row>
    <row r="77" spans="1:7" x14ac:dyDescent="0.3">
      <c r="A77" s="34">
        <v>76</v>
      </c>
      <c r="B77" s="34">
        <v>12</v>
      </c>
      <c r="C77" s="34">
        <v>1526</v>
      </c>
      <c r="D77" s="34">
        <v>66</v>
      </c>
      <c r="E77" s="34" t="s">
        <v>3</v>
      </c>
      <c r="F77" s="34" t="s">
        <v>8</v>
      </c>
      <c r="G77" s="39" t="s">
        <v>5</v>
      </c>
    </row>
    <row r="78" spans="1:7" x14ac:dyDescent="0.3">
      <c r="A78" s="34">
        <v>77</v>
      </c>
      <c r="B78" s="34">
        <v>42</v>
      </c>
      <c r="C78" s="34">
        <v>3965</v>
      </c>
      <c r="D78" s="34">
        <v>34</v>
      </c>
      <c r="E78" s="34" t="s">
        <v>3</v>
      </c>
      <c r="F78" s="34" t="s">
        <v>4</v>
      </c>
      <c r="G78" s="39" t="s">
        <v>7</v>
      </c>
    </row>
    <row r="79" spans="1:7" x14ac:dyDescent="0.3">
      <c r="A79" s="34">
        <v>78</v>
      </c>
      <c r="B79" s="34">
        <v>11</v>
      </c>
      <c r="C79" s="34">
        <v>4771</v>
      </c>
      <c r="D79" s="34">
        <v>51</v>
      </c>
      <c r="E79" s="34" t="s">
        <v>3</v>
      </c>
      <c r="F79" s="34" t="s">
        <v>4</v>
      </c>
      <c r="G79" s="39" t="s">
        <v>5</v>
      </c>
    </row>
    <row r="80" spans="1:7" x14ac:dyDescent="0.3">
      <c r="A80" s="34">
        <v>79</v>
      </c>
      <c r="B80" s="34">
        <v>54</v>
      </c>
      <c r="C80" s="34">
        <v>9436</v>
      </c>
      <c r="D80" s="34">
        <v>39</v>
      </c>
      <c r="E80" s="34" t="s">
        <v>3</v>
      </c>
      <c r="F80" s="34" t="s">
        <v>4</v>
      </c>
      <c r="G80" s="39" t="s">
        <v>5</v>
      </c>
    </row>
    <row r="81" spans="1:7" x14ac:dyDescent="0.3">
      <c r="A81" s="34">
        <v>80</v>
      </c>
      <c r="B81" s="34">
        <v>30</v>
      </c>
      <c r="C81" s="34">
        <v>3832</v>
      </c>
      <c r="D81" s="34">
        <v>22</v>
      </c>
      <c r="E81" s="34" t="s">
        <v>11</v>
      </c>
      <c r="F81" s="34" t="s">
        <v>4</v>
      </c>
      <c r="G81" s="39" t="s">
        <v>5</v>
      </c>
    </row>
    <row r="82" spans="1:7" x14ac:dyDescent="0.3">
      <c r="A82" s="34">
        <v>81</v>
      </c>
      <c r="B82" s="34">
        <v>24</v>
      </c>
      <c r="C82" s="34">
        <v>5943</v>
      </c>
      <c r="D82" s="34">
        <v>44</v>
      </c>
      <c r="E82" s="34" t="s">
        <v>6</v>
      </c>
      <c r="F82" s="34" t="s">
        <v>4</v>
      </c>
      <c r="G82" s="39" t="s">
        <v>7</v>
      </c>
    </row>
    <row r="83" spans="1:7" x14ac:dyDescent="0.3">
      <c r="A83" s="34">
        <v>82</v>
      </c>
      <c r="B83" s="34">
        <v>15</v>
      </c>
      <c r="C83" s="34">
        <v>1213</v>
      </c>
      <c r="D83" s="34">
        <v>47</v>
      </c>
      <c r="E83" s="34" t="s">
        <v>3</v>
      </c>
      <c r="F83" s="34" t="s">
        <v>4</v>
      </c>
      <c r="G83" s="39" t="s">
        <v>5</v>
      </c>
    </row>
    <row r="84" spans="1:7" x14ac:dyDescent="0.3">
      <c r="A84" s="34">
        <v>83</v>
      </c>
      <c r="B84" s="34">
        <v>18</v>
      </c>
      <c r="C84" s="34">
        <v>1568</v>
      </c>
      <c r="D84" s="34">
        <v>24</v>
      </c>
      <c r="E84" s="34" t="s">
        <v>6</v>
      </c>
      <c r="F84" s="34" t="s">
        <v>9</v>
      </c>
      <c r="G84" s="39" t="s">
        <v>5</v>
      </c>
    </row>
    <row r="85" spans="1:7" x14ac:dyDescent="0.3">
      <c r="A85" s="34">
        <v>84</v>
      </c>
      <c r="B85" s="34">
        <v>24</v>
      </c>
      <c r="C85" s="34">
        <v>1755</v>
      </c>
      <c r="D85" s="34">
        <v>58</v>
      </c>
      <c r="E85" s="34" t="s">
        <v>6</v>
      </c>
      <c r="F85" s="34" t="s">
        <v>4</v>
      </c>
      <c r="G85" s="39" t="s">
        <v>5</v>
      </c>
    </row>
    <row r="86" spans="1:7" x14ac:dyDescent="0.3">
      <c r="A86" s="34">
        <v>85</v>
      </c>
      <c r="B86" s="34">
        <v>10</v>
      </c>
      <c r="C86" s="34">
        <v>2315</v>
      </c>
      <c r="D86" s="34">
        <v>52</v>
      </c>
      <c r="E86" s="34" t="s">
        <v>3</v>
      </c>
      <c r="F86" s="34" t="s">
        <v>4</v>
      </c>
      <c r="G86" s="39" t="s">
        <v>5</v>
      </c>
    </row>
    <row r="87" spans="1:7" x14ac:dyDescent="0.3">
      <c r="A87" s="34">
        <v>86</v>
      </c>
      <c r="B87" s="34">
        <v>12</v>
      </c>
      <c r="C87" s="34">
        <v>1412</v>
      </c>
      <c r="D87" s="34">
        <v>29</v>
      </c>
      <c r="E87" s="34" t="s">
        <v>6</v>
      </c>
      <c r="F87" s="34" t="s">
        <v>4</v>
      </c>
      <c r="G87" s="39" t="s">
        <v>5</v>
      </c>
    </row>
    <row r="88" spans="1:7" x14ac:dyDescent="0.3">
      <c r="A88" s="34">
        <v>87</v>
      </c>
      <c r="B88" s="34">
        <v>18</v>
      </c>
      <c r="C88" s="34">
        <v>1295</v>
      </c>
      <c r="D88" s="34">
        <v>27</v>
      </c>
      <c r="E88" s="34" t="s">
        <v>6</v>
      </c>
      <c r="F88" s="34" t="s">
        <v>4</v>
      </c>
      <c r="G88" s="39" t="s">
        <v>5</v>
      </c>
    </row>
    <row r="89" spans="1:7" x14ac:dyDescent="0.3">
      <c r="A89" s="34">
        <v>88</v>
      </c>
      <c r="B89" s="34">
        <v>36</v>
      </c>
      <c r="C89" s="34">
        <v>12612</v>
      </c>
      <c r="D89" s="34">
        <v>47</v>
      </c>
      <c r="E89" s="34" t="s">
        <v>3</v>
      </c>
      <c r="F89" s="34" t="s">
        <v>8</v>
      </c>
      <c r="G89" s="39" t="s">
        <v>7</v>
      </c>
    </row>
    <row r="90" spans="1:7" x14ac:dyDescent="0.3">
      <c r="A90" s="34">
        <v>89</v>
      </c>
      <c r="B90" s="34">
        <v>18</v>
      </c>
      <c r="C90" s="34">
        <v>2249</v>
      </c>
      <c r="D90" s="34">
        <v>30</v>
      </c>
      <c r="E90" s="34" t="s">
        <v>3</v>
      </c>
      <c r="F90" s="34" t="s">
        <v>4</v>
      </c>
      <c r="G90" s="39" t="s">
        <v>5</v>
      </c>
    </row>
    <row r="91" spans="1:7" x14ac:dyDescent="0.3">
      <c r="A91" s="34">
        <v>90</v>
      </c>
      <c r="B91" s="34">
        <v>12</v>
      </c>
      <c r="C91" s="34">
        <v>1108</v>
      </c>
      <c r="D91" s="34">
        <v>28</v>
      </c>
      <c r="E91" s="34" t="s">
        <v>3</v>
      </c>
      <c r="F91" s="34" t="s">
        <v>4</v>
      </c>
      <c r="G91" s="39" t="s">
        <v>7</v>
      </c>
    </row>
    <row r="92" spans="1:7" x14ac:dyDescent="0.3">
      <c r="A92" s="34">
        <v>91</v>
      </c>
      <c r="B92" s="34">
        <v>12</v>
      </c>
      <c r="C92" s="34">
        <v>618</v>
      </c>
      <c r="D92" s="34">
        <v>56</v>
      </c>
      <c r="E92" s="34" t="s">
        <v>3</v>
      </c>
      <c r="F92" s="34" t="s">
        <v>4</v>
      </c>
      <c r="G92" s="39" t="s">
        <v>5</v>
      </c>
    </row>
    <row r="93" spans="1:7" x14ac:dyDescent="0.3">
      <c r="A93" s="34">
        <v>92</v>
      </c>
      <c r="B93" s="34">
        <v>12</v>
      </c>
      <c r="C93" s="34">
        <v>1409</v>
      </c>
      <c r="D93" s="34">
        <v>54</v>
      </c>
      <c r="E93" s="34" t="s">
        <v>3</v>
      </c>
      <c r="F93" s="34" t="s">
        <v>4</v>
      </c>
      <c r="G93" s="39" t="s">
        <v>5</v>
      </c>
    </row>
    <row r="94" spans="1:7" x14ac:dyDescent="0.3">
      <c r="A94" s="34">
        <v>93</v>
      </c>
      <c r="B94" s="34">
        <v>12</v>
      </c>
      <c r="C94" s="34">
        <v>797</v>
      </c>
      <c r="D94" s="34">
        <v>33</v>
      </c>
      <c r="E94" s="34" t="s">
        <v>6</v>
      </c>
      <c r="F94" s="34" t="s">
        <v>4</v>
      </c>
      <c r="G94" s="39" t="s">
        <v>7</v>
      </c>
    </row>
    <row r="95" spans="1:7" x14ac:dyDescent="0.3">
      <c r="A95" s="34">
        <v>94</v>
      </c>
      <c r="B95" s="34">
        <v>24</v>
      </c>
      <c r="C95" s="34">
        <v>3617</v>
      </c>
      <c r="D95" s="34">
        <v>20</v>
      </c>
      <c r="E95" s="34" t="s">
        <v>3</v>
      </c>
      <c r="F95" s="34" t="s">
        <v>9</v>
      </c>
      <c r="G95" s="39" t="s">
        <v>5</v>
      </c>
    </row>
    <row r="96" spans="1:7" x14ac:dyDescent="0.3">
      <c r="A96" s="34">
        <v>95</v>
      </c>
      <c r="B96" s="34">
        <v>12</v>
      </c>
      <c r="C96" s="34">
        <v>1318</v>
      </c>
      <c r="D96" s="34">
        <v>54</v>
      </c>
      <c r="E96" s="34" t="s">
        <v>3</v>
      </c>
      <c r="F96" s="34" t="s">
        <v>4</v>
      </c>
      <c r="G96" s="39" t="s">
        <v>5</v>
      </c>
    </row>
    <row r="97" spans="1:7" x14ac:dyDescent="0.3">
      <c r="A97" s="34">
        <v>96</v>
      </c>
      <c r="B97" s="34">
        <v>54</v>
      </c>
      <c r="C97" s="34">
        <v>15945</v>
      </c>
      <c r="D97" s="34">
        <v>58</v>
      </c>
      <c r="E97" s="34" t="s">
        <v>3</v>
      </c>
      <c r="F97" s="34" t="s">
        <v>9</v>
      </c>
      <c r="G97" s="39" t="s">
        <v>7</v>
      </c>
    </row>
    <row r="98" spans="1:7" x14ac:dyDescent="0.3">
      <c r="A98" s="34">
        <v>97</v>
      </c>
      <c r="B98" s="34">
        <v>12</v>
      </c>
      <c r="C98" s="34">
        <v>2012</v>
      </c>
      <c r="D98" s="34">
        <v>61</v>
      </c>
      <c r="E98" s="34" t="s">
        <v>6</v>
      </c>
      <c r="F98" s="34" t="s">
        <v>4</v>
      </c>
      <c r="G98" s="39" t="s">
        <v>5</v>
      </c>
    </row>
    <row r="99" spans="1:7" x14ac:dyDescent="0.3">
      <c r="A99" s="34">
        <v>98</v>
      </c>
      <c r="B99" s="34">
        <v>18</v>
      </c>
      <c r="C99" s="34">
        <v>2622</v>
      </c>
      <c r="D99" s="34">
        <v>34</v>
      </c>
      <c r="E99" s="34" t="s">
        <v>3</v>
      </c>
      <c r="F99" s="34" t="s">
        <v>4</v>
      </c>
      <c r="G99" s="39" t="s">
        <v>5</v>
      </c>
    </row>
    <row r="100" spans="1:7" x14ac:dyDescent="0.3">
      <c r="A100" s="34">
        <v>99</v>
      </c>
      <c r="B100" s="34">
        <v>36</v>
      </c>
      <c r="C100" s="34">
        <v>2337</v>
      </c>
      <c r="D100" s="34">
        <v>36</v>
      </c>
      <c r="E100" s="34" t="s">
        <v>3</v>
      </c>
      <c r="F100" s="34" t="s">
        <v>4</v>
      </c>
      <c r="G100" s="39" t="s">
        <v>5</v>
      </c>
    </row>
    <row r="101" spans="1:7" x14ac:dyDescent="0.3">
      <c r="A101" s="34">
        <v>100</v>
      </c>
      <c r="B101" s="34">
        <v>20</v>
      </c>
      <c r="C101" s="34">
        <v>7057</v>
      </c>
      <c r="D101" s="34">
        <v>36</v>
      </c>
      <c r="E101" s="34" t="s">
        <v>3</v>
      </c>
      <c r="F101" s="34" t="s">
        <v>9</v>
      </c>
      <c r="G101" s="39" t="s">
        <v>5</v>
      </c>
    </row>
    <row r="102" spans="1:7" x14ac:dyDescent="0.3">
      <c r="A102" s="34">
        <v>101</v>
      </c>
      <c r="B102" s="34">
        <v>24</v>
      </c>
      <c r="C102" s="34">
        <v>1469</v>
      </c>
      <c r="D102" s="34">
        <v>41</v>
      </c>
      <c r="E102" s="34" t="s">
        <v>11</v>
      </c>
      <c r="F102" s="34" t="s">
        <v>9</v>
      </c>
      <c r="G102" s="39" t="s">
        <v>5</v>
      </c>
    </row>
    <row r="103" spans="1:7" x14ac:dyDescent="0.3">
      <c r="A103" s="34">
        <v>102</v>
      </c>
      <c r="B103" s="34">
        <v>36</v>
      </c>
      <c r="C103" s="34">
        <v>2323</v>
      </c>
      <c r="D103" s="34">
        <v>24</v>
      </c>
      <c r="E103" s="34" t="s">
        <v>3</v>
      </c>
      <c r="F103" s="34" t="s">
        <v>9</v>
      </c>
      <c r="G103" s="39" t="s">
        <v>5</v>
      </c>
    </row>
    <row r="104" spans="1:7" x14ac:dyDescent="0.3">
      <c r="A104" s="34">
        <v>103</v>
      </c>
      <c r="B104" s="34">
        <v>6</v>
      </c>
      <c r="C104" s="34">
        <v>932</v>
      </c>
      <c r="D104" s="34">
        <v>24</v>
      </c>
      <c r="E104" s="34" t="s">
        <v>6</v>
      </c>
      <c r="F104" s="34" t="s">
        <v>4</v>
      </c>
      <c r="G104" s="39" t="s">
        <v>5</v>
      </c>
    </row>
    <row r="105" spans="1:7" x14ac:dyDescent="0.3">
      <c r="A105" s="34">
        <v>104</v>
      </c>
      <c r="B105" s="34">
        <v>9</v>
      </c>
      <c r="C105" s="34">
        <v>1919</v>
      </c>
      <c r="D105" s="34">
        <v>35</v>
      </c>
      <c r="E105" s="34" t="s">
        <v>3</v>
      </c>
      <c r="F105" s="34" t="s">
        <v>9</v>
      </c>
      <c r="G105" s="39" t="s">
        <v>5</v>
      </c>
    </row>
    <row r="106" spans="1:7" x14ac:dyDescent="0.3">
      <c r="A106" s="34">
        <v>105</v>
      </c>
      <c r="B106" s="34">
        <v>12</v>
      </c>
      <c r="C106" s="34">
        <v>2445</v>
      </c>
      <c r="D106" s="34">
        <v>26</v>
      </c>
      <c r="E106" s="34" t="s">
        <v>11</v>
      </c>
      <c r="F106" s="34" t="s">
        <v>9</v>
      </c>
      <c r="G106" s="39" t="s">
        <v>5</v>
      </c>
    </row>
    <row r="107" spans="1:7" x14ac:dyDescent="0.3">
      <c r="A107" s="34">
        <v>106</v>
      </c>
      <c r="B107" s="34">
        <v>24</v>
      </c>
      <c r="C107" s="34">
        <v>11938</v>
      </c>
      <c r="D107" s="34">
        <v>39</v>
      </c>
      <c r="E107" s="34" t="s">
        <v>3</v>
      </c>
      <c r="F107" s="34" t="s">
        <v>4</v>
      </c>
      <c r="G107" s="39" t="s">
        <v>7</v>
      </c>
    </row>
    <row r="108" spans="1:7" x14ac:dyDescent="0.3">
      <c r="A108" s="34">
        <v>107</v>
      </c>
      <c r="B108" s="34">
        <v>18</v>
      </c>
      <c r="C108" s="34">
        <v>6458</v>
      </c>
      <c r="D108" s="34">
        <v>39</v>
      </c>
      <c r="E108" s="34" t="s">
        <v>3</v>
      </c>
      <c r="F108" s="34" t="s">
        <v>4</v>
      </c>
      <c r="G108" s="39" t="s">
        <v>7</v>
      </c>
    </row>
    <row r="109" spans="1:7" x14ac:dyDescent="0.3">
      <c r="A109" s="34">
        <v>108</v>
      </c>
      <c r="B109" s="34">
        <v>12</v>
      </c>
      <c r="C109" s="34">
        <v>6078</v>
      </c>
      <c r="D109" s="34">
        <v>32</v>
      </c>
      <c r="E109" s="34" t="s">
        <v>3</v>
      </c>
      <c r="F109" s="34" t="s">
        <v>4</v>
      </c>
      <c r="G109" s="39" t="s">
        <v>5</v>
      </c>
    </row>
    <row r="110" spans="1:7" x14ac:dyDescent="0.3">
      <c r="A110" s="34">
        <v>109</v>
      </c>
      <c r="B110" s="34">
        <v>24</v>
      </c>
      <c r="C110" s="34">
        <v>7721</v>
      </c>
      <c r="D110" s="34">
        <v>30</v>
      </c>
      <c r="E110" s="34" t="s">
        <v>6</v>
      </c>
      <c r="F110" s="34" t="s">
        <v>4</v>
      </c>
      <c r="G110" s="39" t="s">
        <v>5</v>
      </c>
    </row>
    <row r="111" spans="1:7" x14ac:dyDescent="0.3">
      <c r="A111" s="34">
        <v>110</v>
      </c>
      <c r="B111" s="34">
        <v>14</v>
      </c>
      <c r="C111" s="34">
        <v>1410</v>
      </c>
      <c r="D111" s="34">
        <v>35</v>
      </c>
      <c r="E111" s="34" t="s">
        <v>11</v>
      </c>
      <c r="F111" s="34" t="s">
        <v>4</v>
      </c>
      <c r="G111" s="39" t="s">
        <v>5</v>
      </c>
    </row>
    <row r="112" spans="1:7" x14ac:dyDescent="0.3">
      <c r="A112" s="34">
        <v>111</v>
      </c>
      <c r="B112" s="34">
        <v>6</v>
      </c>
      <c r="C112" s="34">
        <v>1449</v>
      </c>
      <c r="D112" s="34">
        <v>31</v>
      </c>
      <c r="E112" s="34" t="s">
        <v>10</v>
      </c>
      <c r="F112" s="34" t="s">
        <v>4</v>
      </c>
      <c r="G112" s="39" t="s">
        <v>5</v>
      </c>
    </row>
    <row r="113" spans="1:7" x14ac:dyDescent="0.3">
      <c r="A113" s="34">
        <v>112</v>
      </c>
      <c r="B113" s="34">
        <v>15</v>
      </c>
      <c r="C113" s="34">
        <v>392</v>
      </c>
      <c r="D113" s="34">
        <v>23</v>
      </c>
      <c r="E113" s="34" t="s">
        <v>6</v>
      </c>
      <c r="F113" s="34" t="s">
        <v>9</v>
      </c>
      <c r="G113" s="39" t="s">
        <v>5</v>
      </c>
    </row>
    <row r="114" spans="1:7" x14ac:dyDescent="0.3">
      <c r="A114" s="34">
        <v>113</v>
      </c>
      <c r="B114" s="34">
        <v>18</v>
      </c>
      <c r="C114" s="34">
        <v>6260</v>
      </c>
      <c r="D114" s="34">
        <v>28</v>
      </c>
      <c r="E114" s="34" t="s">
        <v>3</v>
      </c>
      <c r="F114" s="34" t="s">
        <v>9</v>
      </c>
      <c r="G114" s="39" t="s">
        <v>5</v>
      </c>
    </row>
    <row r="115" spans="1:7" x14ac:dyDescent="0.3">
      <c r="A115" s="34">
        <v>114</v>
      </c>
      <c r="B115" s="34">
        <v>36</v>
      </c>
      <c r="C115" s="34">
        <v>7855</v>
      </c>
      <c r="D115" s="34">
        <v>25</v>
      </c>
      <c r="E115" s="34" t="s">
        <v>6</v>
      </c>
      <c r="F115" s="34" t="s">
        <v>4</v>
      </c>
      <c r="G115" s="39" t="s">
        <v>7</v>
      </c>
    </row>
    <row r="116" spans="1:7" x14ac:dyDescent="0.3">
      <c r="A116" s="34">
        <v>115</v>
      </c>
      <c r="B116" s="34">
        <v>12</v>
      </c>
      <c r="C116" s="34">
        <v>1680</v>
      </c>
      <c r="D116" s="34">
        <v>35</v>
      </c>
      <c r="E116" s="34" t="s">
        <v>11</v>
      </c>
      <c r="F116" s="34" t="s">
        <v>4</v>
      </c>
      <c r="G116" s="39" t="s">
        <v>5</v>
      </c>
    </row>
    <row r="117" spans="1:7" x14ac:dyDescent="0.3">
      <c r="A117" s="34">
        <v>116</v>
      </c>
      <c r="B117" s="34">
        <v>48</v>
      </c>
      <c r="C117" s="34">
        <v>3578</v>
      </c>
      <c r="D117" s="34">
        <v>47</v>
      </c>
      <c r="E117" s="34" t="s">
        <v>3</v>
      </c>
      <c r="F117" s="34" t="s">
        <v>4</v>
      </c>
      <c r="G117" s="39" t="s">
        <v>5</v>
      </c>
    </row>
    <row r="118" spans="1:7" x14ac:dyDescent="0.3">
      <c r="A118" s="34">
        <v>117</v>
      </c>
      <c r="B118" s="34">
        <v>42</v>
      </c>
      <c r="C118" s="34">
        <v>7174</v>
      </c>
      <c r="D118" s="34">
        <v>30</v>
      </c>
      <c r="E118" s="34" t="s">
        <v>6</v>
      </c>
      <c r="F118" s="34" t="s">
        <v>4</v>
      </c>
      <c r="G118" s="39" t="s">
        <v>7</v>
      </c>
    </row>
    <row r="119" spans="1:7" x14ac:dyDescent="0.3">
      <c r="A119" s="34">
        <v>118</v>
      </c>
      <c r="B119" s="34">
        <v>10</v>
      </c>
      <c r="C119" s="34">
        <v>2132</v>
      </c>
      <c r="D119" s="34">
        <v>27</v>
      </c>
      <c r="E119" s="34" t="s">
        <v>6</v>
      </c>
      <c r="F119" s="34" t="s">
        <v>9</v>
      </c>
      <c r="G119" s="39" t="s">
        <v>5</v>
      </c>
    </row>
    <row r="120" spans="1:7" x14ac:dyDescent="0.3">
      <c r="A120" s="34">
        <v>119</v>
      </c>
      <c r="B120" s="34">
        <v>33</v>
      </c>
      <c r="C120" s="34">
        <v>4281</v>
      </c>
      <c r="D120" s="34">
        <v>23</v>
      </c>
      <c r="E120" s="34" t="s">
        <v>6</v>
      </c>
      <c r="F120" s="34" t="s">
        <v>4</v>
      </c>
      <c r="G120" s="39" t="s">
        <v>7</v>
      </c>
    </row>
    <row r="121" spans="1:7" x14ac:dyDescent="0.3">
      <c r="A121" s="34">
        <v>120</v>
      </c>
      <c r="B121" s="34">
        <v>12</v>
      </c>
      <c r="C121" s="34">
        <v>2366</v>
      </c>
      <c r="D121" s="34">
        <v>36</v>
      </c>
      <c r="E121" s="34" t="s">
        <v>10</v>
      </c>
      <c r="F121" s="34" t="s">
        <v>4</v>
      </c>
      <c r="G121" s="39" t="s">
        <v>5</v>
      </c>
    </row>
    <row r="122" spans="1:7" x14ac:dyDescent="0.3">
      <c r="A122" s="34">
        <v>121</v>
      </c>
      <c r="B122" s="34">
        <v>21</v>
      </c>
      <c r="C122" s="34">
        <v>1835</v>
      </c>
      <c r="D122" s="34">
        <v>25</v>
      </c>
      <c r="E122" s="34" t="s">
        <v>6</v>
      </c>
      <c r="F122" s="34" t="s">
        <v>4</v>
      </c>
      <c r="G122" s="39" t="s">
        <v>7</v>
      </c>
    </row>
    <row r="123" spans="1:7" x14ac:dyDescent="0.3">
      <c r="A123" s="34">
        <v>122</v>
      </c>
      <c r="B123" s="34">
        <v>24</v>
      </c>
      <c r="C123" s="34">
        <v>3868</v>
      </c>
      <c r="D123" s="34">
        <v>41</v>
      </c>
      <c r="E123" s="34" t="s">
        <v>6</v>
      </c>
      <c r="F123" s="34" t="s">
        <v>9</v>
      </c>
      <c r="G123" s="39" t="s">
        <v>5</v>
      </c>
    </row>
    <row r="124" spans="1:7" x14ac:dyDescent="0.3">
      <c r="A124" s="34">
        <v>123</v>
      </c>
      <c r="B124" s="34">
        <v>12</v>
      </c>
      <c r="C124" s="34">
        <v>1768</v>
      </c>
      <c r="D124" s="34">
        <v>24</v>
      </c>
      <c r="E124" s="34" t="s">
        <v>3</v>
      </c>
      <c r="F124" s="34" t="s">
        <v>9</v>
      </c>
      <c r="G124" s="39" t="s">
        <v>5</v>
      </c>
    </row>
    <row r="125" spans="1:7" x14ac:dyDescent="0.3">
      <c r="A125" s="34">
        <v>124</v>
      </c>
      <c r="B125" s="34">
        <v>10</v>
      </c>
      <c r="C125" s="34">
        <v>781</v>
      </c>
      <c r="D125" s="34">
        <v>63</v>
      </c>
      <c r="E125" s="34" t="s">
        <v>3</v>
      </c>
      <c r="F125" s="34" t="s">
        <v>8</v>
      </c>
      <c r="G125" s="39" t="s">
        <v>5</v>
      </c>
    </row>
    <row r="126" spans="1:7" x14ac:dyDescent="0.3">
      <c r="A126" s="34">
        <v>125</v>
      </c>
      <c r="B126" s="34">
        <v>18</v>
      </c>
      <c r="C126" s="34">
        <v>1924</v>
      </c>
      <c r="D126" s="34">
        <v>27</v>
      </c>
      <c r="E126" s="34" t="s">
        <v>6</v>
      </c>
      <c r="F126" s="34" t="s">
        <v>9</v>
      </c>
      <c r="G126" s="39" t="s">
        <v>7</v>
      </c>
    </row>
    <row r="127" spans="1:7" x14ac:dyDescent="0.3">
      <c r="A127" s="34">
        <v>126</v>
      </c>
      <c r="B127" s="34">
        <v>12</v>
      </c>
      <c r="C127" s="34">
        <v>2121</v>
      </c>
      <c r="D127" s="34">
        <v>30</v>
      </c>
      <c r="E127" s="34" t="s">
        <v>3</v>
      </c>
      <c r="F127" s="34" t="s">
        <v>4</v>
      </c>
      <c r="G127" s="39" t="s">
        <v>5</v>
      </c>
    </row>
    <row r="128" spans="1:7" x14ac:dyDescent="0.3">
      <c r="A128" s="34">
        <v>127</v>
      </c>
      <c r="B128" s="34">
        <v>12</v>
      </c>
      <c r="C128" s="34">
        <v>701</v>
      </c>
      <c r="D128" s="34">
        <v>40</v>
      </c>
      <c r="E128" s="34" t="s">
        <v>11</v>
      </c>
      <c r="F128" s="34" t="s">
        <v>4</v>
      </c>
      <c r="G128" s="39" t="s">
        <v>5</v>
      </c>
    </row>
    <row r="129" spans="1:7" x14ac:dyDescent="0.3">
      <c r="A129" s="34">
        <v>128</v>
      </c>
      <c r="B129" s="34">
        <v>12</v>
      </c>
      <c r="C129" s="34">
        <v>639</v>
      </c>
      <c r="D129" s="34">
        <v>30</v>
      </c>
      <c r="E129" s="34" t="s">
        <v>3</v>
      </c>
      <c r="F129" s="34" t="s">
        <v>4</v>
      </c>
      <c r="G129" s="39" t="s">
        <v>7</v>
      </c>
    </row>
    <row r="130" spans="1:7" x14ac:dyDescent="0.3">
      <c r="A130" s="34">
        <v>129</v>
      </c>
      <c r="B130" s="34">
        <v>12</v>
      </c>
      <c r="C130" s="34">
        <v>1860</v>
      </c>
      <c r="D130" s="34">
        <v>34</v>
      </c>
      <c r="E130" s="34" t="s">
        <v>3</v>
      </c>
      <c r="F130" s="34" t="s">
        <v>4</v>
      </c>
      <c r="G130" s="39" t="s">
        <v>5</v>
      </c>
    </row>
    <row r="131" spans="1:7" x14ac:dyDescent="0.3">
      <c r="A131" s="34">
        <v>130</v>
      </c>
      <c r="B131" s="34">
        <v>12</v>
      </c>
      <c r="C131" s="34">
        <v>3499</v>
      </c>
      <c r="D131" s="34">
        <v>29</v>
      </c>
      <c r="E131" s="34" t="s">
        <v>6</v>
      </c>
      <c r="F131" s="34" t="s">
        <v>4</v>
      </c>
      <c r="G131" s="39" t="s">
        <v>7</v>
      </c>
    </row>
    <row r="132" spans="1:7" x14ac:dyDescent="0.3">
      <c r="A132" s="34">
        <v>131</v>
      </c>
      <c r="B132" s="34">
        <v>48</v>
      </c>
      <c r="C132" s="34">
        <v>8487</v>
      </c>
      <c r="D132" s="34">
        <v>24</v>
      </c>
      <c r="E132" s="34" t="s">
        <v>6</v>
      </c>
      <c r="F132" s="34" t="s">
        <v>4</v>
      </c>
      <c r="G132" s="39" t="s">
        <v>5</v>
      </c>
    </row>
    <row r="133" spans="1:7" x14ac:dyDescent="0.3">
      <c r="A133" s="34">
        <v>132</v>
      </c>
      <c r="B133" s="34">
        <v>36</v>
      </c>
      <c r="C133" s="34">
        <v>6887</v>
      </c>
      <c r="D133" s="34">
        <v>29</v>
      </c>
      <c r="E133" s="34" t="s">
        <v>3</v>
      </c>
      <c r="F133" s="34" t="s">
        <v>4</v>
      </c>
      <c r="G133" s="39" t="s">
        <v>7</v>
      </c>
    </row>
    <row r="134" spans="1:7" x14ac:dyDescent="0.3">
      <c r="A134" s="34">
        <v>133</v>
      </c>
      <c r="B134" s="34">
        <v>15</v>
      </c>
      <c r="C134" s="34">
        <v>2708</v>
      </c>
      <c r="D134" s="34">
        <v>27</v>
      </c>
      <c r="E134" s="34" t="s">
        <v>3</v>
      </c>
      <c r="F134" s="34" t="s">
        <v>4</v>
      </c>
      <c r="G134" s="39" t="s">
        <v>5</v>
      </c>
    </row>
    <row r="135" spans="1:7" x14ac:dyDescent="0.3">
      <c r="A135" s="34">
        <v>134</v>
      </c>
      <c r="B135" s="34">
        <v>18</v>
      </c>
      <c r="C135" s="34">
        <v>1984</v>
      </c>
      <c r="D135" s="34">
        <v>47</v>
      </c>
      <c r="E135" s="34" t="s">
        <v>3</v>
      </c>
      <c r="F135" s="34" t="s">
        <v>8</v>
      </c>
      <c r="G135" s="39" t="s">
        <v>5</v>
      </c>
    </row>
    <row r="136" spans="1:7" x14ac:dyDescent="0.3">
      <c r="A136" s="34">
        <v>135</v>
      </c>
      <c r="B136" s="34">
        <v>60</v>
      </c>
      <c r="C136" s="34">
        <v>10144</v>
      </c>
      <c r="D136" s="34">
        <v>21</v>
      </c>
      <c r="E136" s="34" t="s">
        <v>6</v>
      </c>
      <c r="F136" s="34" t="s">
        <v>4</v>
      </c>
      <c r="G136" s="39" t="s">
        <v>5</v>
      </c>
    </row>
    <row r="137" spans="1:7" x14ac:dyDescent="0.3">
      <c r="A137" s="34">
        <v>136</v>
      </c>
      <c r="B137" s="34">
        <v>12</v>
      </c>
      <c r="C137" s="34">
        <v>1240</v>
      </c>
      <c r="D137" s="34">
        <v>38</v>
      </c>
      <c r="E137" s="34" t="s">
        <v>6</v>
      </c>
      <c r="F137" s="34" t="s">
        <v>4</v>
      </c>
      <c r="G137" s="39" t="s">
        <v>5</v>
      </c>
    </row>
    <row r="138" spans="1:7" x14ac:dyDescent="0.3">
      <c r="A138" s="34">
        <v>137</v>
      </c>
      <c r="B138" s="34">
        <v>27</v>
      </c>
      <c r="C138" s="34">
        <v>8613</v>
      </c>
      <c r="D138" s="34">
        <v>27</v>
      </c>
      <c r="E138" s="34" t="s">
        <v>3</v>
      </c>
      <c r="F138" s="34" t="s">
        <v>4</v>
      </c>
      <c r="G138" s="39" t="s">
        <v>5</v>
      </c>
    </row>
    <row r="139" spans="1:7" x14ac:dyDescent="0.3">
      <c r="A139" s="34">
        <v>138</v>
      </c>
      <c r="B139" s="34">
        <v>12</v>
      </c>
      <c r="C139" s="34">
        <v>766</v>
      </c>
      <c r="D139" s="34">
        <v>66</v>
      </c>
      <c r="E139" s="34" t="s">
        <v>3</v>
      </c>
      <c r="F139" s="34" t="s">
        <v>4</v>
      </c>
      <c r="G139" s="39" t="s">
        <v>7</v>
      </c>
    </row>
    <row r="140" spans="1:7" x14ac:dyDescent="0.3">
      <c r="A140" s="34">
        <v>139</v>
      </c>
      <c r="B140" s="34">
        <v>15</v>
      </c>
      <c r="C140" s="34">
        <v>2728</v>
      </c>
      <c r="D140" s="34">
        <v>35</v>
      </c>
      <c r="E140" s="34" t="s">
        <v>3</v>
      </c>
      <c r="F140" s="34" t="s">
        <v>4</v>
      </c>
      <c r="G140" s="39" t="s">
        <v>5</v>
      </c>
    </row>
    <row r="141" spans="1:7" x14ac:dyDescent="0.3">
      <c r="A141" s="34">
        <v>140</v>
      </c>
      <c r="B141" s="34">
        <v>12</v>
      </c>
      <c r="C141" s="34">
        <v>1881</v>
      </c>
      <c r="D141" s="34">
        <v>44</v>
      </c>
      <c r="E141" s="34" t="s">
        <v>6</v>
      </c>
      <c r="F141" s="34" t="s">
        <v>9</v>
      </c>
      <c r="G141" s="39" t="s">
        <v>5</v>
      </c>
    </row>
    <row r="142" spans="1:7" x14ac:dyDescent="0.3">
      <c r="A142" s="34">
        <v>141</v>
      </c>
      <c r="B142" s="34">
        <v>6</v>
      </c>
      <c r="C142" s="34">
        <v>709</v>
      </c>
      <c r="D142" s="34">
        <v>27</v>
      </c>
      <c r="E142" s="34" t="s">
        <v>11</v>
      </c>
      <c r="F142" s="34" t="s">
        <v>4</v>
      </c>
      <c r="G142" s="39" t="s">
        <v>5</v>
      </c>
    </row>
    <row r="143" spans="1:7" x14ac:dyDescent="0.3">
      <c r="A143" s="34">
        <v>142</v>
      </c>
      <c r="B143" s="34">
        <v>36</v>
      </c>
      <c r="C143" s="34">
        <v>4795</v>
      </c>
      <c r="D143" s="34">
        <v>30</v>
      </c>
      <c r="E143" s="34" t="s">
        <v>6</v>
      </c>
      <c r="F143" s="34" t="s">
        <v>4</v>
      </c>
      <c r="G143" s="39" t="s">
        <v>5</v>
      </c>
    </row>
    <row r="144" spans="1:7" x14ac:dyDescent="0.3">
      <c r="A144" s="34">
        <v>143</v>
      </c>
      <c r="B144" s="34">
        <v>27</v>
      </c>
      <c r="C144" s="34">
        <v>3416</v>
      </c>
      <c r="D144" s="34">
        <v>27</v>
      </c>
      <c r="E144" s="34" t="s">
        <v>3</v>
      </c>
      <c r="F144" s="34" t="s">
        <v>4</v>
      </c>
      <c r="G144" s="39" t="s">
        <v>5</v>
      </c>
    </row>
    <row r="145" spans="1:7" x14ac:dyDescent="0.3">
      <c r="A145" s="34">
        <v>144</v>
      </c>
      <c r="B145" s="34">
        <v>18</v>
      </c>
      <c r="C145" s="34">
        <v>2462</v>
      </c>
      <c r="D145" s="34">
        <v>22</v>
      </c>
      <c r="E145" s="34" t="s">
        <v>3</v>
      </c>
      <c r="F145" s="34" t="s">
        <v>4</v>
      </c>
      <c r="G145" s="39" t="s">
        <v>7</v>
      </c>
    </row>
    <row r="146" spans="1:7" x14ac:dyDescent="0.3">
      <c r="A146" s="34">
        <v>145</v>
      </c>
      <c r="B146" s="34">
        <v>21</v>
      </c>
      <c r="C146" s="34">
        <v>2288</v>
      </c>
      <c r="D146" s="34">
        <v>23</v>
      </c>
      <c r="E146" s="34" t="s">
        <v>6</v>
      </c>
      <c r="F146" s="34" t="s">
        <v>4</v>
      </c>
      <c r="G146" s="39" t="s">
        <v>5</v>
      </c>
    </row>
    <row r="147" spans="1:7" x14ac:dyDescent="0.3">
      <c r="A147" s="34">
        <v>146</v>
      </c>
      <c r="B147" s="34">
        <v>48</v>
      </c>
      <c r="C147" s="34">
        <v>3566</v>
      </c>
      <c r="D147" s="34">
        <v>30</v>
      </c>
      <c r="E147" s="34" t="s">
        <v>3</v>
      </c>
      <c r="F147" s="34" t="s">
        <v>4</v>
      </c>
      <c r="G147" s="39" t="s">
        <v>5</v>
      </c>
    </row>
    <row r="148" spans="1:7" x14ac:dyDescent="0.3">
      <c r="A148" s="34">
        <v>147</v>
      </c>
      <c r="B148" s="34">
        <v>6</v>
      </c>
      <c r="C148" s="34">
        <v>860</v>
      </c>
      <c r="D148" s="34">
        <v>39</v>
      </c>
      <c r="E148" s="34" t="s">
        <v>6</v>
      </c>
      <c r="F148" s="34" t="s">
        <v>4</v>
      </c>
      <c r="G148" s="39" t="s">
        <v>5</v>
      </c>
    </row>
    <row r="149" spans="1:7" x14ac:dyDescent="0.3">
      <c r="A149" s="34">
        <v>148</v>
      </c>
      <c r="B149" s="34">
        <v>12</v>
      </c>
      <c r="C149" s="34">
        <v>682</v>
      </c>
      <c r="D149" s="34">
        <v>51</v>
      </c>
      <c r="E149" s="34" t="s">
        <v>6</v>
      </c>
      <c r="F149" s="34" t="s">
        <v>4</v>
      </c>
      <c r="G149" s="39" t="s">
        <v>5</v>
      </c>
    </row>
    <row r="150" spans="1:7" x14ac:dyDescent="0.3">
      <c r="A150" s="34">
        <v>149</v>
      </c>
      <c r="B150" s="34">
        <v>36</v>
      </c>
      <c r="C150" s="34">
        <v>5371</v>
      </c>
      <c r="D150" s="34">
        <v>28</v>
      </c>
      <c r="E150" s="34" t="s">
        <v>3</v>
      </c>
      <c r="F150" s="34" t="s">
        <v>4</v>
      </c>
      <c r="G150" s="39" t="s">
        <v>5</v>
      </c>
    </row>
    <row r="151" spans="1:7" x14ac:dyDescent="0.3">
      <c r="A151" s="34">
        <v>150</v>
      </c>
      <c r="B151" s="34">
        <v>18</v>
      </c>
      <c r="C151" s="34">
        <v>1582</v>
      </c>
      <c r="D151" s="34">
        <v>46</v>
      </c>
      <c r="E151" s="34" t="s">
        <v>3</v>
      </c>
      <c r="F151" s="34" t="s">
        <v>4</v>
      </c>
      <c r="G151" s="39" t="s">
        <v>5</v>
      </c>
    </row>
    <row r="152" spans="1:7" x14ac:dyDescent="0.3">
      <c r="A152" s="34">
        <v>151</v>
      </c>
      <c r="B152" s="34">
        <v>6</v>
      </c>
      <c r="C152" s="34">
        <v>1346</v>
      </c>
      <c r="D152" s="34">
        <v>42</v>
      </c>
      <c r="E152" s="34" t="s">
        <v>3</v>
      </c>
      <c r="F152" s="34" t="s">
        <v>8</v>
      </c>
      <c r="G152" s="39" t="s">
        <v>5</v>
      </c>
    </row>
    <row r="153" spans="1:7" x14ac:dyDescent="0.3">
      <c r="A153" s="34">
        <v>152</v>
      </c>
      <c r="B153" s="34">
        <v>10</v>
      </c>
      <c r="C153" s="34">
        <v>1924</v>
      </c>
      <c r="D153" s="34">
        <v>38</v>
      </c>
      <c r="E153" s="34" t="s">
        <v>3</v>
      </c>
      <c r="F153" s="34" t="s">
        <v>4</v>
      </c>
      <c r="G153" s="39" t="s">
        <v>5</v>
      </c>
    </row>
    <row r="154" spans="1:7" x14ac:dyDescent="0.3">
      <c r="A154" s="34">
        <v>153</v>
      </c>
      <c r="B154" s="34">
        <v>36</v>
      </c>
      <c r="C154" s="34">
        <v>5848</v>
      </c>
      <c r="D154" s="34">
        <v>24</v>
      </c>
      <c r="E154" s="34" t="s">
        <v>3</v>
      </c>
      <c r="F154" s="34" t="s">
        <v>4</v>
      </c>
      <c r="G154" s="39" t="s">
        <v>5</v>
      </c>
    </row>
    <row r="155" spans="1:7" x14ac:dyDescent="0.3">
      <c r="A155" s="34">
        <v>154</v>
      </c>
      <c r="B155" s="34">
        <v>24</v>
      </c>
      <c r="C155" s="34">
        <v>7758</v>
      </c>
      <c r="D155" s="34">
        <v>29</v>
      </c>
      <c r="E155" s="34" t="s">
        <v>6</v>
      </c>
      <c r="F155" s="34" t="s">
        <v>9</v>
      </c>
      <c r="G155" s="39" t="s">
        <v>5</v>
      </c>
    </row>
    <row r="156" spans="1:7" x14ac:dyDescent="0.3">
      <c r="A156" s="34">
        <v>155</v>
      </c>
      <c r="B156" s="34">
        <v>24</v>
      </c>
      <c r="C156" s="34">
        <v>6967</v>
      </c>
      <c r="D156" s="34">
        <v>36</v>
      </c>
      <c r="E156" s="34" t="s">
        <v>3</v>
      </c>
      <c r="F156" s="34" t="s">
        <v>9</v>
      </c>
      <c r="G156" s="39" t="s">
        <v>5</v>
      </c>
    </row>
    <row r="157" spans="1:7" x14ac:dyDescent="0.3">
      <c r="A157" s="34">
        <v>156</v>
      </c>
      <c r="B157" s="34">
        <v>12</v>
      </c>
      <c r="C157" s="34">
        <v>1282</v>
      </c>
      <c r="D157" s="34">
        <v>20</v>
      </c>
      <c r="E157" s="34" t="s">
        <v>6</v>
      </c>
      <c r="F157" s="34" t="s">
        <v>9</v>
      </c>
      <c r="G157" s="39" t="s">
        <v>7</v>
      </c>
    </row>
    <row r="158" spans="1:7" x14ac:dyDescent="0.3">
      <c r="A158" s="34">
        <v>157</v>
      </c>
      <c r="B158" s="34">
        <v>9</v>
      </c>
      <c r="C158" s="34">
        <v>1288</v>
      </c>
      <c r="D158" s="34">
        <v>48</v>
      </c>
      <c r="E158" s="34" t="s">
        <v>3</v>
      </c>
      <c r="F158" s="34" t="s">
        <v>4</v>
      </c>
      <c r="G158" s="39" t="s">
        <v>5</v>
      </c>
    </row>
    <row r="159" spans="1:7" x14ac:dyDescent="0.3">
      <c r="A159" s="34">
        <v>158</v>
      </c>
      <c r="B159" s="34">
        <v>12</v>
      </c>
      <c r="C159" s="34">
        <v>339</v>
      </c>
      <c r="D159" s="34">
        <v>45</v>
      </c>
      <c r="E159" s="34" t="s">
        <v>11</v>
      </c>
      <c r="F159" s="34" t="s">
        <v>4</v>
      </c>
      <c r="G159" s="39" t="s">
        <v>5</v>
      </c>
    </row>
    <row r="160" spans="1:7" x14ac:dyDescent="0.3">
      <c r="A160" s="34">
        <v>159</v>
      </c>
      <c r="B160" s="34">
        <v>24</v>
      </c>
      <c r="C160" s="34">
        <v>3512</v>
      </c>
      <c r="D160" s="34">
        <v>38</v>
      </c>
      <c r="E160" s="34" t="s">
        <v>3</v>
      </c>
      <c r="F160" s="34" t="s">
        <v>4</v>
      </c>
      <c r="G160" s="39" t="s">
        <v>5</v>
      </c>
    </row>
    <row r="161" spans="1:7" x14ac:dyDescent="0.3">
      <c r="A161" s="34">
        <v>160</v>
      </c>
      <c r="B161" s="34">
        <v>6</v>
      </c>
      <c r="C161" s="34">
        <v>1898</v>
      </c>
      <c r="D161" s="34">
        <v>34</v>
      </c>
      <c r="E161" s="34" t="s">
        <v>3</v>
      </c>
      <c r="F161" s="34" t="s">
        <v>4</v>
      </c>
      <c r="G161" s="39" t="s">
        <v>5</v>
      </c>
    </row>
    <row r="162" spans="1:7" x14ac:dyDescent="0.3">
      <c r="A162" s="34">
        <v>161</v>
      </c>
      <c r="B162" s="34">
        <v>24</v>
      </c>
      <c r="C162" s="34">
        <v>2872</v>
      </c>
      <c r="D162" s="34">
        <v>36</v>
      </c>
      <c r="E162" s="34" t="s">
        <v>3</v>
      </c>
      <c r="F162" s="34" t="s">
        <v>4</v>
      </c>
      <c r="G162" s="39" t="s">
        <v>5</v>
      </c>
    </row>
    <row r="163" spans="1:7" x14ac:dyDescent="0.3">
      <c r="A163" s="34">
        <v>162</v>
      </c>
      <c r="B163" s="34">
        <v>18</v>
      </c>
      <c r="C163" s="34">
        <v>1055</v>
      </c>
      <c r="D163" s="34">
        <v>30</v>
      </c>
      <c r="E163" s="34" t="s">
        <v>6</v>
      </c>
      <c r="F163" s="34" t="s">
        <v>4</v>
      </c>
      <c r="G163" s="39" t="s">
        <v>5</v>
      </c>
    </row>
    <row r="164" spans="1:7" x14ac:dyDescent="0.3">
      <c r="A164" s="34">
        <v>163</v>
      </c>
      <c r="B164" s="34">
        <v>15</v>
      </c>
      <c r="C164" s="34">
        <v>1262</v>
      </c>
      <c r="D164" s="34">
        <v>36</v>
      </c>
      <c r="E164" s="34" t="s">
        <v>3</v>
      </c>
      <c r="F164" s="34" t="s">
        <v>4</v>
      </c>
      <c r="G164" s="39" t="s">
        <v>5</v>
      </c>
    </row>
    <row r="165" spans="1:7" x14ac:dyDescent="0.3">
      <c r="A165" s="34">
        <v>164</v>
      </c>
      <c r="B165" s="34">
        <v>10</v>
      </c>
      <c r="C165" s="34">
        <v>7308</v>
      </c>
      <c r="D165" s="34">
        <v>70</v>
      </c>
      <c r="E165" s="34" t="s">
        <v>3</v>
      </c>
      <c r="F165" s="34" t="s">
        <v>8</v>
      </c>
      <c r="G165" s="39" t="s">
        <v>5</v>
      </c>
    </row>
    <row r="166" spans="1:7" x14ac:dyDescent="0.3">
      <c r="A166" s="34">
        <v>165</v>
      </c>
      <c r="B166" s="34">
        <v>36</v>
      </c>
      <c r="C166" s="34">
        <v>909</v>
      </c>
      <c r="D166" s="34">
        <v>36</v>
      </c>
      <c r="E166" s="34" t="s">
        <v>3</v>
      </c>
      <c r="F166" s="34" t="s">
        <v>4</v>
      </c>
      <c r="G166" s="39" t="s">
        <v>5</v>
      </c>
    </row>
    <row r="167" spans="1:7" x14ac:dyDescent="0.3">
      <c r="A167" s="34">
        <v>166</v>
      </c>
      <c r="B167" s="34">
        <v>6</v>
      </c>
      <c r="C167" s="34">
        <v>2978</v>
      </c>
      <c r="D167" s="34">
        <v>32</v>
      </c>
      <c r="E167" s="34" t="s">
        <v>3</v>
      </c>
      <c r="F167" s="34" t="s">
        <v>4</v>
      </c>
      <c r="G167" s="39" t="s">
        <v>5</v>
      </c>
    </row>
    <row r="168" spans="1:7" x14ac:dyDescent="0.3">
      <c r="A168" s="34">
        <v>167</v>
      </c>
      <c r="B168" s="34">
        <v>18</v>
      </c>
      <c r="C168" s="34">
        <v>1131</v>
      </c>
      <c r="D168" s="34">
        <v>33</v>
      </c>
      <c r="E168" s="34" t="s">
        <v>6</v>
      </c>
      <c r="F168" s="34" t="s">
        <v>4</v>
      </c>
      <c r="G168" s="39" t="s">
        <v>7</v>
      </c>
    </row>
    <row r="169" spans="1:7" x14ac:dyDescent="0.3">
      <c r="A169" s="34">
        <v>168</v>
      </c>
      <c r="B169" s="34">
        <v>11</v>
      </c>
      <c r="C169" s="34">
        <v>1577</v>
      </c>
      <c r="D169" s="34">
        <v>20</v>
      </c>
      <c r="E169" s="34" t="s">
        <v>6</v>
      </c>
      <c r="F169" s="34" t="s">
        <v>4</v>
      </c>
      <c r="G169" s="39" t="s">
        <v>5</v>
      </c>
    </row>
    <row r="170" spans="1:7" x14ac:dyDescent="0.3">
      <c r="A170" s="34">
        <v>169</v>
      </c>
      <c r="B170" s="34">
        <v>24</v>
      </c>
      <c r="C170" s="34">
        <v>3972</v>
      </c>
      <c r="D170" s="34">
        <v>25</v>
      </c>
      <c r="E170" s="34" t="s">
        <v>6</v>
      </c>
      <c r="F170" s="34" t="s">
        <v>9</v>
      </c>
      <c r="G170" s="39" t="s">
        <v>5</v>
      </c>
    </row>
    <row r="171" spans="1:7" x14ac:dyDescent="0.3">
      <c r="A171" s="34">
        <v>170</v>
      </c>
      <c r="B171" s="34">
        <v>24</v>
      </c>
      <c r="C171" s="34">
        <v>1935</v>
      </c>
      <c r="D171" s="34">
        <v>31</v>
      </c>
      <c r="E171" s="34" t="s">
        <v>10</v>
      </c>
      <c r="F171" s="34" t="s">
        <v>4</v>
      </c>
      <c r="G171" s="39" t="s">
        <v>7</v>
      </c>
    </row>
    <row r="172" spans="1:7" x14ac:dyDescent="0.3">
      <c r="A172" s="34">
        <v>171</v>
      </c>
      <c r="B172" s="34">
        <v>15</v>
      </c>
      <c r="C172" s="34">
        <v>950</v>
      </c>
      <c r="D172" s="34">
        <v>33</v>
      </c>
      <c r="E172" s="34" t="s">
        <v>3</v>
      </c>
      <c r="F172" s="34" t="s">
        <v>9</v>
      </c>
      <c r="G172" s="39" t="s">
        <v>7</v>
      </c>
    </row>
    <row r="173" spans="1:7" x14ac:dyDescent="0.3">
      <c r="A173" s="34">
        <v>172</v>
      </c>
      <c r="B173" s="34">
        <v>12</v>
      </c>
      <c r="C173" s="34">
        <v>763</v>
      </c>
      <c r="D173" s="34">
        <v>26</v>
      </c>
      <c r="E173" s="34" t="s">
        <v>6</v>
      </c>
      <c r="F173" s="34" t="s">
        <v>4</v>
      </c>
      <c r="G173" s="39" t="s">
        <v>5</v>
      </c>
    </row>
    <row r="174" spans="1:7" x14ac:dyDescent="0.3">
      <c r="A174" s="34">
        <v>173</v>
      </c>
      <c r="B174" s="34">
        <v>24</v>
      </c>
      <c r="C174" s="34">
        <v>2064</v>
      </c>
      <c r="D174" s="34">
        <v>34</v>
      </c>
      <c r="E174" s="34" t="s">
        <v>6</v>
      </c>
      <c r="F174" s="34" t="s">
        <v>4</v>
      </c>
      <c r="G174" s="39" t="s">
        <v>7</v>
      </c>
    </row>
    <row r="175" spans="1:7" x14ac:dyDescent="0.3">
      <c r="A175" s="34">
        <v>174</v>
      </c>
      <c r="B175" s="34">
        <v>8</v>
      </c>
      <c r="C175" s="34">
        <v>1414</v>
      </c>
      <c r="D175" s="34">
        <v>33</v>
      </c>
      <c r="E175" s="34" t="s">
        <v>3</v>
      </c>
      <c r="F175" s="34" t="s">
        <v>4</v>
      </c>
      <c r="G175" s="39" t="s">
        <v>5</v>
      </c>
    </row>
    <row r="176" spans="1:7" x14ac:dyDescent="0.3">
      <c r="A176" s="34">
        <v>175</v>
      </c>
      <c r="B176" s="34">
        <v>21</v>
      </c>
      <c r="C176" s="34">
        <v>3414</v>
      </c>
      <c r="D176" s="34">
        <v>26</v>
      </c>
      <c r="E176" s="34" t="s">
        <v>3</v>
      </c>
      <c r="F176" s="34" t="s">
        <v>4</v>
      </c>
      <c r="G176" s="39" t="s">
        <v>7</v>
      </c>
    </row>
    <row r="177" spans="1:7" x14ac:dyDescent="0.3">
      <c r="A177" s="34">
        <v>176</v>
      </c>
      <c r="B177" s="34">
        <v>30</v>
      </c>
      <c r="C177" s="34">
        <v>7485</v>
      </c>
      <c r="D177" s="34">
        <v>53</v>
      </c>
      <c r="E177" s="34" t="s">
        <v>6</v>
      </c>
      <c r="F177" s="34" t="s">
        <v>4</v>
      </c>
      <c r="G177" s="39" t="s">
        <v>7</v>
      </c>
    </row>
    <row r="178" spans="1:7" x14ac:dyDescent="0.3">
      <c r="A178" s="34">
        <v>177</v>
      </c>
      <c r="B178" s="34">
        <v>12</v>
      </c>
      <c r="C178" s="34">
        <v>2577</v>
      </c>
      <c r="D178" s="34">
        <v>42</v>
      </c>
      <c r="E178" s="34" t="s">
        <v>10</v>
      </c>
      <c r="F178" s="34" t="s">
        <v>4</v>
      </c>
      <c r="G178" s="39" t="s">
        <v>5</v>
      </c>
    </row>
    <row r="179" spans="1:7" x14ac:dyDescent="0.3">
      <c r="A179" s="34">
        <v>178</v>
      </c>
      <c r="B179" s="34">
        <v>6</v>
      </c>
      <c r="C179" s="34">
        <v>338</v>
      </c>
      <c r="D179" s="34">
        <v>52</v>
      </c>
      <c r="E179" s="34" t="s">
        <v>3</v>
      </c>
      <c r="F179" s="34" t="s">
        <v>4</v>
      </c>
      <c r="G179" s="39" t="s">
        <v>5</v>
      </c>
    </row>
    <row r="180" spans="1:7" x14ac:dyDescent="0.3">
      <c r="A180" s="34">
        <v>179</v>
      </c>
      <c r="B180" s="34">
        <v>12</v>
      </c>
      <c r="C180" s="34">
        <v>1963</v>
      </c>
      <c r="D180" s="34">
        <v>31</v>
      </c>
      <c r="E180" s="34" t="s">
        <v>3</v>
      </c>
      <c r="F180" s="34" t="s">
        <v>9</v>
      </c>
      <c r="G180" s="39" t="s">
        <v>5</v>
      </c>
    </row>
    <row r="181" spans="1:7" x14ac:dyDescent="0.3">
      <c r="A181" s="34">
        <v>180</v>
      </c>
      <c r="B181" s="34">
        <v>21</v>
      </c>
      <c r="C181" s="34">
        <v>571</v>
      </c>
      <c r="D181" s="34">
        <v>65</v>
      </c>
      <c r="E181" s="34" t="s">
        <v>3</v>
      </c>
      <c r="F181" s="34" t="s">
        <v>4</v>
      </c>
      <c r="G181" s="39" t="s">
        <v>5</v>
      </c>
    </row>
    <row r="182" spans="1:7" x14ac:dyDescent="0.3">
      <c r="A182" s="34">
        <v>181</v>
      </c>
      <c r="B182" s="34">
        <v>36</v>
      </c>
      <c r="C182" s="34">
        <v>9572</v>
      </c>
      <c r="D182" s="34">
        <v>28</v>
      </c>
      <c r="E182" s="34" t="s">
        <v>10</v>
      </c>
      <c r="F182" s="34" t="s">
        <v>4</v>
      </c>
      <c r="G182" s="39" t="s">
        <v>7</v>
      </c>
    </row>
    <row r="183" spans="1:7" x14ac:dyDescent="0.3">
      <c r="A183" s="34">
        <v>182</v>
      </c>
      <c r="B183" s="34">
        <v>36</v>
      </c>
      <c r="C183" s="34">
        <v>4455</v>
      </c>
      <c r="D183" s="34">
        <v>30</v>
      </c>
      <c r="E183" s="34" t="s">
        <v>10</v>
      </c>
      <c r="F183" s="34" t="s">
        <v>4</v>
      </c>
      <c r="G183" s="39" t="s">
        <v>7</v>
      </c>
    </row>
    <row r="184" spans="1:7" x14ac:dyDescent="0.3">
      <c r="A184" s="34">
        <v>183</v>
      </c>
      <c r="B184" s="34">
        <v>21</v>
      </c>
      <c r="C184" s="34">
        <v>1647</v>
      </c>
      <c r="D184" s="34">
        <v>40</v>
      </c>
      <c r="E184" s="34" t="s">
        <v>3</v>
      </c>
      <c r="F184" s="34" t="s">
        <v>4</v>
      </c>
      <c r="G184" s="39" t="s">
        <v>7</v>
      </c>
    </row>
    <row r="185" spans="1:7" x14ac:dyDescent="0.3">
      <c r="A185" s="34">
        <v>184</v>
      </c>
      <c r="B185" s="34">
        <v>24</v>
      </c>
      <c r="C185" s="34">
        <v>3777</v>
      </c>
      <c r="D185" s="34">
        <v>50</v>
      </c>
      <c r="E185" s="34" t="s">
        <v>3</v>
      </c>
      <c r="F185" s="34" t="s">
        <v>4</v>
      </c>
      <c r="G185" s="39" t="s">
        <v>5</v>
      </c>
    </row>
    <row r="186" spans="1:7" x14ac:dyDescent="0.3">
      <c r="A186" s="34">
        <v>185</v>
      </c>
      <c r="B186" s="34">
        <v>18</v>
      </c>
      <c r="C186" s="34">
        <v>884</v>
      </c>
      <c r="D186" s="34">
        <v>36</v>
      </c>
      <c r="E186" s="34" t="s">
        <v>3</v>
      </c>
      <c r="F186" s="34" t="s">
        <v>4</v>
      </c>
      <c r="G186" s="39" t="s">
        <v>7</v>
      </c>
    </row>
    <row r="187" spans="1:7" x14ac:dyDescent="0.3">
      <c r="A187" s="34">
        <v>186</v>
      </c>
      <c r="B187" s="34">
        <v>15</v>
      </c>
      <c r="C187" s="34">
        <v>1360</v>
      </c>
      <c r="D187" s="34">
        <v>31</v>
      </c>
      <c r="E187" s="34" t="s">
        <v>3</v>
      </c>
      <c r="F187" s="34" t="s">
        <v>4</v>
      </c>
      <c r="G187" s="39" t="s">
        <v>5</v>
      </c>
    </row>
    <row r="188" spans="1:7" x14ac:dyDescent="0.3">
      <c r="A188" s="34">
        <v>187</v>
      </c>
      <c r="B188" s="34">
        <v>9</v>
      </c>
      <c r="C188" s="34">
        <v>5129</v>
      </c>
      <c r="D188" s="34">
        <v>74</v>
      </c>
      <c r="E188" s="34" t="s">
        <v>6</v>
      </c>
      <c r="F188" s="34" t="s">
        <v>8</v>
      </c>
      <c r="G188" s="39" t="s">
        <v>7</v>
      </c>
    </row>
    <row r="189" spans="1:7" x14ac:dyDescent="0.3">
      <c r="A189" s="34">
        <v>188</v>
      </c>
      <c r="B189" s="34">
        <v>16</v>
      </c>
      <c r="C189" s="34">
        <v>1175</v>
      </c>
      <c r="D189" s="34">
        <v>68</v>
      </c>
      <c r="E189" s="34" t="s">
        <v>3</v>
      </c>
      <c r="F189" s="34" t="s">
        <v>8</v>
      </c>
      <c r="G189" s="39" t="s">
        <v>5</v>
      </c>
    </row>
    <row r="190" spans="1:7" x14ac:dyDescent="0.3">
      <c r="A190" s="34">
        <v>189</v>
      </c>
      <c r="B190" s="34">
        <v>12</v>
      </c>
      <c r="C190" s="34">
        <v>674</v>
      </c>
      <c r="D190" s="34">
        <v>20</v>
      </c>
      <c r="E190" s="34" t="s">
        <v>11</v>
      </c>
      <c r="F190" s="34" t="s">
        <v>4</v>
      </c>
      <c r="G190" s="39" t="s">
        <v>7</v>
      </c>
    </row>
    <row r="191" spans="1:7" x14ac:dyDescent="0.3">
      <c r="A191" s="34">
        <v>190</v>
      </c>
      <c r="B191" s="34">
        <v>18</v>
      </c>
      <c r="C191" s="34">
        <v>3244</v>
      </c>
      <c r="D191" s="34">
        <v>33</v>
      </c>
      <c r="E191" s="34" t="s">
        <v>6</v>
      </c>
      <c r="F191" s="34" t="s">
        <v>4</v>
      </c>
      <c r="G191" s="39" t="s">
        <v>5</v>
      </c>
    </row>
    <row r="192" spans="1:7" x14ac:dyDescent="0.3">
      <c r="A192" s="34">
        <v>191</v>
      </c>
      <c r="B192" s="34">
        <v>24</v>
      </c>
      <c r="C192" s="34">
        <v>4591</v>
      </c>
      <c r="D192" s="34">
        <v>54</v>
      </c>
      <c r="E192" s="34" t="s">
        <v>3</v>
      </c>
      <c r="F192" s="34" t="s">
        <v>4</v>
      </c>
      <c r="G192" s="39" t="s">
        <v>7</v>
      </c>
    </row>
    <row r="193" spans="1:7" x14ac:dyDescent="0.3">
      <c r="A193" s="34">
        <v>192</v>
      </c>
      <c r="B193" s="34">
        <v>48</v>
      </c>
      <c r="C193" s="34">
        <v>3844</v>
      </c>
      <c r="D193" s="34">
        <v>34</v>
      </c>
      <c r="E193" s="34" t="s">
        <v>3</v>
      </c>
      <c r="F193" s="34" t="s">
        <v>8</v>
      </c>
      <c r="G193" s="39" t="s">
        <v>7</v>
      </c>
    </row>
    <row r="194" spans="1:7" x14ac:dyDescent="0.3">
      <c r="A194" s="34">
        <v>193</v>
      </c>
      <c r="B194" s="34">
        <v>27</v>
      </c>
      <c r="C194" s="34">
        <v>3915</v>
      </c>
      <c r="D194" s="34">
        <v>36</v>
      </c>
      <c r="E194" s="34" t="s">
        <v>3</v>
      </c>
      <c r="F194" s="34" t="s">
        <v>4</v>
      </c>
      <c r="G194" s="39" t="s">
        <v>7</v>
      </c>
    </row>
    <row r="195" spans="1:7" x14ac:dyDescent="0.3">
      <c r="A195" s="34">
        <v>194</v>
      </c>
      <c r="B195" s="34">
        <v>6</v>
      </c>
      <c r="C195" s="34">
        <v>2108</v>
      </c>
      <c r="D195" s="34">
        <v>29</v>
      </c>
      <c r="E195" s="34" t="s">
        <v>11</v>
      </c>
      <c r="F195" s="34" t="s">
        <v>9</v>
      </c>
      <c r="G195" s="39" t="s">
        <v>5</v>
      </c>
    </row>
    <row r="196" spans="1:7" x14ac:dyDescent="0.3">
      <c r="A196" s="34">
        <v>195</v>
      </c>
      <c r="B196" s="34">
        <v>45</v>
      </c>
      <c r="C196" s="34">
        <v>3031</v>
      </c>
      <c r="D196" s="34">
        <v>21</v>
      </c>
      <c r="E196" s="34" t="s">
        <v>3</v>
      </c>
      <c r="F196" s="34" t="s">
        <v>9</v>
      </c>
      <c r="G196" s="39" t="s">
        <v>7</v>
      </c>
    </row>
    <row r="197" spans="1:7" x14ac:dyDescent="0.3">
      <c r="A197" s="34">
        <v>196</v>
      </c>
      <c r="B197" s="34">
        <v>9</v>
      </c>
      <c r="C197" s="34">
        <v>1501</v>
      </c>
      <c r="D197" s="34">
        <v>34</v>
      </c>
      <c r="E197" s="34" t="s">
        <v>6</v>
      </c>
      <c r="F197" s="34" t="s">
        <v>4</v>
      </c>
      <c r="G197" s="39" t="s">
        <v>7</v>
      </c>
    </row>
    <row r="198" spans="1:7" x14ac:dyDescent="0.3">
      <c r="A198" s="34">
        <v>197</v>
      </c>
      <c r="B198" s="34">
        <v>6</v>
      </c>
      <c r="C198" s="34">
        <v>1382</v>
      </c>
      <c r="D198" s="34">
        <v>28</v>
      </c>
      <c r="E198" s="34" t="s">
        <v>6</v>
      </c>
      <c r="F198" s="34" t="s">
        <v>4</v>
      </c>
      <c r="G198" s="39" t="s">
        <v>5</v>
      </c>
    </row>
    <row r="199" spans="1:7" x14ac:dyDescent="0.3">
      <c r="A199" s="34">
        <v>198</v>
      </c>
      <c r="B199" s="34">
        <v>12</v>
      </c>
      <c r="C199" s="34">
        <v>951</v>
      </c>
      <c r="D199" s="34">
        <v>27</v>
      </c>
      <c r="E199" s="34" t="s">
        <v>6</v>
      </c>
      <c r="F199" s="34" t="s">
        <v>9</v>
      </c>
      <c r="G199" s="39" t="s">
        <v>7</v>
      </c>
    </row>
    <row r="200" spans="1:7" x14ac:dyDescent="0.3">
      <c r="A200" s="34">
        <v>199</v>
      </c>
      <c r="B200" s="34">
        <v>24</v>
      </c>
      <c r="C200" s="34">
        <v>2760</v>
      </c>
      <c r="D200" s="34">
        <v>36</v>
      </c>
      <c r="E200" s="34" t="s">
        <v>3</v>
      </c>
      <c r="F200" s="34" t="s">
        <v>8</v>
      </c>
      <c r="G200" s="39" t="s">
        <v>5</v>
      </c>
    </row>
    <row r="201" spans="1:7" x14ac:dyDescent="0.3">
      <c r="A201" s="34">
        <v>200</v>
      </c>
      <c r="B201" s="34">
        <v>18</v>
      </c>
      <c r="C201" s="34">
        <v>4297</v>
      </c>
      <c r="D201" s="34">
        <v>40</v>
      </c>
      <c r="E201" s="34" t="s">
        <v>10</v>
      </c>
      <c r="F201" s="34" t="s">
        <v>4</v>
      </c>
      <c r="G201" s="39" t="s">
        <v>7</v>
      </c>
    </row>
    <row r="202" spans="1:7" x14ac:dyDescent="0.3">
      <c r="A202" s="34">
        <v>201</v>
      </c>
      <c r="B202" s="34">
        <v>9</v>
      </c>
      <c r="C202" s="34">
        <v>936</v>
      </c>
      <c r="D202" s="34">
        <v>52</v>
      </c>
      <c r="E202" s="34" t="s">
        <v>3</v>
      </c>
      <c r="F202" s="34" t="s">
        <v>4</v>
      </c>
      <c r="G202" s="39" t="s">
        <v>5</v>
      </c>
    </row>
    <row r="203" spans="1:7" x14ac:dyDescent="0.3">
      <c r="A203" s="34">
        <v>202</v>
      </c>
      <c r="B203" s="34">
        <v>12</v>
      </c>
      <c r="C203" s="34">
        <v>1168</v>
      </c>
      <c r="D203" s="34">
        <v>27</v>
      </c>
      <c r="E203" s="34" t="s">
        <v>11</v>
      </c>
      <c r="F203" s="34" t="s">
        <v>4</v>
      </c>
      <c r="G203" s="39" t="s">
        <v>5</v>
      </c>
    </row>
    <row r="204" spans="1:7" x14ac:dyDescent="0.3">
      <c r="A204" s="34">
        <v>203</v>
      </c>
      <c r="B204" s="34">
        <v>27</v>
      </c>
      <c r="C204" s="34">
        <v>5117</v>
      </c>
      <c r="D204" s="34">
        <v>26</v>
      </c>
      <c r="E204" s="34" t="s">
        <v>3</v>
      </c>
      <c r="F204" s="34" t="s">
        <v>4</v>
      </c>
      <c r="G204" s="39" t="s">
        <v>5</v>
      </c>
    </row>
    <row r="205" spans="1:7" x14ac:dyDescent="0.3">
      <c r="A205" s="34">
        <v>204</v>
      </c>
      <c r="B205" s="34">
        <v>12</v>
      </c>
      <c r="C205" s="34">
        <v>902</v>
      </c>
      <c r="D205" s="34">
        <v>21</v>
      </c>
      <c r="E205" s="34" t="s">
        <v>11</v>
      </c>
      <c r="F205" s="34" t="s">
        <v>9</v>
      </c>
      <c r="G205" s="39" t="s">
        <v>7</v>
      </c>
    </row>
    <row r="206" spans="1:7" x14ac:dyDescent="0.3">
      <c r="A206" s="34">
        <v>205</v>
      </c>
      <c r="B206" s="34">
        <v>12</v>
      </c>
      <c r="C206" s="34">
        <v>1495</v>
      </c>
      <c r="D206" s="34">
        <v>38</v>
      </c>
      <c r="E206" s="34" t="s">
        <v>3</v>
      </c>
      <c r="F206" s="34" t="s">
        <v>4</v>
      </c>
      <c r="G206" s="39" t="s">
        <v>5</v>
      </c>
    </row>
    <row r="207" spans="1:7" x14ac:dyDescent="0.3">
      <c r="A207" s="34">
        <v>206</v>
      </c>
      <c r="B207" s="34">
        <v>30</v>
      </c>
      <c r="C207" s="34">
        <v>10623</v>
      </c>
      <c r="D207" s="34">
        <v>38</v>
      </c>
      <c r="E207" s="34" t="s">
        <v>3</v>
      </c>
      <c r="F207" s="34" t="s">
        <v>8</v>
      </c>
      <c r="G207" s="39" t="s">
        <v>5</v>
      </c>
    </row>
    <row r="208" spans="1:7" x14ac:dyDescent="0.3">
      <c r="A208" s="34">
        <v>207</v>
      </c>
      <c r="B208" s="34">
        <v>12</v>
      </c>
      <c r="C208" s="34">
        <v>1935</v>
      </c>
      <c r="D208" s="34">
        <v>43</v>
      </c>
      <c r="E208" s="34" t="s">
        <v>3</v>
      </c>
      <c r="F208" s="34" t="s">
        <v>4</v>
      </c>
      <c r="G208" s="39" t="s">
        <v>5</v>
      </c>
    </row>
    <row r="209" spans="1:7" x14ac:dyDescent="0.3">
      <c r="A209" s="34">
        <v>208</v>
      </c>
      <c r="B209" s="34">
        <v>12</v>
      </c>
      <c r="C209" s="34">
        <v>1424</v>
      </c>
      <c r="D209" s="34">
        <v>26</v>
      </c>
      <c r="E209" s="34" t="s">
        <v>3</v>
      </c>
      <c r="F209" s="34" t="s">
        <v>4</v>
      </c>
      <c r="G209" s="39" t="s">
        <v>5</v>
      </c>
    </row>
    <row r="210" spans="1:7" x14ac:dyDescent="0.3">
      <c r="A210" s="34">
        <v>209</v>
      </c>
      <c r="B210" s="34">
        <v>24</v>
      </c>
      <c r="C210" s="34">
        <v>6568</v>
      </c>
      <c r="D210" s="34">
        <v>21</v>
      </c>
      <c r="E210" s="34" t="s">
        <v>11</v>
      </c>
      <c r="F210" s="34" t="s">
        <v>4</v>
      </c>
      <c r="G210" s="39" t="s">
        <v>5</v>
      </c>
    </row>
    <row r="211" spans="1:7" x14ac:dyDescent="0.3">
      <c r="A211" s="34">
        <v>210</v>
      </c>
      <c r="B211" s="34">
        <v>12</v>
      </c>
      <c r="C211" s="34">
        <v>1413</v>
      </c>
      <c r="D211" s="34">
        <v>55</v>
      </c>
      <c r="E211" s="34" t="s">
        <v>3</v>
      </c>
      <c r="F211" s="34" t="s">
        <v>4</v>
      </c>
      <c r="G211" s="39" t="s">
        <v>5</v>
      </c>
    </row>
    <row r="212" spans="1:7" x14ac:dyDescent="0.3">
      <c r="A212" s="34">
        <v>211</v>
      </c>
      <c r="B212" s="34">
        <v>9</v>
      </c>
      <c r="C212" s="34">
        <v>3074</v>
      </c>
      <c r="D212" s="34">
        <v>33</v>
      </c>
      <c r="E212" s="34" t="s">
        <v>3</v>
      </c>
      <c r="F212" s="34" t="s">
        <v>4</v>
      </c>
      <c r="G212" s="39" t="s">
        <v>5</v>
      </c>
    </row>
    <row r="213" spans="1:7" x14ac:dyDescent="0.3">
      <c r="A213" s="34">
        <v>212</v>
      </c>
      <c r="B213" s="34">
        <v>36</v>
      </c>
      <c r="C213" s="34">
        <v>3835</v>
      </c>
      <c r="D213" s="34">
        <v>45</v>
      </c>
      <c r="E213" s="34" t="s">
        <v>6</v>
      </c>
      <c r="F213" s="34" t="s">
        <v>4</v>
      </c>
      <c r="G213" s="39" t="s">
        <v>5</v>
      </c>
    </row>
    <row r="214" spans="1:7" x14ac:dyDescent="0.3">
      <c r="A214" s="34">
        <v>213</v>
      </c>
      <c r="B214" s="34">
        <v>27</v>
      </c>
      <c r="C214" s="34">
        <v>5293</v>
      </c>
      <c r="D214" s="34">
        <v>50</v>
      </c>
      <c r="E214" s="34" t="s">
        <v>3</v>
      </c>
      <c r="F214" s="34" t="s">
        <v>4</v>
      </c>
      <c r="G214" s="39" t="s">
        <v>7</v>
      </c>
    </row>
    <row r="215" spans="1:7" x14ac:dyDescent="0.3">
      <c r="A215" s="34">
        <v>214</v>
      </c>
      <c r="B215" s="34">
        <v>30</v>
      </c>
      <c r="C215" s="34">
        <v>1908</v>
      </c>
      <c r="D215" s="34">
        <v>66</v>
      </c>
      <c r="E215" s="34" t="s">
        <v>3</v>
      </c>
      <c r="F215" s="34" t="s">
        <v>4</v>
      </c>
      <c r="G215" s="39" t="s">
        <v>7</v>
      </c>
    </row>
    <row r="216" spans="1:7" x14ac:dyDescent="0.3">
      <c r="A216" s="34">
        <v>215</v>
      </c>
      <c r="B216" s="34">
        <v>36</v>
      </c>
      <c r="C216" s="34">
        <v>3342</v>
      </c>
      <c r="D216" s="34">
        <v>51</v>
      </c>
      <c r="E216" s="34" t="s">
        <v>3</v>
      </c>
      <c r="F216" s="34" t="s">
        <v>4</v>
      </c>
      <c r="G216" s="39" t="s">
        <v>5</v>
      </c>
    </row>
    <row r="217" spans="1:7" x14ac:dyDescent="0.3">
      <c r="A217" s="34">
        <v>216</v>
      </c>
      <c r="B217" s="34">
        <v>6</v>
      </c>
      <c r="C217" s="34">
        <v>932</v>
      </c>
      <c r="D217" s="34">
        <v>39</v>
      </c>
      <c r="E217" s="34" t="s">
        <v>6</v>
      </c>
      <c r="F217" s="34" t="s">
        <v>4</v>
      </c>
      <c r="G217" s="39" t="s">
        <v>5</v>
      </c>
    </row>
    <row r="218" spans="1:7" x14ac:dyDescent="0.3">
      <c r="A218" s="34">
        <v>217</v>
      </c>
      <c r="B218" s="34">
        <v>18</v>
      </c>
      <c r="C218" s="34">
        <v>3104</v>
      </c>
      <c r="D218" s="34">
        <v>31</v>
      </c>
      <c r="E218" s="34" t="s">
        <v>3</v>
      </c>
      <c r="F218" s="34" t="s">
        <v>4</v>
      </c>
      <c r="G218" s="39" t="s">
        <v>5</v>
      </c>
    </row>
    <row r="219" spans="1:7" x14ac:dyDescent="0.3">
      <c r="A219" s="34">
        <v>218</v>
      </c>
      <c r="B219" s="34">
        <v>36</v>
      </c>
      <c r="C219" s="34">
        <v>3913</v>
      </c>
      <c r="D219" s="34">
        <v>23</v>
      </c>
      <c r="E219" s="34" t="s">
        <v>3</v>
      </c>
      <c r="F219" s="34" t="s">
        <v>4</v>
      </c>
      <c r="G219" s="39" t="s">
        <v>5</v>
      </c>
    </row>
    <row r="220" spans="1:7" x14ac:dyDescent="0.3">
      <c r="A220" s="34">
        <v>219</v>
      </c>
      <c r="B220" s="34">
        <v>24</v>
      </c>
      <c r="C220" s="34">
        <v>3021</v>
      </c>
      <c r="D220" s="34">
        <v>24</v>
      </c>
      <c r="E220" s="34" t="s">
        <v>10</v>
      </c>
      <c r="F220" s="34" t="s">
        <v>9</v>
      </c>
      <c r="G220" s="39" t="s">
        <v>5</v>
      </c>
    </row>
    <row r="221" spans="1:7" x14ac:dyDescent="0.3">
      <c r="A221" s="34">
        <v>220</v>
      </c>
      <c r="B221" s="34">
        <v>10</v>
      </c>
      <c r="C221" s="34">
        <v>1364</v>
      </c>
      <c r="D221" s="34">
        <v>64</v>
      </c>
      <c r="E221" s="34" t="s">
        <v>6</v>
      </c>
      <c r="F221" s="34" t="s">
        <v>4</v>
      </c>
      <c r="G221" s="39" t="s">
        <v>5</v>
      </c>
    </row>
    <row r="222" spans="1:7" x14ac:dyDescent="0.3">
      <c r="A222" s="34">
        <v>221</v>
      </c>
      <c r="B222" s="34">
        <v>12</v>
      </c>
      <c r="C222" s="34">
        <v>625</v>
      </c>
      <c r="D222" s="34">
        <v>26</v>
      </c>
      <c r="E222" s="34" t="s">
        <v>11</v>
      </c>
      <c r="F222" s="34" t="s">
        <v>4</v>
      </c>
      <c r="G222" s="39" t="s">
        <v>5</v>
      </c>
    </row>
    <row r="223" spans="1:7" x14ac:dyDescent="0.3">
      <c r="A223" s="34">
        <v>222</v>
      </c>
      <c r="B223" s="34">
        <v>12</v>
      </c>
      <c r="C223" s="34">
        <v>1200</v>
      </c>
      <c r="D223" s="34">
        <v>23</v>
      </c>
      <c r="E223" s="34" t="s">
        <v>6</v>
      </c>
      <c r="F223" s="34" t="s">
        <v>9</v>
      </c>
      <c r="G223" s="39" t="s">
        <v>5</v>
      </c>
    </row>
    <row r="224" spans="1:7" x14ac:dyDescent="0.3">
      <c r="A224" s="34">
        <v>223</v>
      </c>
      <c r="B224" s="34">
        <v>12</v>
      </c>
      <c r="C224" s="34">
        <v>707</v>
      </c>
      <c r="D224" s="34">
        <v>30</v>
      </c>
      <c r="E224" s="34" t="s">
        <v>3</v>
      </c>
      <c r="F224" s="34" t="s">
        <v>4</v>
      </c>
      <c r="G224" s="39" t="s">
        <v>5</v>
      </c>
    </row>
    <row r="225" spans="1:7" x14ac:dyDescent="0.3">
      <c r="A225" s="34">
        <v>224</v>
      </c>
      <c r="B225" s="34">
        <v>24</v>
      </c>
      <c r="C225" s="34">
        <v>2978</v>
      </c>
      <c r="D225" s="34">
        <v>32</v>
      </c>
      <c r="E225" s="34" t="s">
        <v>3</v>
      </c>
      <c r="F225" s="34" t="s">
        <v>4</v>
      </c>
      <c r="G225" s="39" t="s">
        <v>5</v>
      </c>
    </row>
    <row r="226" spans="1:7" x14ac:dyDescent="0.3">
      <c r="A226" s="34">
        <v>225</v>
      </c>
      <c r="B226" s="34">
        <v>15</v>
      </c>
      <c r="C226" s="34">
        <v>4657</v>
      </c>
      <c r="D226" s="34">
        <v>30</v>
      </c>
      <c r="E226" s="34" t="s">
        <v>3</v>
      </c>
      <c r="F226" s="34" t="s">
        <v>4</v>
      </c>
      <c r="G226" s="39" t="s">
        <v>5</v>
      </c>
    </row>
    <row r="227" spans="1:7" x14ac:dyDescent="0.3">
      <c r="A227" s="34">
        <v>226</v>
      </c>
      <c r="B227" s="34">
        <v>36</v>
      </c>
      <c r="C227" s="34">
        <v>2613</v>
      </c>
      <c r="D227" s="34">
        <v>27</v>
      </c>
      <c r="E227" s="34" t="s">
        <v>3</v>
      </c>
      <c r="F227" s="34" t="s">
        <v>4</v>
      </c>
      <c r="G227" s="39" t="s">
        <v>5</v>
      </c>
    </row>
    <row r="228" spans="1:7" x14ac:dyDescent="0.3">
      <c r="A228" s="34">
        <v>227</v>
      </c>
      <c r="B228" s="34">
        <v>48</v>
      </c>
      <c r="C228" s="34">
        <v>10961</v>
      </c>
      <c r="D228" s="34">
        <v>27</v>
      </c>
      <c r="E228" s="34" t="s">
        <v>3</v>
      </c>
      <c r="F228" s="34" t="s">
        <v>4</v>
      </c>
      <c r="G228" s="39" t="s">
        <v>7</v>
      </c>
    </row>
    <row r="229" spans="1:7" x14ac:dyDescent="0.3">
      <c r="A229" s="34">
        <v>228</v>
      </c>
      <c r="B229" s="34">
        <v>12</v>
      </c>
      <c r="C229" s="34">
        <v>7865</v>
      </c>
      <c r="D229" s="34">
        <v>53</v>
      </c>
      <c r="E229" s="34" t="s">
        <v>3</v>
      </c>
      <c r="F229" s="34" t="s">
        <v>8</v>
      </c>
      <c r="G229" s="39" t="s">
        <v>7</v>
      </c>
    </row>
    <row r="230" spans="1:7" x14ac:dyDescent="0.3">
      <c r="A230" s="34">
        <v>229</v>
      </c>
      <c r="B230" s="34">
        <v>9</v>
      </c>
      <c r="C230" s="34">
        <v>1478</v>
      </c>
      <c r="D230" s="34">
        <v>22</v>
      </c>
      <c r="E230" s="34" t="s">
        <v>3</v>
      </c>
      <c r="F230" s="34" t="s">
        <v>4</v>
      </c>
      <c r="G230" s="39" t="s">
        <v>7</v>
      </c>
    </row>
    <row r="231" spans="1:7" x14ac:dyDescent="0.3">
      <c r="A231" s="34">
        <v>230</v>
      </c>
      <c r="B231" s="34">
        <v>24</v>
      </c>
      <c r="C231" s="34">
        <v>3149</v>
      </c>
      <c r="D231" s="34">
        <v>22</v>
      </c>
      <c r="E231" s="34" t="s">
        <v>3</v>
      </c>
      <c r="F231" s="34" t="s">
        <v>8</v>
      </c>
      <c r="G231" s="39" t="s">
        <v>5</v>
      </c>
    </row>
    <row r="232" spans="1:7" x14ac:dyDescent="0.3">
      <c r="A232" s="34">
        <v>231</v>
      </c>
      <c r="B232" s="34">
        <v>36</v>
      </c>
      <c r="C232" s="34">
        <v>4210</v>
      </c>
      <c r="D232" s="34">
        <v>26</v>
      </c>
      <c r="E232" s="34" t="s">
        <v>3</v>
      </c>
      <c r="F232" s="34" t="s">
        <v>4</v>
      </c>
      <c r="G232" s="39" t="s">
        <v>7</v>
      </c>
    </row>
    <row r="233" spans="1:7" x14ac:dyDescent="0.3">
      <c r="A233" s="34">
        <v>232</v>
      </c>
      <c r="B233" s="34">
        <v>9</v>
      </c>
      <c r="C233" s="34">
        <v>2507</v>
      </c>
      <c r="D233" s="34">
        <v>51</v>
      </c>
      <c r="E233" s="34" t="s">
        <v>3</v>
      </c>
      <c r="F233" s="34" t="s">
        <v>8</v>
      </c>
      <c r="G233" s="39" t="s">
        <v>5</v>
      </c>
    </row>
    <row r="234" spans="1:7" x14ac:dyDescent="0.3">
      <c r="A234" s="34">
        <v>233</v>
      </c>
      <c r="B234" s="34">
        <v>12</v>
      </c>
      <c r="C234" s="34">
        <v>2141</v>
      </c>
      <c r="D234" s="34">
        <v>35</v>
      </c>
      <c r="E234" s="34" t="s">
        <v>3</v>
      </c>
      <c r="F234" s="34" t="s">
        <v>4</v>
      </c>
      <c r="G234" s="39" t="s">
        <v>5</v>
      </c>
    </row>
    <row r="235" spans="1:7" x14ac:dyDescent="0.3">
      <c r="A235" s="34">
        <v>234</v>
      </c>
      <c r="B235" s="34">
        <v>18</v>
      </c>
      <c r="C235" s="34">
        <v>866</v>
      </c>
      <c r="D235" s="34">
        <v>25</v>
      </c>
      <c r="E235" s="34" t="s">
        <v>11</v>
      </c>
      <c r="F235" s="34" t="s">
        <v>4</v>
      </c>
      <c r="G235" s="39" t="s">
        <v>5</v>
      </c>
    </row>
    <row r="236" spans="1:7" x14ac:dyDescent="0.3">
      <c r="A236" s="34">
        <v>235</v>
      </c>
      <c r="B236" s="34">
        <v>4</v>
      </c>
      <c r="C236" s="34">
        <v>1544</v>
      </c>
      <c r="D236" s="34">
        <v>42</v>
      </c>
      <c r="E236" s="34" t="s">
        <v>3</v>
      </c>
      <c r="F236" s="34" t="s">
        <v>4</v>
      </c>
      <c r="G236" s="39" t="s">
        <v>5</v>
      </c>
    </row>
    <row r="237" spans="1:7" x14ac:dyDescent="0.3">
      <c r="A237" s="34">
        <v>236</v>
      </c>
      <c r="B237" s="34">
        <v>24</v>
      </c>
      <c r="C237" s="34">
        <v>1823</v>
      </c>
      <c r="D237" s="34">
        <v>30</v>
      </c>
      <c r="E237" s="34" t="s">
        <v>3</v>
      </c>
      <c r="F237" s="34" t="s">
        <v>4</v>
      </c>
      <c r="G237" s="39" t="s">
        <v>7</v>
      </c>
    </row>
    <row r="238" spans="1:7" x14ac:dyDescent="0.3">
      <c r="A238" s="34">
        <v>237</v>
      </c>
      <c r="B238" s="34">
        <v>6</v>
      </c>
      <c r="C238" s="34">
        <v>14555</v>
      </c>
      <c r="D238" s="34">
        <v>23</v>
      </c>
      <c r="E238" s="34" t="s">
        <v>3</v>
      </c>
      <c r="F238" s="34" t="s">
        <v>4</v>
      </c>
      <c r="G238" s="39" t="s">
        <v>7</v>
      </c>
    </row>
    <row r="239" spans="1:7" x14ac:dyDescent="0.3">
      <c r="A239" s="34">
        <v>238</v>
      </c>
      <c r="B239" s="34">
        <v>21</v>
      </c>
      <c r="C239" s="34">
        <v>2767</v>
      </c>
      <c r="D239" s="34">
        <v>61</v>
      </c>
      <c r="E239" s="34" t="s">
        <v>10</v>
      </c>
      <c r="F239" s="34" t="s">
        <v>9</v>
      </c>
      <c r="G239" s="39" t="s">
        <v>7</v>
      </c>
    </row>
    <row r="240" spans="1:7" x14ac:dyDescent="0.3">
      <c r="A240" s="34">
        <v>239</v>
      </c>
      <c r="B240" s="34">
        <v>12</v>
      </c>
      <c r="C240" s="34">
        <v>1291</v>
      </c>
      <c r="D240" s="34">
        <v>35</v>
      </c>
      <c r="E240" s="34" t="s">
        <v>6</v>
      </c>
      <c r="F240" s="34" t="s">
        <v>4</v>
      </c>
      <c r="G240" s="39" t="s">
        <v>5</v>
      </c>
    </row>
    <row r="241" spans="1:7" x14ac:dyDescent="0.3">
      <c r="A241" s="34">
        <v>240</v>
      </c>
      <c r="B241" s="34">
        <v>30</v>
      </c>
      <c r="C241" s="34">
        <v>2522</v>
      </c>
      <c r="D241" s="34">
        <v>39</v>
      </c>
      <c r="E241" s="34" t="s">
        <v>3</v>
      </c>
      <c r="F241" s="34" t="s">
        <v>4</v>
      </c>
      <c r="G241" s="39" t="s">
        <v>5</v>
      </c>
    </row>
    <row r="242" spans="1:7" x14ac:dyDescent="0.3">
      <c r="A242" s="34">
        <v>241</v>
      </c>
      <c r="B242" s="34">
        <v>24</v>
      </c>
      <c r="C242" s="34">
        <v>915</v>
      </c>
      <c r="D242" s="34">
        <v>29</v>
      </c>
      <c r="E242" s="34" t="s">
        <v>6</v>
      </c>
      <c r="F242" s="34" t="s">
        <v>4</v>
      </c>
      <c r="G242" s="39" t="s">
        <v>7</v>
      </c>
    </row>
    <row r="243" spans="1:7" x14ac:dyDescent="0.3">
      <c r="A243" s="34">
        <v>242</v>
      </c>
      <c r="B243" s="34">
        <v>6</v>
      </c>
      <c r="C243" s="34">
        <v>1595</v>
      </c>
      <c r="D243" s="34">
        <v>51</v>
      </c>
      <c r="E243" s="34" t="s">
        <v>3</v>
      </c>
      <c r="F243" s="34" t="s">
        <v>4</v>
      </c>
      <c r="G243" s="39" t="s">
        <v>5</v>
      </c>
    </row>
    <row r="244" spans="1:7" x14ac:dyDescent="0.3">
      <c r="A244" s="34">
        <v>243</v>
      </c>
      <c r="B244" s="34">
        <v>48</v>
      </c>
      <c r="C244" s="34">
        <v>4605</v>
      </c>
      <c r="D244" s="34">
        <v>24</v>
      </c>
      <c r="E244" s="34" t="s">
        <v>3</v>
      </c>
      <c r="F244" s="34" t="s">
        <v>8</v>
      </c>
      <c r="G244" s="39" t="s">
        <v>7</v>
      </c>
    </row>
    <row r="245" spans="1:7" x14ac:dyDescent="0.3">
      <c r="A245" s="34">
        <v>244</v>
      </c>
      <c r="B245" s="34">
        <v>12</v>
      </c>
      <c r="C245" s="34">
        <v>1185</v>
      </c>
      <c r="D245" s="34">
        <v>27</v>
      </c>
      <c r="E245" s="34" t="s">
        <v>6</v>
      </c>
      <c r="F245" s="34" t="s">
        <v>4</v>
      </c>
      <c r="G245" s="39" t="s">
        <v>5</v>
      </c>
    </row>
    <row r="246" spans="1:7" x14ac:dyDescent="0.3">
      <c r="A246" s="34">
        <v>245</v>
      </c>
      <c r="B246" s="34">
        <v>12</v>
      </c>
      <c r="C246" s="34">
        <v>3447</v>
      </c>
      <c r="D246" s="34">
        <v>35</v>
      </c>
      <c r="E246" s="34" t="s">
        <v>6</v>
      </c>
      <c r="F246" s="34" t="s">
        <v>4</v>
      </c>
      <c r="G246" s="39" t="s">
        <v>5</v>
      </c>
    </row>
    <row r="247" spans="1:7" x14ac:dyDescent="0.3">
      <c r="A247" s="34">
        <v>246</v>
      </c>
      <c r="B247" s="34">
        <v>24</v>
      </c>
      <c r="C247" s="34">
        <v>1258</v>
      </c>
      <c r="D247" s="34">
        <v>25</v>
      </c>
      <c r="E247" s="34" t="s">
        <v>3</v>
      </c>
      <c r="F247" s="34" t="s">
        <v>4</v>
      </c>
      <c r="G247" s="39" t="s">
        <v>5</v>
      </c>
    </row>
    <row r="248" spans="1:7" x14ac:dyDescent="0.3">
      <c r="A248" s="34">
        <v>247</v>
      </c>
      <c r="B248" s="34">
        <v>12</v>
      </c>
      <c r="C248" s="34">
        <v>717</v>
      </c>
      <c r="D248" s="34">
        <v>52</v>
      </c>
      <c r="E248" s="34" t="s">
        <v>3</v>
      </c>
      <c r="F248" s="34" t="s">
        <v>4</v>
      </c>
      <c r="G248" s="39" t="s">
        <v>5</v>
      </c>
    </row>
    <row r="249" spans="1:7" x14ac:dyDescent="0.3">
      <c r="A249" s="34">
        <v>248</v>
      </c>
      <c r="B249" s="34">
        <v>6</v>
      </c>
      <c r="C249" s="34">
        <v>1204</v>
      </c>
      <c r="D249" s="34">
        <v>35</v>
      </c>
      <c r="E249" s="34" t="s">
        <v>3</v>
      </c>
      <c r="F249" s="34" t="s">
        <v>9</v>
      </c>
      <c r="G249" s="39" t="s">
        <v>5</v>
      </c>
    </row>
    <row r="250" spans="1:7" x14ac:dyDescent="0.3">
      <c r="A250" s="34">
        <v>249</v>
      </c>
      <c r="B250" s="34">
        <v>24</v>
      </c>
      <c r="C250" s="34">
        <v>1925</v>
      </c>
      <c r="D250" s="34">
        <v>26</v>
      </c>
      <c r="E250" s="34" t="s">
        <v>3</v>
      </c>
      <c r="F250" s="34" t="s">
        <v>4</v>
      </c>
      <c r="G250" s="39" t="s">
        <v>5</v>
      </c>
    </row>
    <row r="251" spans="1:7" x14ac:dyDescent="0.3">
      <c r="A251" s="34">
        <v>250</v>
      </c>
      <c r="B251" s="34">
        <v>18</v>
      </c>
      <c r="C251" s="34">
        <v>433</v>
      </c>
      <c r="D251" s="34">
        <v>22</v>
      </c>
      <c r="E251" s="34" t="s">
        <v>6</v>
      </c>
      <c r="F251" s="34" t="s">
        <v>9</v>
      </c>
      <c r="G251" s="39" t="s">
        <v>7</v>
      </c>
    </row>
    <row r="252" spans="1:7" x14ac:dyDescent="0.3">
      <c r="A252" s="34">
        <v>251</v>
      </c>
      <c r="B252" s="34">
        <v>6</v>
      </c>
      <c r="C252" s="34">
        <v>666</v>
      </c>
      <c r="D252" s="34">
        <v>39</v>
      </c>
      <c r="E252" s="34" t="s">
        <v>6</v>
      </c>
      <c r="F252" s="34" t="s">
        <v>4</v>
      </c>
      <c r="G252" s="39" t="s">
        <v>5</v>
      </c>
    </row>
    <row r="253" spans="1:7" x14ac:dyDescent="0.3">
      <c r="A253" s="34">
        <v>252</v>
      </c>
      <c r="B253" s="34">
        <v>12</v>
      </c>
      <c r="C253" s="34">
        <v>2251</v>
      </c>
      <c r="D253" s="34">
        <v>46</v>
      </c>
      <c r="E253" s="34" t="s">
        <v>6</v>
      </c>
      <c r="F253" s="34" t="s">
        <v>4</v>
      </c>
      <c r="G253" s="39" t="s">
        <v>5</v>
      </c>
    </row>
    <row r="254" spans="1:7" x14ac:dyDescent="0.3">
      <c r="A254" s="34">
        <v>253</v>
      </c>
      <c r="B254" s="34">
        <v>30</v>
      </c>
      <c r="C254" s="34">
        <v>2150</v>
      </c>
      <c r="D254" s="34">
        <v>24</v>
      </c>
      <c r="E254" s="34" t="s">
        <v>6</v>
      </c>
      <c r="F254" s="34" t="s">
        <v>4</v>
      </c>
      <c r="G254" s="39" t="s">
        <v>7</v>
      </c>
    </row>
    <row r="255" spans="1:7" x14ac:dyDescent="0.3">
      <c r="A255" s="34">
        <v>254</v>
      </c>
      <c r="B255" s="34">
        <v>24</v>
      </c>
      <c r="C255" s="34">
        <v>4151</v>
      </c>
      <c r="D255" s="34">
        <v>35</v>
      </c>
      <c r="E255" s="34" t="s">
        <v>3</v>
      </c>
      <c r="F255" s="34" t="s">
        <v>4</v>
      </c>
      <c r="G255" s="39" t="s">
        <v>5</v>
      </c>
    </row>
    <row r="256" spans="1:7" x14ac:dyDescent="0.3">
      <c r="A256" s="34">
        <v>255</v>
      </c>
      <c r="B256" s="34">
        <v>9</v>
      </c>
      <c r="C256" s="34">
        <v>2030</v>
      </c>
      <c r="D256" s="34">
        <v>24</v>
      </c>
      <c r="E256" s="34" t="s">
        <v>3</v>
      </c>
      <c r="F256" s="34" t="s">
        <v>4</v>
      </c>
      <c r="G256" s="39" t="s">
        <v>5</v>
      </c>
    </row>
    <row r="257" spans="1:7" x14ac:dyDescent="0.3">
      <c r="A257" s="34">
        <v>256</v>
      </c>
      <c r="B257" s="34">
        <v>60</v>
      </c>
      <c r="C257" s="34">
        <v>7418</v>
      </c>
      <c r="D257" s="34">
        <v>27</v>
      </c>
      <c r="E257" s="34" t="s">
        <v>3</v>
      </c>
      <c r="F257" s="34" t="s">
        <v>4</v>
      </c>
      <c r="G257" s="39" t="s">
        <v>5</v>
      </c>
    </row>
    <row r="258" spans="1:7" x14ac:dyDescent="0.3">
      <c r="A258" s="34">
        <v>257</v>
      </c>
      <c r="B258" s="34">
        <v>24</v>
      </c>
      <c r="C258" s="34">
        <v>2684</v>
      </c>
      <c r="D258" s="34">
        <v>35</v>
      </c>
      <c r="E258" s="34" t="s">
        <v>3</v>
      </c>
      <c r="F258" s="34" t="s">
        <v>4</v>
      </c>
      <c r="G258" s="39" t="s">
        <v>5</v>
      </c>
    </row>
    <row r="259" spans="1:7" x14ac:dyDescent="0.3">
      <c r="A259" s="34">
        <v>258</v>
      </c>
      <c r="B259" s="34">
        <v>12</v>
      </c>
      <c r="C259" s="34">
        <v>2149</v>
      </c>
      <c r="D259" s="34">
        <v>29</v>
      </c>
      <c r="E259" s="34" t="s">
        <v>10</v>
      </c>
      <c r="F259" s="34" t="s">
        <v>8</v>
      </c>
      <c r="G259" s="39" t="s">
        <v>7</v>
      </c>
    </row>
    <row r="260" spans="1:7" x14ac:dyDescent="0.3">
      <c r="A260" s="34">
        <v>259</v>
      </c>
      <c r="B260" s="34">
        <v>15</v>
      </c>
      <c r="C260" s="34">
        <v>3812</v>
      </c>
      <c r="D260" s="34">
        <v>23</v>
      </c>
      <c r="E260" s="34" t="s">
        <v>6</v>
      </c>
      <c r="F260" s="34" t="s">
        <v>4</v>
      </c>
      <c r="G260" s="39" t="s">
        <v>5</v>
      </c>
    </row>
    <row r="261" spans="1:7" x14ac:dyDescent="0.3">
      <c r="A261" s="34">
        <v>260</v>
      </c>
      <c r="B261" s="34">
        <v>11</v>
      </c>
      <c r="C261" s="34">
        <v>1154</v>
      </c>
      <c r="D261" s="34">
        <v>57</v>
      </c>
      <c r="E261" s="34" t="s">
        <v>6</v>
      </c>
      <c r="F261" s="34" t="s">
        <v>4</v>
      </c>
      <c r="G261" s="39" t="s">
        <v>5</v>
      </c>
    </row>
    <row r="262" spans="1:7" x14ac:dyDescent="0.3">
      <c r="A262" s="34">
        <v>261</v>
      </c>
      <c r="B262" s="34">
        <v>12</v>
      </c>
      <c r="C262" s="34">
        <v>1657</v>
      </c>
      <c r="D262" s="34">
        <v>27</v>
      </c>
      <c r="E262" s="34" t="s">
        <v>3</v>
      </c>
      <c r="F262" s="34" t="s">
        <v>4</v>
      </c>
      <c r="G262" s="39" t="s">
        <v>5</v>
      </c>
    </row>
    <row r="263" spans="1:7" x14ac:dyDescent="0.3">
      <c r="A263" s="34">
        <v>262</v>
      </c>
      <c r="B263" s="34">
        <v>24</v>
      </c>
      <c r="C263" s="34">
        <v>1603</v>
      </c>
      <c r="D263" s="34">
        <v>55</v>
      </c>
      <c r="E263" s="34" t="s">
        <v>6</v>
      </c>
      <c r="F263" s="34" t="s">
        <v>4</v>
      </c>
      <c r="G263" s="39" t="s">
        <v>5</v>
      </c>
    </row>
    <row r="264" spans="1:7" x14ac:dyDescent="0.3">
      <c r="A264" s="34">
        <v>263</v>
      </c>
      <c r="B264" s="34">
        <v>18</v>
      </c>
      <c r="C264" s="34">
        <v>5302</v>
      </c>
      <c r="D264" s="34">
        <v>36</v>
      </c>
      <c r="E264" s="34" t="s">
        <v>3</v>
      </c>
      <c r="F264" s="34" t="s">
        <v>8</v>
      </c>
      <c r="G264" s="39" t="s">
        <v>5</v>
      </c>
    </row>
    <row r="265" spans="1:7" x14ac:dyDescent="0.3">
      <c r="A265" s="34">
        <v>264</v>
      </c>
      <c r="B265" s="34">
        <v>12</v>
      </c>
      <c r="C265" s="34">
        <v>2748</v>
      </c>
      <c r="D265" s="34">
        <v>57</v>
      </c>
      <c r="E265" s="34" t="s">
        <v>6</v>
      </c>
      <c r="F265" s="34" t="s">
        <v>8</v>
      </c>
      <c r="G265" s="39" t="s">
        <v>5</v>
      </c>
    </row>
    <row r="266" spans="1:7" x14ac:dyDescent="0.3">
      <c r="A266" s="34">
        <v>265</v>
      </c>
      <c r="B266" s="34">
        <v>10</v>
      </c>
      <c r="C266" s="34">
        <v>1231</v>
      </c>
      <c r="D266" s="34">
        <v>32</v>
      </c>
      <c r="E266" s="34" t="s">
        <v>3</v>
      </c>
      <c r="F266" s="34" t="s">
        <v>4</v>
      </c>
      <c r="G266" s="39" t="s">
        <v>5</v>
      </c>
    </row>
    <row r="267" spans="1:7" x14ac:dyDescent="0.3">
      <c r="A267" s="34">
        <v>266</v>
      </c>
      <c r="B267" s="34">
        <v>15</v>
      </c>
      <c r="C267" s="34">
        <v>802</v>
      </c>
      <c r="D267" s="34">
        <v>37</v>
      </c>
      <c r="E267" s="34" t="s">
        <v>3</v>
      </c>
      <c r="F267" s="34" t="s">
        <v>4</v>
      </c>
      <c r="G267" s="39" t="s">
        <v>7</v>
      </c>
    </row>
    <row r="268" spans="1:7" x14ac:dyDescent="0.3">
      <c r="A268" s="34">
        <v>267</v>
      </c>
      <c r="B268" s="34">
        <v>36</v>
      </c>
      <c r="C268" s="34">
        <v>6304</v>
      </c>
      <c r="D268" s="34">
        <v>36</v>
      </c>
      <c r="E268" s="34" t="s">
        <v>3</v>
      </c>
      <c r="F268" s="34" t="s">
        <v>4</v>
      </c>
      <c r="G268" s="39" t="s">
        <v>5</v>
      </c>
    </row>
    <row r="269" spans="1:7" x14ac:dyDescent="0.3">
      <c r="A269" s="34">
        <v>268</v>
      </c>
      <c r="B269" s="34">
        <v>24</v>
      </c>
      <c r="C269" s="34">
        <v>1533</v>
      </c>
      <c r="D269" s="34">
        <v>38</v>
      </c>
      <c r="E269" s="34" t="s">
        <v>6</v>
      </c>
      <c r="F269" s="34" t="s">
        <v>4</v>
      </c>
      <c r="G269" s="39" t="s">
        <v>5</v>
      </c>
    </row>
    <row r="270" spans="1:7" x14ac:dyDescent="0.3">
      <c r="A270" s="34">
        <v>269</v>
      </c>
      <c r="B270" s="34">
        <v>14</v>
      </c>
      <c r="C270" s="34">
        <v>8978</v>
      </c>
      <c r="D270" s="34">
        <v>45</v>
      </c>
      <c r="E270" s="34" t="s">
        <v>10</v>
      </c>
      <c r="F270" s="34" t="s">
        <v>4</v>
      </c>
      <c r="G270" s="39" t="s">
        <v>7</v>
      </c>
    </row>
    <row r="271" spans="1:7" x14ac:dyDescent="0.3">
      <c r="A271" s="34">
        <v>270</v>
      </c>
      <c r="B271" s="34">
        <v>24</v>
      </c>
      <c r="C271" s="34">
        <v>999</v>
      </c>
      <c r="D271" s="34">
        <v>25</v>
      </c>
      <c r="E271" s="34" t="s">
        <v>3</v>
      </c>
      <c r="F271" s="34" t="s">
        <v>4</v>
      </c>
      <c r="G271" s="39" t="s">
        <v>5</v>
      </c>
    </row>
    <row r="272" spans="1:7" x14ac:dyDescent="0.3">
      <c r="A272" s="34">
        <v>271</v>
      </c>
      <c r="B272" s="34">
        <v>18</v>
      </c>
      <c r="C272" s="34">
        <v>2662</v>
      </c>
      <c r="D272" s="34">
        <v>32</v>
      </c>
      <c r="E272" s="34" t="s">
        <v>3</v>
      </c>
      <c r="F272" s="34" t="s">
        <v>4</v>
      </c>
      <c r="G272" s="39" t="s">
        <v>5</v>
      </c>
    </row>
    <row r="273" spans="1:7" x14ac:dyDescent="0.3">
      <c r="A273" s="34">
        <v>272</v>
      </c>
      <c r="B273" s="34">
        <v>12</v>
      </c>
      <c r="C273" s="34">
        <v>1402</v>
      </c>
      <c r="D273" s="34">
        <v>37</v>
      </c>
      <c r="E273" s="34" t="s">
        <v>6</v>
      </c>
      <c r="F273" s="34" t="s">
        <v>9</v>
      </c>
      <c r="G273" s="39" t="s">
        <v>5</v>
      </c>
    </row>
    <row r="274" spans="1:7" x14ac:dyDescent="0.3">
      <c r="A274" s="34">
        <v>273</v>
      </c>
      <c r="B274" s="34">
        <v>48</v>
      </c>
      <c r="C274" s="34">
        <v>12169</v>
      </c>
      <c r="D274" s="34">
        <v>36</v>
      </c>
      <c r="E274" s="34" t="s">
        <v>3</v>
      </c>
      <c r="F274" s="34" t="s">
        <v>8</v>
      </c>
      <c r="G274" s="39" t="s">
        <v>5</v>
      </c>
    </row>
    <row r="275" spans="1:7" x14ac:dyDescent="0.3">
      <c r="A275" s="34">
        <v>274</v>
      </c>
      <c r="B275" s="34">
        <v>48</v>
      </c>
      <c r="C275" s="34">
        <v>3060</v>
      </c>
      <c r="D275" s="34">
        <v>28</v>
      </c>
      <c r="E275" s="34" t="s">
        <v>3</v>
      </c>
      <c r="F275" s="34" t="s">
        <v>4</v>
      </c>
      <c r="G275" s="39" t="s">
        <v>7</v>
      </c>
    </row>
    <row r="276" spans="1:7" x14ac:dyDescent="0.3">
      <c r="A276" s="34">
        <v>275</v>
      </c>
      <c r="B276" s="34">
        <v>30</v>
      </c>
      <c r="C276" s="34">
        <v>11998</v>
      </c>
      <c r="D276" s="34">
        <v>34</v>
      </c>
      <c r="E276" s="34" t="s">
        <v>10</v>
      </c>
      <c r="F276" s="34" t="s">
        <v>4</v>
      </c>
      <c r="G276" s="39" t="s">
        <v>7</v>
      </c>
    </row>
    <row r="277" spans="1:7" x14ac:dyDescent="0.3">
      <c r="A277" s="34">
        <v>276</v>
      </c>
      <c r="B277" s="34">
        <v>9</v>
      </c>
      <c r="C277" s="34">
        <v>2697</v>
      </c>
      <c r="D277" s="34">
        <v>32</v>
      </c>
      <c r="E277" s="34" t="s">
        <v>3</v>
      </c>
      <c r="F277" s="34" t="s">
        <v>4</v>
      </c>
      <c r="G277" s="39" t="s">
        <v>5</v>
      </c>
    </row>
    <row r="278" spans="1:7" x14ac:dyDescent="0.3">
      <c r="A278" s="34">
        <v>277</v>
      </c>
      <c r="B278" s="34">
        <v>18</v>
      </c>
      <c r="C278" s="34">
        <v>2404</v>
      </c>
      <c r="D278" s="34">
        <v>26</v>
      </c>
      <c r="E278" s="34" t="s">
        <v>6</v>
      </c>
      <c r="F278" s="34" t="s">
        <v>4</v>
      </c>
      <c r="G278" s="39" t="s">
        <v>5</v>
      </c>
    </row>
    <row r="279" spans="1:7" x14ac:dyDescent="0.3">
      <c r="A279" s="34">
        <v>278</v>
      </c>
      <c r="B279" s="34">
        <v>12</v>
      </c>
      <c r="C279" s="34">
        <v>1262</v>
      </c>
      <c r="D279" s="34">
        <v>49</v>
      </c>
      <c r="E279" s="34" t="s">
        <v>10</v>
      </c>
      <c r="F279" s="34" t="s">
        <v>4</v>
      </c>
      <c r="G279" s="39" t="s">
        <v>5</v>
      </c>
    </row>
    <row r="280" spans="1:7" x14ac:dyDescent="0.3">
      <c r="A280" s="34">
        <v>279</v>
      </c>
      <c r="B280" s="34">
        <v>6</v>
      </c>
      <c r="C280" s="34">
        <v>4611</v>
      </c>
      <c r="D280" s="34">
        <v>32</v>
      </c>
      <c r="E280" s="34" t="s">
        <v>6</v>
      </c>
      <c r="F280" s="34" t="s">
        <v>4</v>
      </c>
      <c r="G280" s="39" t="s">
        <v>7</v>
      </c>
    </row>
    <row r="281" spans="1:7" x14ac:dyDescent="0.3">
      <c r="A281" s="34">
        <v>280</v>
      </c>
      <c r="B281" s="34">
        <v>24</v>
      </c>
      <c r="C281" s="34">
        <v>1901</v>
      </c>
      <c r="D281" s="34">
        <v>29</v>
      </c>
      <c r="E281" s="34" t="s">
        <v>3</v>
      </c>
      <c r="F281" s="34" t="s">
        <v>9</v>
      </c>
      <c r="G281" s="39" t="s">
        <v>5</v>
      </c>
    </row>
    <row r="282" spans="1:7" x14ac:dyDescent="0.3">
      <c r="A282" s="34">
        <v>281</v>
      </c>
      <c r="B282" s="34">
        <v>15</v>
      </c>
      <c r="C282" s="34">
        <v>3368</v>
      </c>
      <c r="D282" s="34">
        <v>23</v>
      </c>
      <c r="E282" s="34" t="s">
        <v>3</v>
      </c>
      <c r="F282" s="34" t="s">
        <v>9</v>
      </c>
      <c r="G282" s="39" t="s">
        <v>5</v>
      </c>
    </row>
    <row r="283" spans="1:7" x14ac:dyDescent="0.3">
      <c r="A283" s="34">
        <v>282</v>
      </c>
      <c r="B283" s="34">
        <v>12</v>
      </c>
      <c r="C283" s="34">
        <v>1574</v>
      </c>
      <c r="D283" s="34">
        <v>50</v>
      </c>
      <c r="E283" s="34" t="s">
        <v>3</v>
      </c>
      <c r="F283" s="34" t="s">
        <v>4</v>
      </c>
      <c r="G283" s="39" t="s">
        <v>5</v>
      </c>
    </row>
    <row r="284" spans="1:7" x14ac:dyDescent="0.3">
      <c r="A284" s="34">
        <v>283</v>
      </c>
      <c r="B284" s="34">
        <v>18</v>
      </c>
      <c r="C284" s="34">
        <v>1445</v>
      </c>
      <c r="D284" s="34">
        <v>49</v>
      </c>
      <c r="E284" s="34" t="s">
        <v>3</v>
      </c>
      <c r="F284" s="34" t="s">
        <v>4</v>
      </c>
      <c r="G284" s="39" t="s">
        <v>5</v>
      </c>
    </row>
    <row r="285" spans="1:7" x14ac:dyDescent="0.3">
      <c r="A285" s="34">
        <v>284</v>
      </c>
      <c r="B285" s="34">
        <v>15</v>
      </c>
      <c r="C285" s="34">
        <v>1520</v>
      </c>
      <c r="D285" s="34">
        <v>63</v>
      </c>
      <c r="E285" s="34" t="s">
        <v>3</v>
      </c>
      <c r="F285" s="34" t="s">
        <v>4</v>
      </c>
      <c r="G285" s="39" t="s">
        <v>5</v>
      </c>
    </row>
    <row r="286" spans="1:7" x14ac:dyDescent="0.3">
      <c r="A286" s="34">
        <v>285</v>
      </c>
      <c r="B286" s="34">
        <v>24</v>
      </c>
      <c r="C286" s="34">
        <v>3878</v>
      </c>
      <c r="D286" s="34">
        <v>37</v>
      </c>
      <c r="E286" s="34" t="s">
        <v>10</v>
      </c>
      <c r="F286" s="34" t="s">
        <v>4</v>
      </c>
      <c r="G286" s="39" t="s">
        <v>5</v>
      </c>
    </row>
    <row r="287" spans="1:7" x14ac:dyDescent="0.3">
      <c r="A287" s="34">
        <v>286</v>
      </c>
      <c r="B287" s="34">
        <v>47</v>
      </c>
      <c r="C287" s="34">
        <v>10722</v>
      </c>
      <c r="D287" s="34">
        <v>35</v>
      </c>
      <c r="E287" s="34" t="s">
        <v>6</v>
      </c>
      <c r="F287" s="34" t="s">
        <v>4</v>
      </c>
      <c r="G287" s="39" t="s">
        <v>5</v>
      </c>
    </row>
    <row r="288" spans="1:7" x14ac:dyDescent="0.3">
      <c r="A288" s="34">
        <v>287</v>
      </c>
      <c r="B288" s="34">
        <v>48</v>
      </c>
      <c r="C288" s="34">
        <v>4788</v>
      </c>
      <c r="D288" s="34">
        <v>26</v>
      </c>
      <c r="E288" s="34" t="s">
        <v>3</v>
      </c>
      <c r="F288" s="34" t="s">
        <v>4</v>
      </c>
      <c r="G288" s="39" t="s">
        <v>5</v>
      </c>
    </row>
    <row r="289" spans="1:7" x14ac:dyDescent="0.3">
      <c r="A289" s="34">
        <v>288</v>
      </c>
      <c r="B289" s="34">
        <v>48</v>
      </c>
      <c r="C289" s="34">
        <v>7582</v>
      </c>
      <c r="D289" s="34">
        <v>31</v>
      </c>
      <c r="E289" s="34" t="s">
        <v>3</v>
      </c>
      <c r="F289" s="34" t="s">
        <v>8</v>
      </c>
      <c r="G289" s="39" t="s">
        <v>5</v>
      </c>
    </row>
    <row r="290" spans="1:7" x14ac:dyDescent="0.3">
      <c r="A290" s="34">
        <v>289</v>
      </c>
      <c r="B290" s="34">
        <v>12</v>
      </c>
      <c r="C290" s="34">
        <v>1092</v>
      </c>
      <c r="D290" s="34">
        <v>49</v>
      </c>
      <c r="E290" s="34" t="s">
        <v>6</v>
      </c>
      <c r="F290" s="34" t="s">
        <v>4</v>
      </c>
      <c r="G290" s="39" t="s">
        <v>5</v>
      </c>
    </row>
    <row r="291" spans="1:7" x14ac:dyDescent="0.3">
      <c r="A291" s="34">
        <v>290</v>
      </c>
      <c r="B291" s="34">
        <v>24</v>
      </c>
      <c r="C291" s="34">
        <v>1024</v>
      </c>
      <c r="D291" s="34">
        <v>48</v>
      </c>
      <c r="E291" s="34" t="s">
        <v>11</v>
      </c>
      <c r="F291" s="34" t="s">
        <v>4</v>
      </c>
      <c r="G291" s="39" t="s">
        <v>7</v>
      </c>
    </row>
    <row r="292" spans="1:7" x14ac:dyDescent="0.3">
      <c r="A292" s="34">
        <v>291</v>
      </c>
      <c r="B292" s="34">
        <v>12</v>
      </c>
      <c r="C292" s="34">
        <v>1076</v>
      </c>
      <c r="D292" s="34">
        <v>26</v>
      </c>
      <c r="E292" s="34" t="s">
        <v>11</v>
      </c>
      <c r="F292" s="34" t="s">
        <v>4</v>
      </c>
      <c r="G292" s="39" t="s">
        <v>5</v>
      </c>
    </row>
    <row r="293" spans="1:7" x14ac:dyDescent="0.3">
      <c r="A293" s="34">
        <v>292</v>
      </c>
      <c r="B293" s="34">
        <v>36</v>
      </c>
      <c r="C293" s="34">
        <v>9398</v>
      </c>
      <c r="D293" s="34">
        <v>28</v>
      </c>
      <c r="E293" s="34" t="s">
        <v>11</v>
      </c>
      <c r="F293" s="34" t="s">
        <v>9</v>
      </c>
      <c r="G293" s="39" t="s">
        <v>7</v>
      </c>
    </row>
    <row r="294" spans="1:7" x14ac:dyDescent="0.3">
      <c r="A294" s="34">
        <v>293</v>
      </c>
      <c r="B294" s="34">
        <v>24</v>
      </c>
      <c r="C294" s="34">
        <v>6419</v>
      </c>
      <c r="D294" s="34">
        <v>44</v>
      </c>
      <c r="E294" s="34" t="s">
        <v>6</v>
      </c>
      <c r="F294" s="34" t="s">
        <v>8</v>
      </c>
      <c r="G294" s="39" t="s">
        <v>5</v>
      </c>
    </row>
    <row r="295" spans="1:7" x14ac:dyDescent="0.3">
      <c r="A295" s="34">
        <v>294</v>
      </c>
      <c r="B295" s="34">
        <v>42</v>
      </c>
      <c r="C295" s="34">
        <v>4796</v>
      </c>
      <c r="D295" s="34">
        <v>56</v>
      </c>
      <c r="E295" s="34" t="s">
        <v>3</v>
      </c>
      <c r="F295" s="34" t="s">
        <v>8</v>
      </c>
      <c r="G295" s="39" t="s">
        <v>5</v>
      </c>
    </row>
    <row r="296" spans="1:7" x14ac:dyDescent="0.3">
      <c r="A296" s="34">
        <v>295</v>
      </c>
      <c r="B296" s="34">
        <v>48</v>
      </c>
      <c r="C296" s="34">
        <v>7629</v>
      </c>
      <c r="D296" s="34">
        <v>46</v>
      </c>
      <c r="E296" s="34" t="s">
        <v>10</v>
      </c>
      <c r="F296" s="34" t="s">
        <v>4</v>
      </c>
      <c r="G296" s="39" t="s">
        <v>5</v>
      </c>
    </row>
    <row r="297" spans="1:7" x14ac:dyDescent="0.3">
      <c r="A297" s="34">
        <v>296</v>
      </c>
      <c r="B297" s="34">
        <v>48</v>
      </c>
      <c r="C297" s="34">
        <v>9960</v>
      </c>
      <c r="D297" s="34">
        <v>26</v>
      </c>
      <c r="E297" s="34" t="s">
        <v>6</v>
      </c>
      <c r="F297" s="34" t="s">
        <v>4</v>
      </c>
      <c r="G297" s="39" t="s">
        <v>7</v>
      </c>
    </row>
    <row r="298" spans="1:7" x14ac:dyDescent="0.3">
      <c r="A298" s="34">
        <v>297</v>
      </c>
      <c r="B298" s="34">
        <v>12</v>
      </c>
      <c r="C298" s="34">
        <v>4675</v>
      </c>
      <c r="D298" s="34">
        <v>20</v>
      </c>
      <c r="E298" s="34" t="s">
        <v>6</v>
      </c>
      <c r="F298" s="34" t="s">
        <v>9</v>
      </c>
      <c r="G298" s="39" t="s">
        <v>5</v>
      </c>
    </row>
    <row r="299" spans="1:7" x14ac:dyDescent="0.3">
      <c r="A299" s="34">
        <v>298</v>
      </c>
      <c r="B299" s="34">
        <v>10</v>
      </c>
      <c r="C299" s="34">
        <v>1287</v>
      </c>
      <c r="D299" s="34">
        <v>45</v>
      </c>
      <c r="E299" s="34" t="s">
        <v>3</v>
      </c>
      <c r="F299" s="34" t="s">
        <v>4</v>
      </c>
      <c r="G299" s="39" t="s">
        <v>5</v>
      </c>
    </row>
    <row r="300" spans="1:7" x14ac:dyDescent="0.3">
      <c r="A300" s="34">
        <v>299</v>
      </c>
      <c r="B300" s="34">
        <v>18</v>
      </c>
      <c r="C300" s="34">
        <v>2515</v>
      </c>
      <c r="D300" s="34">
        <v>43</v>
      </c>
      <c r="E300" s="34" t="s">
        <v>3</v>
      </c>
      <c r="F300" s="34" t="s">
        <v>4</v>
      </c>
      <c r="G300" s="39" t="s">
        <v>5</v>
      </c>
    </row>
    <row r="301" spans="1:7" x14ac:dyDescent="0.3">
      <c r="A301" s="34">
        <v>300</v>
      </c>
      <c r="B301" s="34">
        <v>21</v>
      </c>
      <c r="C301" s="34">
        <v>2745</v>
      </c>
      <c r="D301" s="34">
        <v>32</v>
      </c>
      <c r="E301" s="34" t="s">
        <v>3</v>
      </c>
      <c r="F301" s="34" t="s">
        <v>4</v>
      </c>
      <c r="G301" s="39" t="s">
        <v>5</v>
      </c>
    </row>
    <row r="302" spans="1:7" x14ac:dyDescent="0.3">
      <c r="A302" s="34">
        <v>301</v>
      </c>
      <c r="B302" s="34">
        <v>6</v>
      </c>
      <c r="C302" s="34">
        <v>672</v>
      </c>
      <c r="D302" s="34">
        <v>54</v>
      </c>
      <c r="E302" s="34" t="s">
        <v>6</v>
      </c>
      <c r="F302" s="34" t="s">
        <v>4</v>
      </c>
      <c r="G302" s="39" t="s">
        <v>5</v>
      </c>
    </row>
    <row r="303" spans="1:7" x14ac:dyDescent="0.3">
      <c r="A303" s="34">
        <v>302</v>
      </c>
      <c r="B303" s="34">
        <v>36</v>
      </c>
      <c r="C303" s="34">
        <v>3804</v>
      </c>
      <c r="D303" s="34">
        <v>42</v>
      </c>
      <c r="E303" s="34" t="s">
        <v>6</v>
      </c>
      <c r="F303" s="34" t="s">
        <v>4</v>
      </c>
      <c r="G303" s="39" t="s">
        <v>7</v>
      </c>
    </row>
    <row r="304" spans="1:7" x14ac:dyDescent="0.3">
      <c r="A304" s="34">
        <v>303</v>
      </c>
      <c r="B304" s="34">
        <v>24</v>
      </c>
      <c r="C304" s="34">
        <v>1344</v>
      </c>
      <c r="D304" s="34">
        <v>37</v>
      </c>
      <c r="E304" s="34" t="s">
        <v>3</v>
      </c>
      <c r="F304" s="34" t="s">
        <v>4</v>
      </c>
      <c r="G304" s="39" t="s">
        <v>7</v>
      </c>
    </row>
    <row r="305" spans="1:7" x14ac:dyDescent="0.3">
      <c r="A305" s="34">
        <v>304</v>
      </c>
      <c r="B305" s="34">
        <v>10</v>
      </c>
      <c r="C305" s="34">
        <v>1038</v>
      </c>
      <c r="D305" s="34">
        <v>49</v>
      </c>
      <c r="E305" s="34" t="s">
        <v>3</v>
      </c>
      <c r="F305" s="34" t="s">
        <v>4</v>
      </c>
      <c r="G305" s="39" t="s">
        <v>5</v>
      </c>
    </row>
    <row r="306" spans="1:7" x14ac:dyDescent="0.3">
      <c r="A306" s="34">
        <v>305</v>
      </c>
      <c r="B306" s="34">
        <v>48</v>
      </c>
      <c r="C306" s="34">
        <v>10127</v>
      </c>
      <c r="D306" s="34">
        <v>44</v>
      </c>
      <c r="E306" s="34" t="s">
        <v>3</v>
      </c>
      <c r="F306" s="34" t="s">
        <v>8</v>
      </c>
      <c r="G306" s="39" t="s">
        <v>7</v>
      </c>
    </row>
    <row r="307" spans="1:7" x14ac:dyDescent="0.3">
      <c r="A307" s="34">
        <v>306</v>
      </c>
      <c r="B307" s="34">
        <v>6</v>
      </c>
      <c r="C307" s="34">
        <v>1543</v>
      </c>
      <c r="D307" s="34">
        <v>33</v>
      </c>
      <c r="E307" s="34" t="s">
        <v>10</v>
      </c>
      <c r="F307" s="34" t="s">
        <v>4</v>
      </c>
      <c r="G307" s="39" t="s">
        <v>5</v>
      </c>
    </row>
    <row r="308" spans="1:7" x14ac:dyDescent="0.3">
      <c r="A308" s="34">
        <v>307</v>
      </c>
      <c r="B308" s="34">
        <v>30</v>
      </c>
      <c r="C308" s="34">
        <v>4811</v>
      </c>
      <c r="D308" s="34">
        <v>24</v>
      </c>
      <c r="E308" s="34" t="s">
        <v>6</v>
      </c>
      <c r="F308" s="34" t="s">
        <v>9</v>
      </c>
      <c r="G308" s="39" t="s">
        <v>5</v>
      </c>
    </row>
    <row r="309" spans="1:7" x14ac:dyDescent="0.3">
      <c r="A309" s="34">
        <v>308</v>
      </c>
      <c r="B309" s="34">
        <v>12</v>
      </c>
      <c r="C309" s="34">
        <v>727</v>
      </c>
      <c r="D309" s="34">
        <v>33</v>
      </c>
      <c r="E309" s="34" t="s">
        <v>11</v>
      </c>
      <c r="F309" s="34" t="s">
        <v>4</v>
      </c>
      <c r="G309" s="39" t="s">
        <v>7</v>
      </c>
    </row>
    <row r="310" spans="1:7" x14ac:dyDescent="0.3">
      <c r="A310" s="34">
        <v>309</v>
      </c>
      <c r="B310" s="34">
        <v>8</v>
      </c>
      <c r="C310" s="34">
        <v>1237</v>
      </c>
      <c r="D310" s="34">
        <v>24</v>
      </c>
      <c r="E310" s="34" t="s">
        <v>6</v>
      </c>
      <c r="F310" s="34" t="s">
        <v>4</v>
      </c>
      <c r="G310" s="39" t="s">
        <v>7</v>
      </c>
    </row>
    <row r="311" spans="1:7" x14ac:dyDescent="0.3">
      <c r="A311" s="34">
        <v>310</v>
      </c>
      <c r="B311" s="34">
        <v>9</v>
      </c>
      <c r="C311" s="34">
        <v>276</v>
      </c>
      <c r="D311" s="34">
        <v>22</v>
      </c>
      <c r="E311" s="34" t="s">
        <v>11</v>
      </c>
      <c r="F311" s="34" t="s">
        <v>9</v>
      </c>
      <c r="G311" s="39" t="s">
        <v>5</v>
      </c>
    </row>
    <row r="312" spans="1:7" x14ac:dyDescent="0.3">
      <c r="A312" s="34">
        <v>311</v>
      </c>
      <c r="B312" s="34">
        <v>48</v>
      </c>
      <c r="C312" s="34">
        <v>5381</v>
      </c>
      <c r="D312" s="34">
        <v>40</v>
      </c>
      <c r="E312" s="34" t="s">
        <v>3</v>
      </c>
      <c r="F312" s="34" t="s">
        <v>8</v>
      </c>
      <c r="G312" s="39" t="s">
        <v>5</v>
      </c>
    </row>
    <row r="313" spans="1:7" x14ac:dyDescent="0.3">
      <c r="A313" s="34">
        <v>312</v>
      </c>
      <c r="B313" s="34">
        <v>24</v>
      </c>
      <c r="C313" s="34">
        <v>5511</v>
      </c>
      <c r="D313" s="34">
        <v>25</v>
      </c>
      <c r="E313" s="34" t="s">
        <v>3</v>
      </c>
      <c r="F313" s="34" t="s">
        <v>4</v>
      </c>
      <c r="G313" s="39" t="s">
        <v>5</v>
      </c>
    </row>
    <row r="314" spans="1:7" x14ac:dyDescent="0.3">
      <c r="A314" s="34">
        <v>313</v>
      </c>
      <c r="B314" s="34">
        <v>24</v>
      </c>
      <c r="C314" s="34">
        <v>3749</v>
      </c>
      <c r="D314" s="34">
        <v>26</v>
      </c>
      <c r="E314" s="34" t="s">
        <v>6</v>
      </c>
      <c r="F314" s="34" t="s">
        <v>4</v>
      </c>
      <c r="G314" s="39" t="s">
        <v>5</v>
      </c>
    </row>
    <row r="315" spans="1:7" x14ac:dyDescent="0.3">
      <c r="A315" s="34">
        <v>314</v>
      </c>
      <c r="B315" s="34">
        <v>12</v>
      </c>
      <c r="C315" s="34">
        <v>685</v>
      </c>
      <c r="D315" s="34">
        <v>25</v>
      </c>
      <c r="E315" s="34" t="s">
        <v>11</v>
      </c>
      <c r="F315" s="34" t="s">
        <v>4</v>
      </c>
      <c r="G315" s="39" t="s">
        <v>7</v>
      </c>
    </row>
    <row r="316" spans="1:7" x14ac:dyDescent="0.3">
      <c r="A316" s="34">
        <v>315</v>
      </c>
      <c r="B316" s="34">
        <v>4</v>
      </c>
      <c r="C316" s="34">
        <v>1494</v>
      </c>
      <c r="D316" s="34">
        <v>29</v>
      </c>
      <c r="E316" s="34" t="s">
        <v>3</v>
      </c>
      <c r="F316" s="34" t="s">
        <v>4</v>
      </c>
      <c r="G316" s="39" t="s">
        <v>5</v>
      </c>
    </row>
    <row r="317" spans="1:7" x14ac:dyDescent="0.3">
      <c r="A317" s="34">
        <v>316</v>
      </c>
      <c r="B317" s="34">
        <v>36</v>
      </c>
      <c r="C317" s="34">
        <v>2746</v>
      </c>
      <c r="D317" s="34">
        <v>31</v>
      </c>
      <c r="E317" s="34" t="s">
        <v>3</v>
      </c>
      <c r="F317" s="34" t="s">
        <v>4</v>
      </c>
      <c r="G317" s="39" t="s">
        <v>7</v>
      </c>
    </row>
    <row r="318" spans="1:7" x14ac:dyDescent="0.3">
      <c r="A318" s="34">
        <v>317</v>
      </c>
      <c r="B318" s="34">
        <v>12</v>
      </c>
      <c r="C318" s="34">
        <v>708</v>
      </c>
      <c r="D318" s="34">
        <v>38</v>
      </c>
      <c r="E318" s="34" t="s">
        <v>3</v>
      </c>
      <c r="F318" s="34" t="s">
        <v>4</v>
      </c>
      <c r="G318" s="39" t="s">
        <v>5</v>
      </c>
    </row>
    <row r="319" spans="1:7" x14ac:dyDescent="0.3">
      <c r="A319" s="34">
        <v>318</v>
      </c>
      <c r="B319" s="34">
        <v>24</v>
      </c>
      <c r="C319" s="34">
        <v>4351</v>
      </c>
      <c r="D319" s="34">
        <v>48</v>
      </c>
      <c r="E319" s="34" t="s">
        <v>6</v>
      </c>
      <c r="F319" s="34" t="s">
        <v>4</v>
      </c>
      <c r="G319" s="39" t="s">
        <v>5</v>
      </c>
    </row>
    <row r="320" spans="1:7" x14ac:dyDescent="0.3">
      <c r="A320" s="34">
        <v>319</v>
      </c>
      <c r="B320" s="34">
        <v>12</v>
      </c>
      <c r="C320" s="34">
        <v>701</v>
      </c>
      <c r="D320" s="34">
        <v>32</v>
      </c>
      <c r="E320" s="34" t="s">
        <v>3</v>
      </c>
      <c r="F320" s="34" t="s">
        <v>4</v>
      </c>
      <c r="G320" s="39" t="s">
        <v>5</v>
      </c>
    </row>
    <row r="321" spans="1:7" x14ac:dyDescent="0.3">
      <c r="A321" s="34">
        <v>320</v>
      </c>
      <c r="B321" s="34">
        <v>15</v>
      </c>
      <c r="C321" s="34">
        <v>3643</v>
      </c>
      <c r="D321" s="34">
        <v>27</v>
      </c>
      <c r="E321" s="34" t="s">
        <v>6</v>
      </c>
      <c r="F321" s="34" t="s">
        <v>4</v>
      </c>
      <c r="G321" s="39" t="s">
        <v>5</v>
      </c>
    </row>
    <row r="322" spans="1:7" x14ac:dyDescent="0.3">
      <c r="A322" s="34">
        <v>321</v>
      </c>
      <c r="B322" s="34">
        <v>30</v>
      </c>
      <c r="C322" s="34">
        <v>4249</v>
      </c>
      <c r="D322" s="34">
        <v>28</v>
      </c>
      <c r="E322" s="34" t="s">
        <v>11</v>
      </c>
      <c r="F322" s="34" t="s">
        <v>4</v>
      </c>
      <c r="G322" s="39" t="s">
        <v>7</v>
      </c>
    </row>
    <row r="323" spans="1:7" x14ac:dyDescent="0.3">
      <c r="A323" s="34">
        <v>322</v>
      </c>
      <c r="B323" s="34">
        <v>24</v>
      </c>
      <c r="C323" s="34">
        <v>1938</v>
      </c>
      <c r="D323" s="34">
        <v>32</v>
      </c>
      <c r="E323" s="34" t="s">
        <v>10</v>
      </c>
      <c r="F323" s="34" t="s">
        <v>4</v>
      </c>
      <c r="G323" s="39" t="s">
        <v>7</v>
      </c>
    </row>
    <row r="324" spans="1:7" x14ac:dyDescent="0.3">
      <c r="A324" s="34">
        <v>323</v>
      </c>
      <c r="B324" s="34">
        <v>24</v>
      </c>
      <c r="C324" s="34">
        <v>2910</v>
      </c>
      <c r="D324" s="34">
        <v>34</v>
      </c>
      <c r="E324" s="34" t="s">
        <v>3</v>
      </c>
      <c r="F324" s="34" t="s">
        <v>8</v>
      </c>
      <c r="G324" s="39" t="s">
        <v>5</v>
      </c>
    </row>
    <row r="325" spans="1:7" x14ac:dyDescent="0.3">
      <c r="A325" s="34">
        <v>324</v>
      </c>
      <c r="B325" s="34">
        <v>18</v>
      </c>
      <c r="C325" s="34">
        <v>2659</v>
      </c>
      <c r="D325" s="34">
        <v>28</v>
      </c>
      <c r="E325" s="34" t="s">
        <v>3</v>
      </c>
      <c r="F325" s="34" t="s">
        <v>4</v>
      </c>
      <c r="G325" s="39" t="s">
        <v>5</v>
      </c>
    </row>
    <row r="326" spans="1:7" x14ac:dyDescent="0.3">
      <c r="A326" s="34">
        <v>325</v>
      </c>
      <c r="B326" s="34">
        <v>18</v>
      </c>
      <c r="C326" s="34">
        <v>1028</v>
      </c>
      <c r="D326" s="34">
        <v>36</v>
      </c>
      <c r="E326" s="34" t="s">
        <v>6</v>
      </c>
      <c r="F326" s="34" t="s">
        <v>4</v>
      </c>
      <c r="G326" s="39" t="s">
        <v>5</v>
      </c>
    </row>
    <row r="327" spans="1:7" x14ac:dyDescent="0.3">
      <c r="A327" s="34">
        <v>326</v>
      </c>
      <c r="B327" s="34">
        <v>8</v>
      </c>
      <c r="C327" s="34">
        <v>3398</v>
      </c>
      <c r="D327" s="34">
        <v>39</v>
      </c>
      <c r="E327" s="34" t="s">
        <v>3</v>
      </c>
      <c r="F327" s="34" t="s">
        <v>4</v>
      </c>
      <c r="G327" s="39" t="s">
        <v>5</v>
      </c>
    </row>
    <row r="328" spans="1:7" x14ac:dyDescent="0.3">
      <c r="A328" s="34">
        <v>327</v>
      </c>
      <c r="B328" s="34">
        <v>12</v>
      </c>
      <c r="C328" s="34">
        <v>5801</v>
      </c>
      <c r="D328" s="34">
        <v>49</v>
      </c>
      <c r="E328" s="34" t="s">
        <v>3</v>
      </c>
      <c r="F328" s="34" t="s">
        <v>9</v>
      </c>
      <c r="G328" s="39" t="s">
        <v>5</v>
      </c>
    </row>
    <row r="329" spans="1:7" x14ac:dyDescent="0.3">
      <c r="A329" s="34">
        <v>328</v>
      </c>
      <c r="B329" s="34">
        <v>24</v>
      </c>
      <c r="C329" s="34">
        <v>1525</v>
      </c>
      <c r="D329" s="34">
        <v>34</v>
      </c>
      <c r="E329" s="34" t="s">
        <v>6</v>
      </c>
      <c r="F329" s="34" t="s">
        <v>4</v>
      </c>
      <c r="G329" s="39" t="s">
        <v>5</v>
      </c>
    </row>
    <row r="330" spans="1:7" x14ac:dyDescent="0.3">
      <c r="A330" s="34">
        <v>329</v>
      </c>
      <c r="B330" s="34">
        <v>36</v>
      </c>
      <c r="C330" s="34">
        <v>4473</v>
      </c>
      <c r="D330" s="34">
        <v>31</v>
      </c>
      <c r="E330" s="34" t="s">
        <v>3</v>
      </c>
      <c r="F330" s="34" t="s">
        <v>4</v>
      </c>
      <c r="G330" s="39" t="s">
        <v>5</v>
      </c>
    </row>
    <row r="331" spans="1:7" x14ac:dyDescent="0.3">
      <c r="A331" s="34">
        <v>330</v>
      </c>
      <c r="B331" s="34">
        <v>6</v>
      </c>
      <c r="C331" s="34">
        <v>1068</v>
      </c>
      <c r="D331" s="34">
        <v>28</v>
      </c>
      <c r="E331" s="34" t="s">
        <v>3</v>
      </c>
      <c r="F331" s="34" t="s">
        <v>4</v>
      </c>
      <c r="G331" s="39" t="s">
        <v>5</v>
      </c>
    </row>
    <row r="332" spans="1:7" x14ac:dyDescent="0.3">
      <c r="A332" s="34">
        <v>331</v>
      </c>
      <c r="B332" s="34">
        <v>24</v>
      </c>
      <c r="C332" s="34">
        <v>6615</v>
      </c>
      <c r="D332" s="34">
        <v>75</v>
      </c>
      <c r="E332" s="34" t="s">
        <v>3</v>
      </c>
      <c r="F332" s="34" t="s">
        <v>8</v>
      </c>
      <c r="G332" s="39" t="s">
        <v>5</v>
      </c>
    </row>
    <row r="333" spans="1:7" x14ac:dyDescent="0.3">
      <c r="A333" s="34">
        <v>332</v>
      </c>
      <c r="B333" s="34">
        <v>18</v>
      </c>
      <c r="C333" s="34">
        <v>1864</v>
      </c>
      <c r="D333" s="34">
        <v>30</v>
      </c>
      <c r="E333" s="34" t="s">
        <v>6</v>
      </c>
      <c r="F333" s="34" t="s">
        <v>4</v>
      </c>
      <c r="G333" s="39" t="s">
        <v>7</v>
      </c>
    </row>
    <row r="334" spans="1:7" x14ac:dyDescent="0.3">
      <c r="A334" s="34">
        <v>333</v>
      </c>
      <c r="B334" s="34">
        <v>60</v>
      </c>
      <c r="C334" s="34">
        <v>7408</v>
      </c>
      <c r="D334" s="34">
        <v>24</v>
      </c>
      <c r="E334" s="34" t="s">
        <v>6</v>
      </c>
      <c r="F334" s="34" t="s">
        <v>4</v>
      </c>
      <c r="G334" s="39" t="s">
        <v>7</v>
      </c>
    </row>
    <row r="335" spans="1:7" x14ac:dyDescent="0.3">
      <c r="A335" s="34">
        <v>334</v>
      </c>
      <c r="B335" s="34">
        <v>48</v>
      </c>
      <c r="C335" s="34">
        <v>11590</v>
      </c>
      <c r="D335" s="34">
        <v>24</v>
      </c>
      <c r="E335" s="34" t="s">
        <v>6</v>
      </c>
      <c r="F335" s="34" t="s">
        <v>9</v>
      </c>
      <c r="G335" s="39" t="s">
        <v>7</v>
      </c>
    </row>
    <row r="336" spans="1:7" x14ac:dyDescent="0.3">
      <c r="A336" s="34">
        <v>335</v>
      </c>
      <c r="B336" s="34">
        <v>24</v>
      </c>
      <c r="C336" s="34">
        <v>4110</v>
      </c>
      <c r="D336" s="34">
        <v>23</v>
      </c>
      <c r="E336" s="34" t="s">
        <v>3</v>
      </c>
      <c r="F336" s="34" t="s">
        <v>9</v>
      </c>
      <c r="G336" s="39" t="s">
        <v>7</v>
      </c>
    </row>
    <row r="337" spans="1:7" x14ac:dyDescent="0.3">
      <c r="A337" s="34">
        <v>336</v>
      </c>
      <c r="B337" s="34">
        <v>6</v>
      </c>
      <c r="C337" s="34">
        <v>3384</v>
      </c>
      <c r="D337" s="34">
        <v>44</v>
      </c>
      <c r="E337" s="34" t="s">
        <v>10</v>
      </c>
      <c r="F337" s="34" t="s">
        <v>9</v>
      </c>
      <c r="G337" s="39" t="s">
        <v>7</v>
      </c>
    </row>
    <row r="338" spans="1:7" x14ac:dyDescent="0.3">
      <c r="A338" s="34">
        <v>337</v>
      </c>
      <c r="B338" s="34">
        <v>13</v>
      </c>
      <c r="C338" s="34">
        <v>2101</v>
      </c>
      <c r="D338" s="34">
        <v>23</v>
      </c>
      <c r="E338" s="34" t="s">
        <v>6</v>
      </c>
      <c r="F338" s="34" t="s">
        <v>4</v>
      </c>
      <c r="G338" s="39" t="s">
        <v>5</v>
      </c>
    </row>
    <row r="339" spans="1:7" x14ac:dyDescent="0.3">
      <c r="A339" s="34">
        <v>338</v>
      </c>
      <c r="B339" s="34">
        <v>15</v>
      </c>
      <c r="C339" s="34">
        <v>1275</v>
      </c>
      <c r="D339" s="34">
        <v>24</v>
      </c>
      <c r="E339" s="34" t="s">
        <v>6</v>
      </c>
      <c r="F339" s="34" t="s">
        <v>9</v>
      </c>
      <c r="G339" s="39" t="s">
        <v>7</v>
      </c>
    </row>
    <row r="340" spans="1:7" x14ac:dyDescent="0.3">
      <c r="A340" s="34">
        <v>339</v>
      </c>
      <c r="B340" s="34">
        <v>24</v>
      </c>
      <c r="C340" s="34">
        <v>4169</v>
      </c>
      <c r="D340" s="34">
        <v>28</v>
      </c>
      <c r="E340" s="34" t="s">
        <v>3</v>
      </c>
      <c r="F340" s="34" t="s">
        <v>4</v>
      </c>
      <c r="G340" s="39" t="s">
        <v>5</v>
      </c>
    </row>
    <row r="341" spans="1:7" x14ac:dyDescent="0.3">
      <c r="A341" s="34">
        <v>340</v>
      </c>
      <c r="B341" s="34">
        <v>10</v>
      </c>
      <c r="C341" s="34">
        <v>1521</v>
      </c>
      <c r="D341" s="34">
        <v>31</v>
      </c>
      <c r="E341" s="34" t="s">
        <v>10</v>
      </c>
      <c r="F341" s="34" t="s">
        <v>4</v>
      </c>
      <c r="G341" s="39" t="s">
        <v>5</v>
      </c>
    </row>
    <row r="342" spans="1:7" x14ac:dyDescent="0.3">
      <c r="A342" s="34">
        <v>341</v>
      </c>
      <c r="B342" s="34">
        <v>24</v>
      </c>
      <c r="C342" s="34">
        <v>5743</v>
      </c>
      <c r="D342" s="34">
        <v>24</v>
      </c>
      <c r="E342" s="34" t="s">
        <v>6</v>
      </c>
      <c r="F342" s="34" t="s">
        <v>8</v>
      </c>
      <c r="G342" s="39" t="s">
        <v>5</v>
      </c>
    </row>
    <row r="343" spans="1:7" x14ac:dyDescent="0.3">
      <c r="A343" s="34">
        <v>342</v>
      </c>
      <c r="B343" s="34">
        <v>21</v>
      </c>
      <c r="C343" s="34">
        <v>3599</v>
      </c>
      <c r="D343" s="34">
        <v>26</v>
      </c>
      <c r="E343" s="34" t="s">
        <v>6</v>
      </c>
      <c r="F343" s="34" t="s">
        <v>9</v>
      </c>
      <c r="G343" s="39" t="s">
        <v>5</v>
      </c>
    </row>
    <row r="344" spans="1:7" x14ac:dyDescent="0.3">
      <c r="A344" s="34">
        <v>343</v>
      </c>
      <c r="B344" s="34">
        <v>18</v>
      </c>
      <c r="C344" s="34">
        <v>3213</v>
      </c>
      <c r="D344" s="34">
        <v>25</v>
      </c>
      <c r="E344" s="34" t="s">
        <v>11</v>
      </c>
      <c r="F344" s="34" t="s">
        <v>9</v>
      </c>
      <c r="G344" s="39" t="s">
        <v>5</v>
      </c>
    </row>
    <row r="345" spans="1:7" x14ac:dyDescent="0.3">
      <c r="A345" s="34">
        <v>344</v>
      </c>
      <c r="B345" s="34">
        <v>18</v>
      </c>
      <c r="C345" s="34">
        <v>4439</v>
      </c>
      <c r="D345" s="34">
        <v>33</v>
      </c>
      <c r="E345" s="34" t="s">
        <v>3</v>
      </c>
      <c r="F345" s="34" t="s">
        <v>4</v>
      </c>
      <c r="G345" s="39" t="s">
        <v>5</v>
      </c>
    </row>
    <row r="346" spans="1:7" x14ac:dyDescent="0.3">
      <c r="A346" s="34">
        <v>345</v>
      </c>
      <c r="B346" s="34">
        <v>10</v>
      </c>
      <c r="C346" s="34">
        <v>3949</v>
      </c>
      <c r="D346" s="34">
        <v>37</v>
      </c>
      <c r="E346" s="34" t="s">
        <v>3</v>
      </c>
      <c r="F346" s="34" t="s">
        <v>4</v>
      </c>
      <c r="G346" s="39" t="s">
        <v>5</v>
      </c>
    </row>
    <row r="347" spans="1:7" x14ac:dyDescent="0.3">
      <c r="A347" s="34">
        <v>346</v>
      </c>
      <c r="B347" s="34">
        <v>15</v>
      </c>
      <c r="C347" s="34">
        <v>1459</v>
      </c>
      <c r="D347" s="34">
        <v>43</v>
      </c>
      <c r="E347" s="34" t="s">
        <v>6</v>
      </c>
      <c r="F347" s="34" t="s">
        <v>4</v>
      </c>
      <c r="G347" s="39" t="s">
        <v>5</v>
      </c>
    </row>
    <row r="348" spans="1:7" x14ac:dyDescent="0.3">
      <c r="A348" s="34">
        <v>347</v>
      </c>
      <c r="B348" s="34">
        <v>13</v>
      </c>
      <c r="C348" s="34">
        <v>882</v>
      </c>
      <c r="D348" s="34">
        <v>23</v>
      </c>
      <c r="E348" s="34" t="s">
        <v>3</v>
      </c>
      <c r="F348" s="34" t="s">
        <v>4</v>
      </c>
      <c r="G348" s="39" t="s">
        <v>5</v>
      </c>
    </row>
    <row r="349" spans="1:7" x14ac:dyDescent="0.3">
      <c r="A349" s="34">
        <v>348</v>
      </c>
      <c r="B349" s="34">
        <v>24</v>
      </c>
      <c r="C349" s="34">
        <v>3758</v>
      </c>
      <c r="D349" s="34">
        <v>23</v>
      </c>
      <c r="E349" s="34" t="s">
        <v>6</v>
      </c>
      <c r="F349" s="34" t="s">
        <v>9</v>
      </c>
      <c r="G349" s="39" t="s">
        <v>5</v>
      </c>
    </row>
    <row r="350" spans="1:7" x14ac:dyDescent="0.3">
      <c r="A350" s="34">
        <v>349</v>
      </c>
      <c r="B350" s="34">
        <v>6</v>
      </c>
      <c r="C350" s="34">
        <v>1743</v>
      </c>
      <c r="D350" s="34">
        <v>34</v>
      </c>
      <c r="E350" s="34" t="s">
        <v>3</v>
      </c>
      <c r="F350" s="34" t="s">
        <v>4</v>
      </c>
      <c r="G350" s="39" t="s">
        <v>5</v>
      </c>
    </row>
    <row r="351" spans="1:7" x14ac:dyDescent="0.3">
      <c r="A351" s="34">
        <v>350</v>
      </c>
      <c r="B351" s="34">
        <v>9</v>
      </c>
      <c r="C351" s="34">
        <v>1136</v>
      </c>
      <c r="D351" s="34">
        <v>32</v>
      </c>
      <c r="E351" s="34" t="s">
        <v>3</v>
      </c>
      <c r="F351" s="34" t="s">
        <v>8</v>
      </c>
      <c r="G351" s="39" t="s">
        <v>7</v>
      </c>
    </row>
    <row r="352" spans="1:7" x14ac:dyDescent="0.3">
      <c r="A352" s="34">
        <v>351</v>
      </c>
      <c r="B352" s="34">
        <v>9</v>
      </c>
      <c r="C352" s="34">
        <v>1236</v>
      </c>
      <c r="D352" s="34">
        <v>23</v>
      </c>
      <c r="E352" s="34" t="s">
        <v>6</v>
      </c>
      <c r="F352" s="34" t="s">
        <v>9</v>
      </c>
      <c r="G352" s="39" t="s">
        <v>5</v>
      </c>
    </row>
    <row r="353" spans="1:7" x14ac:dyDescent="0.3">
      <c r="A353" s="34">
        <v>352</v>
      </c>
      <c r="B353" s="34">
        <v>9</v>
      </c>
      <c r="C353" s="34">
        <v>959</v>
      </c>
      <c r="D353" s="34">
        <v>29</v>
      </c>
      <c r="E353" s="34" t="s">
        <v>6</v>
      </c>
      <c r="F353" s="34" t="s">
        <v>4</v>
      </c>
      <c r="G353" s="39" t="s">
        <v>7</v>
      </c>
    </row>
    <row r="354" spans="1:7" x14ac:dyDescent="0.3">
      <c r="A354" s="34">
        <v>353</v>
      </c>
      <c r="B354" s="34">
        <v>18</v>
      </c>
      <c r="C354" s="34">
        <v>3229</v>
      </c>
      <c r="D354" s="34">
        <v>38</v>
      </c>
      <c r="E354" s="34" t="s">
        <v>3</v>
      </c>
      <c r="F354" s="34" t="s">
        <v>4</v>
      </c>
      <c r="G354" s="39" t="s">
        <v>5</v>
      </c>
    </row>
    <row r="355" spans="1:7" x14ac:dyDescent="0.3">
      <c r="A355" s="34">
        <v>354</v>
      </c>
      <c r="B355" s="34">
        <v>12</v>
      </c>
      <c r="C355" s="34">
        <v>6199</v>
      </c>
      <c r="D355" s="34">
        <v>28</v>
      </c>
      <c r="E355" s="34" t="s">
        <v>3</v>
      </c>
      <c r="F355" s="34" t="s">
        <v>9</v>
      </c>
      <c r="G355" s="39" t="s">
        <v>7</v>
      </c>
    </row>
    <row r="356" spans="1:7" x14ac:dyDescent="0.3">
      <c r="A356" s="34">
        <v>355</v>
      </c>
      <c r="B356" s="34">
        <v>10</v>
      </c>
      <c r="C356" s="34">
        <v>727</v>
      </c>
      <c r="D356" s="34">
        <v>46</v>
      </c>
      <c r="E356" s="34" t="s">
        <v>3</v>
      </c>
      <c r="F356" s="34" t="s">
        <v>8</v>
      </c>
      <c r="G356" s="39" t="s">
        <v>5</v>
      </c>
    </row>
    <row r="357" spans="1:7" x14ac:dyDescent="0.3">
      <c r="A357" s="34">
        <v>356</v>
      </c>
      <c r="B357" s="34">
        <v>24</v>
      </c>
      <c r="C357" s="34">
        <v>1246</v>
      </c>
      <c r="D357" s="34">
        <v>23</v>
      </c>
      <c r="E357" s="34" t="s">
        <v>3</v>
      </c>
      <c r="F357" s="34" t="s">
        <v>4</v>
      </c>
      <c r="G357" s="39" t="s">
        <v>7</v>
      </c>
    </row>
    <row r="358" spans="1:7" x14ac:dyDescent="0.3">
      <c r="A358" s="34">
        <v>357</v>
      </c>
      <c r="B358" s="34">
        <v>12</v>
      </c>
      <c r="C358" s="34">
        <v>2331</v>
      </c>
      <c r="D358" s="34">
        <v>49</v>
      </c>
      <c r="E358" s="34" t="s">
        <v>3</v>
      </c>
      <c r="F358" s="34" t="s">
        <v>4</v>
      </c>
      <c r="G358" s="39" t="s">
        <v>5</v>
      </c>
    </row>
    <row r="359" spans="1:7" x14ac:dyDescent="0.3">
      <c r="A359" s="34">
        <v>358</v>
      </c>
      <c r="B359" s="34">
        <v>36</v>
      </c>
      <c r="C359" s="34">
        <v>4463</v>
      </c>
      <c r="D359" s="34">
        <v>26</v>
      </c>
      <c r="E359" s="34" t="s">
        <v>3</v>
      </c>
      <c r="F359" s="34" t="s">
        <v>4</v>
      </c>
      <c r="G359" s="39" t="s">
        <v>7</v>
      </c>
    </row>
    <row r="360" spans="1:7" x14ac:dyDescent="0.3">
      <c r="A360" s="34">
        <v>359</v>
      </c>
      <c r="B360" s="34">
        <v>12</v>
      </c>
      <c r="C360" s="34">
        <v>776</v>
      </c>
      <c r="D360" s="34">
        <v>28</v>
      </c>
      <c r="E360" s="34" t="s">
        <v>11</v>
      </c>
      <c r="F360" s="34" t="s">
        <v>4</v>
      </c>
      <c r="G360" s="39" t="s">
        <v>5</v>
      </c>
    </row>
    <row r="361" spans="1:7" x14ac:dyDescent="0.3">
      <c r="A361" s="34">
        <v>360</v>
      </c>
      <c r="B361" s="34">
        <v>30</v>
      </c>
      <c r="C361" s="34">
        <v>2406</v>
      </c>
      <c r="D361" s="34">
        <v>23</v>
      </c>
      <c r="E361" s="34" t="s">
        <v>6</v>
      </c>
      <c r="F361" s="34" t="s">
        <v>9</v>
      </c>
      <c r="G361" s="39" t="s">
        <v>7</v>
      </c>
    </row>
    <row r="362" spans="1:7" x14ac:dyDescent="0.3">
      <c r="A362" s="34">
        <v>361</v>
      </c>
      <c r="B362" s="34">
        <v>18</v>
      </c>
      <c r="C362" s="34">
        <v>1239</v>
      </c>
      <c r="D362" s="34">
        <v>61</v>
      </c>
      <c r="E362" s="34" t="s">
        <v>3</v>
      </c>
      <c r="F362" s="34" t="s">
        <v>8</v>
      </c>
      <c r="G362" s="39" t="s">
        <v>5</v>
      </c>
    </row>
    <row r="363" spans="1:7" x14ac:dyDescent="0.3">
      <c r="A363" s="34">
        <v>362</v>
      </c>
      <c r="B363" s="34">
        <v>12</v>
      </c>
      <c r="C363" s="34">
        <v>3399</v>
      </c>
      <c r="D363" s="34">
        <v>37</v>
      </c>
      <c r="E363" s="34" t="s">
        <v>3</v>
      </c>
      <c r="F363" s="34" t="s">
        <v>4</v>
      </c>
      <c r="G363" s="39" t="s">
        <v>5</v>
      </c>
    </row>
    <row r="364" spans="1:7" x14ac:dyDescent="0.3">
      <c r="A364" s="34">
        <v>363</v>
      </c>
      <c r="B364" s="34">
        <v>12</v>
      </c>
      <c r="C364" s="34">
        <v>2247</v>
      </c>
      <c r="D364" s="34">
        <v>36</v>
      </c>
      <c r="E364" s="34" t="s">
        <v>6</v>
      </c>
      <c r="F364" s="34" t="s">
        <v>4</v>
      </c>
      <c r="G364" s="39" t="s">
        <v>5</v>
      </c>
    </row>
    <row r="365" spans="1:7" x14ac:dyDescent="0.3">
      <c r="A365" s="34">
        <v>364</v>
      </c>
      <c r="B365" s="34">
        <v>6</v>
      </c>
      <c r="C365" s="34">
        <v>1766</v>
      </c>
      <c r="D365" s="34">
        <v>21</v>
      </c>
      <c r="E365" s="34" t="s">
        <v>11</v>
      </c>
      <c r="F365" s="34" t="s">
        <v>9</v>
      </c>
      <c r="G365" s="39" t="s">
        <v>5</v>
      </c>
    </row>
    <row r="366" spans="1:7" x14ac:dyDescent="0.3">
      <c r="A366" s="34">
        <v>365</v>
      </c>
      <c r="B366" s="34">
        <v>18</v>
      </c>
      <c r="C366" s="34">
        <v>2473</v>
      </c>
      <c r="D366" s="34">
        <v>25</v>
      </c>
      <c r="E366" s="34" t="s">
        <v>3</v>
      </c>
      <c r="F366" s="34" t="s">
        <v>4</v>
      </c>
      <c r="G366" s="39" t="s">
        <v>7</v>
      </c>
    </row>
    <row r="367" spans="1:7" x14ac:dyDescent="0.3">
      <c r="A367" s="34">
        <v>366</v>
      </c>
      <c r="B367" s="34">
        <v>12</v>
      </c>
      <c r="C367" s="34">
        <v>1542</v>
      </c>
      <c r="D367" s="34">
        <v>36</v>
      </c>
      <c r="E367" s="34" t="s">
        <v>3</v>
      </c>
      <c r="F367" s="34" t="s">
        <v>4</v>
      </c>
      <c r="G367" s="39" t="s">
        <v>5</v>
      </c>
    </row>
    <row r="368" spans="1:7" x14ac:dyDescent="0.3">
      <c r="A368" s="34">
        <v>367</v>
      </c>
      <c r="B368" s="34">
        <v>18</v>
      </c>
      <c r="C368" s="34">
        <v>3850</v>
      </c>
      <c r="D368" s="34">
        <v>27</v>
      </c>
      <c r="E368" s="34" t="s">
        <v>3</v>
      </c>
      <c r="F368" s="34" t="s">
        <v>4</v>
      </c>
      <c r="G368" s="39" t="s">
        <v>5</v>
      </c>
    </row>
    <row r="369" spans="1:7" x14ac:dyDescent="0.3">
      <c r="A369" s="34">
        <v>368</v>
      </c>
      <c r="B369" s="34">
        <v>18</v>
      </c>
      <c r="C369" s="34">
        <v>3650</v>
      </c>
      <c r="D369" s="34">
        <v>22</v>
      </c>
      <c r="E369" s="34" t="s">
        <v>6</v>
      </c>
      <c r="F369" s="34" t="s">
        <v>9</v>
      </c>
      <c r="G369" s="39" t="s">
        <v>5</v>
      </c>
    </row>
    <row r="370" spans="1:7" x14ac:dyDescent="0.3">
      <c r="A370" s="34">
        <v>369</v>
      </c>
      <c r="B370" s="34">
        <v>36</v>
      </c>
      <c r="C370" s="34">
        <v>3446</v>
      </c>
      <c r="D370" s="34">
        <v>42</v>
      </c>
      <c r="E370" s="34" t="s">
        <v>3</v>
      </c>
      <c r="F370" s="34" t="s">
        <v>4</v>
      </c>
      <c r="G370" s="39" t="s">
        <v>7</v>
      </c>
    </row>
    <row r="371" spans="1:7" x14ac:dyDescent="0.3">
      <c r="A371" s="34">
        <v>370</v>
      </c>
      <c r="B371" s="34">
        <v>18</v>
      </c>
      <c r="C371" s="34">
        <v>3001</v>
      </c>
      <c r="D371" s="34">
        <v>40</v>
      </c>
      <c r="E371" s="34" t="s">
        <v>6</v>
      </c>
      <c r="F371" s="34" t="s">
        <v>9</v>
      </c>
      <c r="G371" s="39" t="s">
        <v>5</v>
      </c>
    </row>
    <row r="372" spans="1:7" x14ac:dyDescent="0.3">
      <c r="A372" s="34">
        <v>371</v>
      </c>
      <c r="B372" s="34">
        <v>36</v>
      </c>
      <c r="C372" s="34">
        <v>3079</v>
      </c>
      <c r="D372" s="34">
        <v>36</v>
      </c>
      <c r="E372" s="34" t="s">
        <v>3</v>
      </c>
      <c r="F372" s="34" t="s">
        <v>4</v>
      </c>
      <c r="G372" s="39" t="s">
        <v>5</v>
      </c>
    </row>
    <row r="373" spans="1:7" x14ac:dyDescent="0.3">
      <c r="A373" s="34">
        <v>372</v>
      </c>
      <c r="B373" s="34">
        <v>18</v>
      </c>
      <c r="C373" s="34">
        <v>6070</v>
      </c>
      <c r="D373" s="34">
        <v>33</v>
      </c>
      <c r="E373" s="34" t="s">
        <v>3</v>
      </c>
      <c r="F373" s="34" t="s">
        <v>4</v>
      </c>
      <c r="G373" s="39" t="s">
        <v>5</v>
      </c>
    </row>
    <row r="374" spans="1:7" x14ac:dyDescent="0.3">
      <c r="A374" s="34">
        <v>373</v>
      </c>
      <c r="B374" s="34">
        <v>10</v>
      </c>
      <c r="C374" s="34">
        <v>2146</v>
      </c>
      <c r="D374" s="34">
        <v>23</v>
      </c>
      <c r="E374" s="34" t="s">
        <v>6</v>
      </c>
      <c r="F374" s="34" t="s">
        <v>9</v>
      </c>
      <c r="G374" s="39" t="s">
        <v>5</v>
      </c>
    </row>
    <row r="375" spans="1:7" x14ac:dyDescent="0.3">
      <c r="A375" s="34">
        <v>374</v>
      </c>
      <c r="B375" s="34">
        <v>60</v>
      </c>
      <c r="C375" s="34">
        <v>13756</v>
      </c>
      <c r="D375" s="34">
        <v>63</v>
      </c>
      <c r="E375" s="34" t="s">
        <v>3</v>
      </c>
      <c r="F375" s="34" t="s">
        <v>8</v>
      </c>
      <c r="G375" s="39" t="s">
        <v>5</v>
      </c>
    </row>
    <row r="376" spans="1:7" x14ac:dyDescent="0.3">
      <c r="A376" s="34">
        <v>375</v>
      </c>
      <c r="B376" s="34">
        <v>60</v>
      </c>
      <c r="C376" s="34">
        <v>14782</v>
      </c>
      <c r="D376" s="34">
        <v>60</v>
      </c>
      <c r="E376" s="34" t="s">
        <v>6</v>
      </c>
      <c r="F376" s="34" t="s">
        <v>8</v>
      </c>
      <c r="G376" s="39" t="s">
        <v>7</v>
      </c>
    </row>
    <row r="377" spans="1:7" x14ac:dyDescent="0.3">
      <c r="A377" s="34">
        <v>376</v>
      </c>
      <c r="B377" s="34">
        <v>48</v>
      </c>
      <c r="C377" s="34">
        <v>7685</v>
      </c>
      <c r="D377" s="34">
        <v>37</v>
      </c>
      <c r="E377" s="34" t="s">
        <v>6</v>
      </c>
      <c r="F377" s="34" t="s">
        <v>9</v>
      </c>
      <c r="G377" s="39" t="s">
        <v>7</v>
      </c>
    </row>
    <row r="378" spans="1:7" x14ac:dyDescent="0.3">
      <c r="A378" s="34">
        <v>377</v>
      </c>
      <c r="B378" s="34">
        <v>18</v>
      </c>
      <c r="C378" s="34">
        <v>2320</v>
      </c>
      <c r="D378" s="34">
        <v>34</v>
      </c>
      <c r="E378" s="34" t="s">
        <v>11</v>
      </c>
      <c r="F378" s="34" t="s">
        <v>4</v>
      </c>
      <c r="G378" s="39" t="s">
        <v>5</v>
      </c>
    </row>
    <row r="379" spans="1:7" x14ac:dyDescent="0.3">
      <c r="A379" s="34">
        <v>378</v>
      </c>
      <c r="B379" s="34">
        <v>7</v>
      </c>
      <c r="C379" s="34">
        <v>846</v>
      </c>
      <c r="D379" s="34">
        <v>36</v>
      </c>
      <c r="E379" s="34" t="s">
        <v>3</v>
      </c>
      <c r="F379" s="34" t="s">
        <v>8</v>
      </c>
      <c r="G379" s="39" t="s">
        <v>5</v>
      </c>
    </row>
    <row r="380" spans="1:7" x14ac:dyDescent="0.3">
      <c r="A380" s="34">
        <v>379</v>
      </c>
      <c r="B380" s="34">
        <v>36</v>
      </c>
      <c r="C380" s="34">
        <v>14318</v>
      </c>
      <c r="D380" s="34">
        <v>57</v>
      </c>
      <c r="E380" s="34" t="s">
        <v>3</v>
      </c>
      <c r="F380" s="34" t="s">
        <v>8</v>
      </c>
      <c r="G380" s="39" t="s">
        <v>7</v>
      </c>
    </row>
    <row r="381" spans="1:7" x14ac:dyDescent="0.3">
      <c r="A381" s="34">
        <v>380</v>
      </c>
      <c r="B381" s="34">
        <v>6</v>
      </c>
      <c r="C381" s="34">
        <v>362</v>
      </c>
      <c r="D381" s="34">
        <v>52</v>
      </c>
      <c r="E381" s="34" t="s">
        <v>6</v>
      </c>
      <c r="F381" s="34" t="s">
        <v>4</v>
      </c>
      <c r="G381" s="39" t="s">
        <v>5</v>
      </c>
    </row>
    <row r="382" spans="1:7" x14ac:dyDescent="0.3">
      <c r="A382" s="34">
        <v>381</v>
      </c>
      <c r="B382" s="34">
        <v>20</v>
      </c>
      <c r="C382" s="34">
        <v>2212</v>
      </c>
      <c r="D382" s="34">
        <v>39</v>
      </c>
      <c r="E382" s="34" t="s">
        <v>3</v>
      </c>
      <c r="F382" s="34" t="s">
        <v>4</v>
      </c>
      <c r="G382" s="39" t="s">
        <v>5</v>
      </c>
    </row>
    <row r="383" spans="1:7" x14ac:dyDescent="0.3">
      <c r="A383" s="34">
        <v>382</v>
      </c>
      <c r="B383" s="34">
        <v>18</v>
      </c>
      <c r="C383" s="34">
        <v>12976</v>
      </c>
      <c r="D383" s="34">
        <v>38</v>
      </c>
      <c r="E383" s="34" t="s">
        <v>6</v>
      </c>
      <c r="F383" s="34" t="s">
        <v>8</v>
      </c>
      <c r="G383" s="39" t="s">
        <v>7</v>
      </c>
    </row>
    <row r="384" spans="1:7" x14ac:dyDescent="0.3">
      <c r="A384" s="34">
        <v>383</v>
      </c>
      <c r="B384" s="34">
        <v>22</v>
      </c>
      <c r="C384" s="34">
        <v>1283</v>
      </c>
      <c r="D384" s="34">
        <v>25</v>
      </c>
      <c r="E384" s="34" t="s">
        <v>6</v>
      </c>
      <c r="F384" s="34" t="s">
        <v>9</v>
      </c>
      <c r="G384" s="39" t="s">
        <v>5</v>
      </c>
    </row>
    <row r="385" spans="1:7" x14ac:dyDescent="0.3">
      <c r="A385" s="34">
        <v>384</v>
      </c>
      <c r="B385" s="34">
        <v>12</v>
      </c>
      <c r="C385" s="34">
        <v>1330</v>
      </c>
      <c r="D385" s="34">
        <v>26</v>
      </c>
      <c r="E385" s="34" t="s">
        <v>3</v>
      </c>
      <c r="F385" s="34" t="s">
        <v>4</v>
      </c>
      <c r="G385" s="39" t="s">
        <v>5</v>
      </c>
    </row>
    <row r="386" spans="1:7" x14ac:dyDescent="0.3">
      <c r="A386" s="34">
        <v>385</v>
      </c>
      <c r="B386" s="34">
        <v>30</v>
      </c>
      <c r="C386" s="34">
        <v>4272</v>
      </c>
      <c r="D386" s="34">
        <v>26</v>
      </c>
      <c r="E386" s="34" t="s">
        <v>3</v>
      </c>
      <c r="F386" s="34" t="s">
        <v>4</v>
      </c>
      <c r="G386" s="39" t="s">
        <v>5</v>
      </c>
    </row>
    <row r="387" spans="1:7" x14ac:dyDescent="0.3">
      <c r="A387" s="34">
        <v>386</v>
      </c>
      <c r="B387" s="34">
        <v>18</v>
      </c>
      <c r="C387" s="34">
        <v>2238</v>
      </c>
      <c r="D387" s="34">
        <v>25</v>
      </c>
      <c r="E387" s="34" t="s">
        <v>6</v>
      </c>
      <c r="F387" s="34" t="s">
        <v>4</v>
      </c>
      <c r="G387" s="39" t="s">
        <v>5</v>
      </c>
    </row>
    <row r="388" spans="1:7" x14ac:dyDescent="0.3">
      <c r="A388" s="34">
        <v>387</v>
      </c>
      <c r="B388" s="34">
        <v>18</v>
      </c>
      <c r="C388" s="34">
        <v>1126</v>
      </c>
      <c r="D388" s="34">
        <v>21</v>
      </c>
      <c r="E388" s="34" t="s">
        <v>6</v>
      </c>
      <c r="F388" s="34" t="s">
        <v>9</v>
      </c>
      <c r="G388" s="39" t="s">
        <v>5</v>
      </c>
    </row>
    <row r="389" spans="1:7" x14ac:dyDescent="0.3">
      <c r="A389" s="34">
        <v>388</v>
      </c>
      <c r="B389" s="34">
        <v>18</v>
      </c>
      <c r="C389" s="34">
        <v>7374</v>
      </c>
      <c r="D389" s="34">
        <v>40</v>
      </c>
      <c r="E389" s="34" t="s">
        <v>3</v>
      </c>
      <c r="F389" s="34" t="s">
        <v>4</v>
      </c>
      <c r="G389" s="39" t="s">
        <v>5</v>
      </c>
    </row>
    <row r="390" spans="1:7" x14ac:dyDescent="0.3">
      <c r="A390" s="34">
        <v>389</v>
      </c>
      <c r="B390" s="34">
        <v>15</v>
      </c>
      <c r="C390" s="34">
        <v>2326</v>
      </c>
      <c r="D390" s="34">
        <v>27</v>
      </c>
      <c r="E390" s="34" t="s">
        <v>3</v>
      </c>
      <c r="F390" s="34" t="s">
        <v>4</v>
      </c>
      <c r="G390" s="39" t="s">
        <v>5</v>
      </c>
    </row>
    <row r="391" spans="1:7" x14ac:dyDescent="0.3">
      <c r="A391" s="34">
        <v>390</v>
      </c>
      <c r="B391" s="34">
        <v>9</v>
      </c>
      <c r="C391" s="34">
        <v>1449</v>
      </c>
      <c r="D391" s="34">
        <v>27</v>
      </c>
      <c r="E391" s="34" t="s">
        <v>6</v>
      </c>
      <c r="F391" s="34" t="s">
        <v>4</v>
      </c>
      <c r="G391" s="39" t="s">
        <v>5</v>
      </c>
    </row>
    <row r="392" spans="1:7" x14ac:dyDescent="0.3">
      <c r="A392" s="34">
        <v>391</v>
      </c>
      <c r="B392" s="34">
        <v>18</v>
      </c>
      <c r="C392" s="34">
        <v>1820</v>
      </c>
      <c r="D392" s="34">
        <v>30</v>
      </c>
      <c r="E392" s="34" t="s">
        <v>11</v>
      </c>
      <c r="F392" s="34" t="s">
        <v>4</v>
      </c>
      <c r="G392" s="39" t="s">
        <v>5</v>
      </c>
    </row>
    <row r="393" spans="1:7" x14ac:dyDescent="0.3">
      <c r="A393" s="34">
        <v>392</v>
      </c>
      <c r="B393" s="34">
        <v>12</v>
      </c>
      <c r="C393" s="34">
        <v>983</v>
      </c>
      <c r="D393" s="34">
        <v>19</v>
      </c>
      <c r="E393" s="34" t="s">
        <v>6</v>
      </c>
      <c r="F393" s="34" t="s">
        <v>9</v>
      </c>
      <c r="G393" s="39" t="s">
        <v>5</v>
      </c>
    </row>
    <row r="394" spans="1:7" x14ac:dyDescent="0.3">
      <c r="A394" s="34">
        <v>393</v>
      </c>
      <c r="B394" s="34">
        <v>36</v>
      </c>
      <c r="C394" s="34">
        <v>3249</v>
      </c>
      <c r="D394" s="34">
        <v>39</v>
      </c>
      <c r="E394" s="34" t="s">
        <v>3</v>
      </c>
      <c r="F394" s="34" t="s">
        <v>8</v>
      </c>
      <c r="G394" s="39" t="s">
        <v>5</v>
      </c>
    </row>
    <row r="395" spans="1:7" x14ac:dyDescent="0.3">
      <c r="A395" s="34">
        <v>394</v>
      </c>
      <c r="B395" s="34">
        <v>6</v>
      </c>
      <c r="C395" s="34">
        <v>1957</v>
      </c>
      <c r="D395" s="34">
        <v>31</v>
      </c>
      <c r="E395" s="34" t="s">
        <v>6</v>
      </c>
      <c r="F395" s="34" t="s">
        <v>4</v>
      </c>
      <c r="G395" s="39" t="s">
        <v>5</v>
      </c>
    </row>
    <row r="396" spans="1:7" x14ac:dyDescent="0.3">
      <c r="A396" s="34">
        <v>395</v>
      </c>
      <c r="B396" s="34">
        <v>9</v>
      </c>
      <c r="C396" s="34">
        <v>2406</v>
      </c>
      <c r="D396" s="34">
        <v>31</v>
      </c>
      <c r="E396" s="34" t="s">
        <v>3</v>
      </c>
      <c r="F396" s="34" t="s">
        <v>4</v>
      </c>
      <c r="G396" s="39" t="s">
        <v>5</v>
      </c>
    </row>
    <row r="397" spans="1:7" x14ac:dyDescent="0.3">
      <c r="A397" s="34">
        <v>396</v>
      </c>
      <c r="B397" s="34">
        <v>39</v>
      </c>
      <c r="C397" s="34">
        <v>11760</v>
      </c>
      <c r="D397" s="34">
        <v>32</v>
      </c>
      <c r="E397" s="34" t="s">
        <v>3</v>
      </c>
      <c r="F397" s="34" t="s">
        <v>9</v>
      </c>
      <c r="G397" s="39" t="s">
        <v>5</v>
      </c>
    </row>
    <row r="398" spans="1:7" x14ac:dyDescent="0.3">
      <c r="A398" s="34">
        <v>397</v>
      </c>
      <c r="B398" s="34">
        <v>12</v>
      </c>
      <c r="C398" s="34">
        <v>2578</v>
      </c>
      <c r="D398" s="34">
        <v>55</v>
      </c>
      <c r="E398" s="34" t="s">
        <v>6</v>
      </c>
      <c r="F398" s="34" t="s">
        <v>8</v>
      </c>
      <c r="G398" s="39" t="s">
        <v>5</v>
      </c>
    </row>
    <row r="399" spans="1:7" x14ac:dyDescent="0.3">
      <c r="A399" s="34">
        <v>398</v>
      </c>
      <c r="B399" s="34">
        <v>36</v>
      </c>
      <c r="C399" s="34">
        <v>2348</v>
      </c>
      <c r="D399" s="34">
        <v>46</v>
      </c>
      <c r="E399" s="34" t="s">
        <v>11</v>
      </c>
      <c r="F399" s="34" t="s">
        <v>4</v>
      </c>
      <c r="G399" s="39" t="s">
        <v>5</v>
      </c>
    </row>
    <row r="400" spans="1:7" x14ac:dyDescent="0.3">
      <c r="A400" s="34">
        <v>399</v>
      </c>
      <c r="B400" s="34">
        <v>12</v>
      </c>
      <c r="C400" s="34">
        <v>1223</v>
      </c>
      <c r="D400" s="34">
        <v>46</v>
      </c>
      <c r="E400" s="34" t="s">
        <v>10</v>
      </c>
      <c r="F400" s="34" t="s">
        <v>9</v>
      </c>
      <c r="G400" s="39" t="s">
        <v>7</v>
      </c>
    </row>
    <row r="401" spans="1:7" x14ac:dyDescent="0.3">
      <c r="A401" s="34">
        <v>400</v>
      </c>
      <c r="B401" s="34">
        <v>24</v>
      </c>
      <c r="C401" s="34">
        <v>1516</v>
      </c>
      <c r="D401" s="34">
        <v>43</v>
      </c>
      <c r="E401" s="34" t="s">
        <v>6</v>
      </c>
      <c r="F401" s="34" t="s">
        <v>4</v>
      </c>
      <c r="G401" s="39" t="s">
        <v>5</v>
      </c>
    </row>
    <row r="402" spans="1:7" x14ac:dyDescent="0.3">
      <c r="A402" s="34">
        <v>401</v>
      </c>
      <c r="B402" s="34">
        <v>18</v>
      </c>
      <c r="C402" s="34">
        <v>1473</v>
      </c>
      <c r="D402" s="34">
        <v>39</v>
      </c>
      <c r="E402" s="34" t="s">
        <v>11</v>
      </c>
      <c r="F402" s="34" t="s">
        <v>4</v>
      </c>
      <c r="G402" s="39" t="s">
        <v>5</v>
      </c>
    </row>
    <row r="403" spans="1:7" x14ac:dyDescent="0.3">
      <c r="A403" s="34">
        <v>402</v>
      </c>
      <c r="B403" s="34">
        <v>18</v>
      </c>
      <c r="C403" s="34">
        <v>1887</v>
      </c>
      <c r="D403" s="34">
        <v>28</v>
      </c>
      <c r="E403" s="34" t="s">
        <v>11</v>
      </c>
      <c r="F403" s="34" t="s">
        <v>4</v>
      </c>
      <c r="G403" s="39" t="s">
        <v>5</v>
      </c>
    </row>
    <row r="404" spans="1:7" x14ac:dyDescent="0.3">
      <c r="A404" s="34">
        <v>403</v>
      </c>
      <c r="B404" s="34">
        <v>24</v>
      </c>
      <c r="C404" s="34">
        <v>8648</v>
      </c>
      <c r="D404" s="34">
        <v>27</v>
      </c>
      <c r="E404" s="34" t="s">
        <v>3</v>
      </c>
      <c r="F404" s="34" t="s">
        <v>4</v>
      </c>
      <c r="G404" s="39" t="s">
        <v>7</v>
      </c>
    </row>
    <row r="405" spans="1:7" x14ac:dyDescent="0.3">
      <c r="A405" s="34">
        <v>404</v>
      </c>
      <c r="B405" s="34">
        <v>14</v>
      </c>
      <c r="C405" s="34">
        <v>802</v>
      </c>
      <c r="D405" s="34">
        <v>27</v>
      </c>
      <c r="E405" s="34" t="s">
        <v>3</v>
      </c>
      <c r="F405" s="34" t="s">
        <v>4</v>
      </c>
      <c r="G405" s="39" t="s">
        <v>5</v>
      </c>
    </row>
    <row r="406" spans="1:7" x14ac:dyDescent="0.3">
      <c r="A406" s="34">
        <v>405</v>
      </c>
      <c r="B406" s="34">
        <v>18</v>
      </c>
      <c r="C406" s="34">
        <v>2899</v>
      </c>
      <c r="D406" s="34">
        <v>43</v>
      </c>
      <c r="E406" s="34" t="s">
        <v>3</v>
      </c>
      <c r="F406" s="34" t="s">
        <v>4</v>
      </c>
      <c r="G406" s="39" t="s">
        <v>5</v>
      </c>
    </row>
    <row r="407" spans="1:7" x14ac:dyDescent="0.3">
      <c r="A407" s="34">
        <v>406</v>
      </c>
      <c r="B407" s="34">
        <v>24</v>
      </c>
      <c r="C407" s="34">
        <v>2039</v>
      </c>
      <c r="D407" s="34">
        <v>22</v>
      </c>
      <c r="E407" s="34" t="s">
        <v>11</v>
      </c>
      <c r="F407" s="34" t="s">
        <v>4</v>
      </c>
      <c r="G407" s="39" t="s">
        <v>7</v>
      </c>
    </row>
    <row r="408" spans="1:7" x14ac:dyDescent="0.3">
      <c r="A408" s="34">
        <v>407</v>
      </c>
      <c r="B408" s="34">
        <v>24</v>
      </c>
      <c r="C408" s="34">
        <v>2197</v>
      </c>
      <c r="D408" s="34">
        <v>43</v>
      </c>
      <c r="E408" s="34" t="s">
        <v>3</v>
      </c>
      <c r="F408" s="34" t="s">
        <v>4</v>
      </c>
      <c r="G408" s="39" t="s">
        <v>5</v>
      </c>
    </row>
    <row r="409" spans="1:7" x14ac:dyDescent="0.3">
      <c r="A409" s="34">
        <v>408</v>
      </c>
      <c r="B409" s="34">
        <v>15</v>
      </c>
      <c r="C409" s="34">
        <v>1053</v>
      </c>
      <c r="D409" s="34">
        <v>27</v>
      </c>
      <c r="E409" s="34" t="s">
        <v>11</v>
      </c>
      <c r="F409" s="34" t="s">
        <v>4</v>
      </c>
      <c r="G409" s="39" t="s">
        <v>5</v>
      </c>
    </row>
    <row r="410" spans="1:7" x14ac:dyDescent="0.3">
      <c r="A410" s="34">
        <v>409</v>
      </c>
      <c r="B410" s="34">
        <v>24</v>
      </c>
      <c r="C410" s="34">
        <v>3235</v>
      </c>
      <c r="D410" s="34">
        <v>26</v>
      </c>
      <c r="E410" s="34" t="s">
        <v>10</v>
      </c>
      <c r="F410" s="34" t="s">
        <v>4</v>
      </c>
      <c r="G410" s="39" t="s">
        <v>5</v>
      </c>
    </row>
    <row r="411" spans="1:7" x14ac:dyDescent="0.3">
      <c r="A411" s="34">
        <v>410</v>
      </c>
      <c r="B411" s="34">
        <v>12</v>
      </c>
      <c r="C411" s="34">
        <v>939</v>
      </c>
      <c r="D411" s="34">
        <v>28</v>
      </c>
      <c r="E411" s="34" t="s">
        <v>11</v>
      </c>
      <c r="F411" s="34" t="s">
        <v>4</v>
      </c>
      <c r="G411" s="39" t="s">
        <v>7</v>
      </c>
    </row>
    <row r="412" spans="1:7" x14ac:dyDescent="0.3">
      <c r="A412" s="34">
        <v>411</v>
      </c>
      <c r="B412" s="34">
        <v>24</v>
      </c>
      <c r="C412" s="34">
        <v>1967</v>
      </c>
      <c r="D412" s="34">
        <v>20</v>
      </c>
      <c r="E412" s="34" t="s">
        <v>6</v>
      </c>
      <c r="F412" s="34" t="s">
        <v>4</v>
      </c>
      <c r="G412" s="39" t="s">
        <v>5</v>
      </c>
    </row>
    <row r="413" spans="1:7" x14ac:dyDescent="0.3">
      <c r="A413" s="34">
        <v>412</v>
      </c>
      <c r="B413" s="34">
        <v>33</v>
      </c>
      <c r="C413" s="34">
        <v>7253</v>
      </c>
      <c r="D413" s="34">
        <v>35</v>
      </c>
      <c r="E413" s="34" t="s">
        <v>3</v>
      </c>
      <c r="F413" s="34" t="s">
        <v>4</v>
      </c>
      <c r="G413" s="39" t="s">
        <v>5</v>
      </c>
    </row>
    <row r="414" spans="1:7" x14ac:dyDescent="0.3">
      <c r="A414" s="34">
        <v>413</v>
      </c>
      <c r="B414" s="34">
        <v>12</v>
      </c>
      <c r="C414" s="34">
        <v>2292</v>
      </c>
      <c r="D414" s="34">
        <v>42</v>
      </c>
      <c r="E414" s="34" t="s">
        <v>3</v>
      </c>
      <c r="F414" s="34" t="s">
        <v>4</v>
      </c>
      <c r="G414" s="39" t="s">
        <v>7</v>
      </c>
    </row>
    <row r="415" spans="1:7" x14ac:dyDescent="0.3">
      <c r="A415" s="34">
        <v>414</v>
      </c>
      <c r="B415" s="34">
        <v>10</v>
      </c>
      <c r="C415" s="34">
        <v>1597</v>
      </c>
      <c r="D415" s="34">
        <v>40</v>
      </c>
      <c r="E415" s="34" t="s">
        <v>3</v>
      </c>
      <c r="F415" s="34" t="s">
        <v>9</v>
      </c>
      <c r="G415" s="39" t="s">
        <v>5</v>
      </c>
    </row>
    <row r="416" spans="1:7" x14ac:dyDescent="0.3">
      <c r="A416" s="34">
        <v>415</v>
      </c>
      <c r="B416" s="34">
        <v>24</v>
      </c>
      <c r="C416" s="34">
        <v>1381</v>
      </c>
      <c r="D416" s="34">
        <v>35</v>
      </c>
      <c r="E416" s="34" t="s">
        <v>6</v>
      </c>
      <c r="F416" s="34" t="s">
        <v>4</v>
      </c>
      <c r="G416" s="39" t="s">
        <v>7</v>
      </c>
    </row>
    <row r="417" spans="1:7" x14ac:dyDescent="0.3">
      <c r="A417" s="34">
        <v>416</v>
      </c>
      <c r="B417" s="34">
        <v>36</v>
      </c>
      <c r="C417" s="34">
        <v>5842</v>
      </c>
      <c r="D417" s="34">
        <v>35</v>
      </c>
      <c r="E417" s="34" t="s">
        <v>3</v>
      </c>
      <c r="F417" s="34" t="s">
        <v>4</v>
      </c>
      <c r="G417" s="39" t="s">
        <v>5</v>
      </c>
    </row>
    <row r="418" spans="1:7" x14ac:dyDescent="0.3">
      <c r="A418" s="34">
        <v>417</v>
      </c>
      <c r="B418" s="34">
        <v>12</v>
      </c>
      <c r="C418" s="34">
        <v>2579</v>
      </c>
      <c r="D418" s="34">
        <v>33</v>
      </c>
      <c r="E418" s="34" t="s">
        <v>3</v>
      </c>
      <c r="F418" s="34" t="s">
        <v>4</v>
      </c>
      <c r="G418" s="39" t="s">
        <v>7</v>
      </c>
    </row>
    <row r="419" spans="1:7" x14ac:dyDescent="0.3">
      <c r="A419" s="34">
        <v>418</v>
      </c>
      <c r="B419" s="34">
        <v>18</v>
      </c>
      <c r="C419" s="34">
        <v>8471</v>
      </c>
      <c r="D419" s="34">
        <v>23</v>
      </c>
      <c r="E419" s="34" t="s">
        <v>6</v>
      </c>
      <c r="F419" s="34" t="s">
        <v>9</v>
      </c>
      <c r="G419" s="39" t="s">
        <v>5</v>
      </c>
    </row>
    <row r="420" spans="1:7" x14ac:dyDescent="0.3">
      <c r="A420" s="34">
        <v>419</v>
      </c>
      <c r="B420" s="34">
        <v>21</v>
      </c>
      <c r="C420" s="34">
        <v>2782</v>
      </c>
      <c r="D420" s="34">
        <v>31</v>
      </c>
      <c r="E420" s="34" t="s">
        <v>6</v>
      </c>
      <c r="F420" s="34" t="s">
        <v>4</v>
      </c>
      <c r="G420" s="39" t="s">
        <v>5</v>
      </c>
    </row>
    <row r="421" spans="1:7" x14ac:dyDescent="0.3">
      <c r="A421" s="34">
        <v>420</v>
      </c>
      <c r="B421" s="34">
        <v>18</v>
      </c>
      <c r="C421" s="34">
        <v>1042</v>
      </c>
      <c r="D421" s="34">
        <v>33</v>
      </c>
      <c r="E421" s="34" t="s">
        <v>6</v>
      </c>
      <c r="F421" s="34" t="s">
        <v>4</v>
      </c>
      <c r="G421" s="39" t="s">
        <v>7</v>
      </c>
    </row>
    <row r="422" spans="1:7" x14ac:dyDescent="0.3">
      <c r="A422" s="34">
        <v>421</v>
      </c>
      <c r="B422" s="34">
        <v>15</v>
      </c>
      <c r="C422" s="34">
        <v>3186</v>
      </c>
      <c r="D422" s="34">
        <v>20</v>
      </c>
      <c r="E422" s="34" t="s">
        <v>6</v>
      </c>
      <c r="F422" s="34" t="s">
        <v>9</v>
      </c>
      <c r="G422" s="39" t="s">
        <v>5</v>
      </c>
    </row>
    <row r="423" spans="1:7" x14ac:dyDescent="0.3">
      <c r="A423" s="34">
        <v>422</v>
      </c>
      <c r="B423" s="34">
        <v>12</v>
      </c>
      <c r="C423" s="34">
        <v>2028</v>
      </c>
      <c r="D423" s="34">
        <v>30</v>
      </c>
      <c r="E423" s="34" t="s">
        <v>3</v>
      </c>
      <c r="F423" s="34" t="s">
        <v>4</v>
      </c>
      <c r="G423" s="39" t="s">
        <v>5</v>
      </c>
    </row>
    <row r="424" spans="1:7" x14ac:dyDescent="0.3">
      <c r="A424" s="34">
        <v>423</v>
      </c>
      <c r="B424" s="34">
        <v>12</v>
      </c>
      <c r="C424" s="34">
        <v>958</v>
      </c>
      <c r="D424" s="34">
        <v>47</v>
      </c>
      <c r="E424" s="34" t="s">
        <v>3</v>
      </c>
      <c r="F424" s="34" t="s">
        <v>4</v>
      </c>
      <c r="G424" s="39" t="s">
        <v>5</v>
      </c>
    </row>
    <row r="425" spans="1:7" x14ac:dyDescent="0.3">
      <c r="A425" s="34">
        <v>424</v>
      </c>
      <c r="B425" s="34">
        <v>21</v>
      </c>
      <c r="C425" s="34">
        <v>1591</v>
      </c>
      <c r="D425" s="34">
        <v>34</v>
      </c>
      <c r="E425" s="34" t="s">
        <v>3</v>
      </c>
      <c r="F425" s="34" t="s">
        <v>4</v>
      </c>
      <c r="G425" s="39" t="s">
        <v>5</v>
      </c>
    </row>
    <row r="426" spans="1:7" x14ac:dyDescent="0.3">
      <c r="A426" s="34">
        <v>425</v>
      </c>
      <c r="B426" s="34">
        <v>12</v>
      </c>
      <c r="C426" s="34">
        <v>2762</v>
      </c>
      <c r="D426" s="34">
        <v>25</v>
      </c>
      <c r="E426" s="34" t="s">
        <v>6</v>
      </c>
      <c r="F426" s="34" t="s">
        <v>4</v>
      </c>
      <c r="G426" s="39" t="s">
        <v>7</v>
      </c>
    </row>
    <row r="427" spans="1:7" x14ac:dyDescent="0.3">
      <c r="A427" s="34">
        <v>426</v>
      </c>
      <c r="B427" s="34">
        <v>18</v>
      </c>
      <c r="C427" s="34">
        <v>2779</v>
      </c>
      <c r="D427" s="34">
        <v>21</v>
      </c>
      <c r="E427" s="34" t="s">
        <v>11</v>
      </c>
      <c r="F427" s="34" t="s">
        <v>9</v>
      </c>
      <c r="G427" s="39" t="s">
        <v>5</v>
      </c>
    </row>
    <row r="428" spans="1:7" x14ac:dyDescent="0.3">
      <c r="A428" s="34">
        <v>427</v>
      </c>
      <c r="B428" s="34">
        <v>28</v>
      </c>
      <c r="C428" s="34">
        <v>2743</v>
      </c>
      <c r="D428" s="34">
        <v>29</v>
      </c>
      <c r="E428" s="34" t="s">
        <v>3</v>
      </c>
      <c r="F428" s="34" t="s">
        <v>4</v>
      </c>
      <c r="G428" s="39" t="s">
        <v>5</v>
      </c>
    </row>
    <row r="429" spans="1:7" x14ac:dyDescent="0.3">
      <c r="A429" s="34">
        <v>428</v>
      </c>
      <c r="B429" s="34">
        <v>18</v>
      </c>
      <c r="C429" s="34">
        <v>1149</v>
      </c>
      <c r="D429" s="34">
        <v>46</v>
      </c>
      <c r="E429" s="34" t="s">
        <v>3</v>
      </c>
      <c r="F429" s="34" t="s">
        <v>4</v>
      </c>
      <c r="G429" s="39" t="s">
        <v>5</v>
      </c>
    </row>
    <row r="430" spans="1:7" x14ac:dyDescent="0.3">
      <c r="A430" s="34">
        <v>429</v>
      </c>
      <c r="B430" s="34">
        <v>9</v>
      </c>
      <c r="C430" s="34">
        <v>1313</v>
      </c>
      <c r="D430" s="34">
        <v>20</v>
      </c>
      <c r="E430" s="34" t="s">
        <v>3</v>
      </c>
      <c r="F430" s="34" t="s">
        <v>4</v>
      </c>
      <c r="G430" s="39" t="s">
        <v>5</v>
      </c>
    </row>
    <row r="431" spans="1:7" x14ac:dyDescent="0.3">
      <c r="A431" s="34">
        <v>430</v>
      </c>
      <c r="B431" s="34">
        <v>18</v>
      </c>
      <c r="C431" s="34">
        <v>1190</v>
      </c>
      <c r="D431" s="34">
        <v>55</v>
      </c>
      <c r="E431" s="34" t="s">
        <v>6</v>
      </c>
      <c r="F431" s="34" t="s">
        <v>8</v>
      </c>
      <c r="G431" s="39" t="s">
        <v>7</v>
      </c>
    </row>
    <row r="432" spans="1:7" x14ac:dyDescent="0.3">
      <c r="A432" s="34">
        <v>431</v>
      </c>
      <c r="B432" s="34">
        <v>5</v>
      </c>
      <c r="C432" s="34">
        <v>3448</v>
      </c>
      <c r="D432" s="34">
        <v>74</v>
      </c>
      <c r="E432" s="34" t="s">
        <v>3</v>
      </c>
      <c r="F432" s="34" t="s">
        <v>4</v>
      </c>
      <c r="G432" s="39" t="s">
        <v>5</v>
      </c>
    </row>
    <row r="433" spans="1:7" x14ac:dyDescent="0.3">
      <c r="A433" s="34">
        <v>432</v>
      </c>
      <c r="B433" s="34">
        <v>24</v>
      </c>
      <c r="C433" s="34">
        <v>11328</v>
      </c>
      <c r="D433" s="34">
        <v>29</v>
      </c>
      <c r="E433" s="34" t="s">
        <v>3</v>
      </c>
      <c r="F433" s="34" t="s">
        <v>4</v>
      </c>
      <c r="G433" s="39" t="s">
        <v>7</v>
      </c>
    </row>
    <row r="434" spans="1:7" x14ac:dyDescent="0.3">
      <c r="A434" s="34">
        <v>433</v>
      </c>
      <c r="B434" s="34">
        <v>6</v>
      </c>
      <c r="C434" s="34">
        <v>1872</v>
      </c>
      <c r="D434" s="34">
        <v>36</v>
      </c>
      <c r="E434" s="34" t="s">
        <v>3</v>
      </c>
      <c r="F434" s="34" t="s">
        <v>8</v>
      </c>
      <c r="G434" s="39" t="s">
        <v>5</v>
      </c>
    </row>
    <row r="435" spans="1:7" x14ac:dyDescent="0.3">
      <c r="A435" s="34">
        <v>434</v>
      </c>
      <c r="B435" s="34">
        <v>24</v>
      </c>
      <c r="C435" s="34">
        <v>2058</v>
      </c>
      <c r="D435" s="34">
        <v>33</v>
      </c>
      <c r="E435" s="34" t="s">
        <v>10</v>
      </c>
      <c r="F435" s="34" t="s">
        <v>4</v>
      </c>
      <c r="G435" s="39" t="s">
        <v>5</v>
      </c>
    </row>
    <row r="436" spans="1:7" x14ac:dyDescent="0.3">
      <c r="A436" s="34">
        <v>435</v>
      </c>
      <c r="B436" s="34">
        <v>9</v>
      </c>
      <c r="C436" s="34">
        <v>2136</v>
      </c>
      <c r="D436" s="34">
        <v>25</v>
      </c>
      <c r="E436" s="34" t="s">
        <v>3</v>
      </c>
      <c r="F436" s="34" t="s">
        <v>4</v>
      </c>
      <c r="G436" s="39" t="s">
        <v>5</v>
      </c>
    </row>
    <row r="437" spans="1:7" x14ac:dyDescent="0.3">
      <c r="A437" s="34">
        <v>436</v>
      </c>
      <c r="B437" s="34">
        <v>12</v>
      </c>
      <c r="C437" s="34">
        <v>1484</v>
      </c>
      <c r="D437" s="34">
        <v>25</v>
      </c>
      <c r="E437" s="34" t="s">
        <v>11</v>
      </c>
      <c r="F437" s="34" t="s">
        <v>4</v>
      </c>
      <c r="G437" s="39" t="s">
        <v>7</v>
      </c>
    </row>
    <row r="438" spans="1:7" x14ac:dyDescent="0.3">
      <c r="A438" s="34">
        <v>437</v>
      </c>
      <c r="B438" s="34">
        <v>6</v>
      </c>
      <c r="C438" s="34">
        <v>660</v>
      </c>
      <c r="D438" s="34">
        <v>23</v>
      </c>
      <c r="E438" s="34" t="s">
        <v>11</v>
      </c>
      <c r="F438" s="34" t="s">
        <v>9</v>
      </c>
      <c r="G438" s="39" t="s">
        <v>5</v>
      </c>
    </row>
    <row r="439" spans="1:7" x14ac:dyDescent="0.3">
      <c r="A439" s="34">
        <v>438</v>
      </c>
      <c r="B439" s="34">
        <v>24</v>
      </c>
      <c r="C439" s="34">
        <v>1287</v>
      </c>
      <c r="D439" s="34">
        <v>37</v>
      </c>
      <c r="E439" s="34" t="s">
        <v>6</v>
      </c>
      <c r="F439" s="34" t="s">
        <v>4</v>
      </c>
      <c r="G439" s="39" t="s">
        <v>5</v>
      </c>
    </row>
    <row r="440" spans="1:7" x14ac:dyDescent="0.3">
      <c r="A440" s="34">
        <v>439</v>
      </c>
      <c r="B440" s="34">
        <v>42</v>
      </c>
      <c r="C440" s="34">
        <v>3394</v>
      </c>
      <c r="D440" s="34">
        <v>65</v>
      </c>
      <c r="E440" s="34" t="s">
        <v>3</v>
      </c>
      <c r="F440" s="34" t="s">
        <v>4</v>
      </c>
      <c r="G440" s="39" t="s">
        <v>5</v>
      </c>
    </row>
    <row r="441" spans="1:7" x14ac:dyDescent="0.3">
      <c r="A441" s="34">
        <v>440</v>
      </c>
      <c r="B441" s="34">
        <v>12</v>
      </c>
      <c r="C441" s="34">
        <v>609</v>
      </c>
      <c r="D441" s="34">
        <v>26</v>
      </c>
      <c r="E441" s="34" t="s">
        <v>6</v>
      </c>
      <c r="F441" s="34" t="s">
        <v>4</v>
      </c>
      <c r="G441" s="39" t="s">
        <v>7</v>
      </c>
    </row>
    <row r="442" spans="1:7" x14ac:dyDescent="0.3">
      <c r="A442" s="34">
        <v>441</v>
      </c>
      <c r="B442" s="34">
        <v>12</v>
      </c>
      <c r="C442" s="34">
        <v>1884</v>
      </c>
      <c r="D442" s="34">
        <v>39</v>
      </c>
      <c r="E442" s="34" t="s">
        <v>3</v>
      </c>
      <c r="F442" s="34" t="s">
        <v>4</v>
      </c>
      <c r="G442" s="39" t="s">
        <v>5</v>
      </c>
    </row>
    <row r="443" spans="1:7" x14ac:dyDescent="0.3">
      <c r="A443" s="34">
        <v>442</v>
      </c>
      <c r="B443" s="34">
        <v>12</v>
      </c>
      <c r="C443" s="34">
        <v>1620</v>
      </c>
      <c r="D443" s="34">
        <v>30</v>
      </c>
      <c r="E443" s="34" t="s">
        <v>6</v>
      </c>
      <c r="F443" s="34" t="s">
        <v>4</v>
      </c>
      <c r="G443" s="39" t="s">
        <v>5</v>
      </c>
    </row>
    <row r="444" spans="1:7" x14ac:dyDescent="0.3">
      <c r="A444" s="34">
        <v>443</v>
      </c>
      <c r="B444" s="34">
        <v>20</v>
      </c>
      <c r="C444" s="34">
        <v>2629</v>
      </c>
      <c r="D444" s="34">
        <v>29</v>
      </c>
      <c r="E444" s="34" t="s">
        <v>3</v>
      </c>
      <c r="F444" s="34" t="s">
        <v>4</v>
      </c>
      <c r="G444" s="39" t="s">
        <v>5</v>
      </c>
    </row>
    <row r="445" spans="1:7" x14ac:dyDescent="0.3">
      <c r="A445" s="34">
        <v>444</v>
      </c>
      <c r="B445" s="34">
        <v>12</v>
      </c>
      <c r="C445" s="34">
        <v>719</v>
      </c>
      <c r="D445" s="34">
        <v>41</v>
      </c>
      <c r="E445" s="34" t="s">
        <v>3</v>
      </c>
      <c r="F445" s="34" t="s">
        <v>4</v>
      </c>
      <c r="G445" s="39" t="s">
        <v>7</v>
      </c>
    </row>
    <row r="446" spans="1:7" x14ac:dyDescent="0.3">
      <c r="A446" s="34">
        <v>445</v>
      </c>
      <c r="B446" s="34">
        <v>48</v>
      </c>
      <c r="C446" s="34">
        <v>5096</v>
      </c>
      <c r="D446" s="34">
        <v>30</v>
      </c>
      <c r="E446" s="34" t="s">
        <v>6</v>
      </c>
      <c r="F446" s="34" t="s">
        <v>4</v>
      </c>
      <c r="G446" s="39" t="s">
        <v>7</v>
      </c>
    </row>
    <row r="447" spans="1:7" x14ac:dyDescent="0.3">
      <c r="A447" s="34">
        <v>446</v>
      </c>
      <c r="B447" s="34">
        <v>9</v>
      </c>
      <c r="C447" s="34">
        <v>1244</v>
      </c>
      <c r="D447" s="34">
        <v>41</v>
      </c>
      <c r="E447" s="34" t="s">
        <v>6</v>
      </c>
      <c r="F447" s="34" t="s">
        <v>9</v>
      </c>
      <c r="G447" s="39" t="s">
        <v>5</v>
      </c>
    </row>
    <row r="448" spans="1:7" x14ac:dyDescent="0.3">
      <c r="A448" s="34">
        <v>447</v>
      </c>
      <c r="B448" s="34">
        <v>36</v>
      </c>
      <c r="C448" s="34">
        <v>1842</v>
      </c>
      <c r="D448" s="34">
        <v>34</v>
      </c>
      <c r="E448" s="34" t="s">
        <v>6</v>
      </c>
      <c r="F448" s="34" t="s">
        <v>4</v>
      </c>
      <c r="G448" s="39" t="s">
        <v>7</v>
      </c>
    </row>
    <row r="449" spans="1:7" x14ac:dyDescent="0.3">
      <c r="A449" s="34">
        <v>448</v>
      </c>
      <c r="B449" s="34">
        <v>7</v>
      </c>
      <c r="C449" s="34">
        <v>2576</v>
      </c>
      <c r="D449" s="34">
        <v>35</v>
      </c>
      <c r="E449" s="34" t="s">
        <v>3</v>
      </c>
      <c r="F449" s="34" t="s">
        <v>4</v>
      </c>
      <c r="G449" s="39" t="s">
        <v>5</v>
      </c>
    </row>
    <row r="450" spans="1:7" x14ac:dyDescent="0.3">
      <c r="A450" s="34">
        <v>449</v>
      </c>
      <c r="B450" s="34">
        <v>12</v>
      </c>
      <c r="C450" s="34">
        <v>1424</v>
      </c>
      <c r="D450" s="34">
        <v>55</v>
      </c>
      <c r="E450" s="34" t="s">
        <v>6</v>
      </c>
      <c r="F450" s="34" t="s">
        <v>4</v>
      </c>
      <c r="G450" s="39" t="s">
        <v>5</v>
      </c>
    </row>
    <row r="451" spans="1:7" x14ac:dyDescent="0.3">
      <c r="A451" s="34">
        <v>450</v>
      </c>
      <c r="B451" s="34">
        <v>15</v>
      </c>
      <c r="C451" s="34">
        <v>1512</v>
      </c>
      <c r="D451" s="34">
        <v>61</v>
      </c>
      <c r="E451" s="34" t="s">
        <v>11</v>
      </c>
      <c r="F451" s="34" t="s">
        <v>4</v>
      </c>
      <c r="G451" s="39" t="s">
        <v>7</v>
      </c>
    </row>
    <row r="452" spans="1:7" x14ac:dyDescent="0.3">
      <c r="A452" s="34">
        <v>451</v>
      </c>
      <c r="B452" s="34">
        <v>36</v>
      </c>
      <c r="C452" s="34">
        <v>11054</v>
      </c>
      <c r="D452" s="34">
        <v>30</v>
      </c>
      <c r="E452" s="34" t="s">
        <v>3</v>
      </c>
      <c r="F452" s="34" t="s">
        <v>4</v>
      </c>
      <c r="G452" s="39" t="s">
        <v>5</v>
      </c>
    </row>
    <row r="453" spans="1:7" x14ac:dyDescent="0.3">
      <c r="A453" s="34">
        <v>452</v>
      </c>
      <c r="B453" s="34">
        <v>6</v>
      </c>
      <c r="C453" s="34">
        <v>518</v>
      </c>
      <c r="D453" s="34">
        <v>29</v>
      </c>
      <c r="E453" s="34" t="s">
        <v>6</v>
      </c>
      <c r="F453" s="34" t="s">
        <v>4</v>
      </c>
      <c r="G453" s="39" t="s">
        <v>5</v>
      </c>
    </row>
    <row r="454" spans="1:7" x14ac:dyDescent="0.3">
      <c r="A454" s="34">
        <v>453</v>
      </c>
      <c r="B454" s="34">
        <v>12</v>
      </c>
      <c r="C454" s="34">
        <v>2759</v>
      </c>
      <c r="D454" s="34">
        <v>34</v>
      </c>
      <c r="E454" s="34" t="s">
        <v>3</v>
      </c>
      <c r="F454" s="34" t="s">
        <v>4</v>
      </c>
      <c r="G454" s="39" t="s">
        <v>5</v>
      </c>
    </row>
    <row r="455" spans="1:7" x14ac:dyDescent="0.3">
      <c r="A455" s="34">
        <v>454</v>
      </c>
      <c r="B455" s="34">
        <v>24</v>
      </c>
      <c r="C455" s="34">
        <v>2670</v>
      </c>
      <c r="D455" s="34">
        <v>35</v>
      </c>
      <c r="E455" s="34" t="s">
        <v>3</v>
      </c>
      <c r="F455" s="34" t="s">
        <v>4</v>
      </c>
      <c r="G455" s="39" t="s">
        <v>5</v>
      </c>
    </row>
    <row r="456" spans="1:7" x14ac:dyDescent="0.3">
      <c r="A456" s="34">
        <v>455</v>
      </c>
      <c r="B456" s="34">
        <v>24</v>
      </c>
      <c r="C456" s="34">
        <v>4817</v>
      </c>
      <c r="D456" s="34">
        <v>31</v>
      </c>
      <c r="E456" s="34" t="s">
        <v>3</v>
      </c>
      <c r="F456" s="34" t="s">
        <v>4</v>
      </c>
      <c r="G456" s="39" t="s">
        <v>7</v>
      </c>
    </row>
    <row r="457" spans="1:7" x14ac:dyDescent="0.3">
      <c r="A457" s="34">
        <v>456</v>
      </c>
      <c r="B457" s="34">
        <v>24</v>
      </c>
      <c r="C457" s="34">
        <v>2679</v>
      </c>
      <c r="D457" s="34">
        <v>29</v>
      </c>
      <c r="E457" s="34" t="s">
        <v>6</v>
      </c>
      <c r="F457" s="34" t="s">
        <v>4</v>
      </c>
      <c r="G457" s="39" t="s">
        <v>5</v>
      </c>
    </row>
    <row r="458" spans="1:7" x14ac:dyDescent="0.3">
      <c r="A458" s="34">
        <v>457</v>
      </c>
      <c r="B458" s="34">
        <v>11</v>
      </c>
      <c r="C458" s="34">
        <v>3905</v>
      </c>
      <c r="D458" s="34">
        <v>36</v>
      </c>
      <c r="E458" s="34" t="s">
        <v>3</v>
      </c>
      <c r="F458" s="34" t="s">
        <v>9</v>
      </c>
      <c r="G458" s="39" t="s">
        <v>5</v>
      </c>
    </row>
    <row r="459" spans="1:7" x14ac:dyDescent="0.3">
      <c r="A459" s="34">
        <v>458</v>
      </c>
      <c r="B459" s="34">
        <v>12</v>
      </c>
      <c r="C459" s="34">
        <v>3386</v>
      </c>
      <c r="D459" s="34">
        <v>35</v>
      </c>
      <c r="E459" s="34" t="s">
        <v>3</v>
      </c>
      <c r="F459" s="34" t="s">
        <v>8</v>
      </c>
      <c r="G459" s="39" t="s">
        <v>7</v>
      </c>
    </row>
    <row r="460" spans="1:7" x14ac:dyDescent="0.3">
      <c r="A460" s="34">
        <v>459</v>
      </c>
      <c r="B460" s="34">
        <v>6</v>
      </c>
      <c r="C460" s="34">
        <v>343</v>
      </c>
      <c r="D460" s="34">
        <v>27</v>
      </c>
      <c r="E460" s="34" t="s">
        <v>6</v>
      </c>
      <c r="F460" s="34" t="s">
        <v>4</v>
      </c>
      <c r="G460" s="39" t="s">
        <v>5</v>
      </c>
    </row>
    <row r="461" spans="1:7" x14ac:dyDescent="0.3">
      <c r="A461" s="34">
        <v>460</v>
      </c>
      <c r="B461" s="34">
        <v>18</v>
      </c>
      <c r="C461" s="34">
        <v>4594</v>
      </c>
      <c r="D461" s="34">
        <v>32</v>
      </c>
      <c r="E461" s="34" t="s">
        <v>3</v>
      </c>
      <c r="F461" s="34" t="s">
        <v>4</v>
      </c>
      <c r="G461" s="39" t="s">
        <v>5</v>
      </c>
    </row>
    <row r="462" spans="1:7" x14ac:dyDescent="0.3">
      <c r="A462" s="34">
        <v>461</v>
      </c>
      <c r="B462" s="34">
        <v>36</v>
      </c>
      <c r="C462" s="34">
        <v>3620</v>
      </c>
      <c r="D462" s="34">
        <v>37</v>
      </c>
      <c r="E462" s="34" t="s">
        <v>3</v>
      </c>
      <c r="F462" s="34" t="s">
        <v>4</v>
      </c>
      <c r="G462" s="39" t="s">
        <v>5</v>
      </c>
    </row>
    <row r="463" spans="1:7" x14ac:dyDescent="0.3">
      <c r="A463" s="34">
        <v>462</v>
      </c>
      <c r="B463" s="34">
        <v>15</v>
      </c>
      <c r="C463" s="34">
        <v>1721</v>
      </c>
      <c r="D463" s="34">
        <v>36</v>
      </c>
      <c r="E463" s="34" t="s">
        <v>3</v>
      </c>
      <c r="F463" s="34" t="s">
        <v>4</v>
      </c>
      <c r="G463" s="39" t="s">
        <v>5</v>
      </c>
    </row>
    <row r="464" spans="1:7" x14ac:dyDescent="0.3">
      <c r="A464" s="34">
        <v>463</v>
      </c>
      <c r="B464" s="34">
        <v>12</v>
      </c>
      <c r="C464" s="34">
        <v>3017</v>
      </c>
      <c r="D464" s="34">
        <v>34</v>
      </c>
      <c r="E464" s="34" t="s">
        <v>6</v>
      </c>
      <c r="F464" s="34" t="s">
        <v>9</v>
      </c>
      <c r="G464" s="39" t="s">
        <v>5</v>
      </c>
    </row>
    <row r="465" spans="1:7" x14ac:dyDescent="0.3">
      <c r="A465" s="34">
        <v>464</v>
      </c>
      <c r="B465" s="34">
        <v>12</v>
      </c>
      <c r="C465" s="34">
        <v>754</v>
      </c>
      <c r="D465" s="34">
        <v>38</v>
      </c>
      <c r="E465" s="34" t="s">
        <v>3</v>
      </c>
      <c r="F465" s="34" t="s">
        <v>4</v>
      </c>
      <c r="G465" s="39" t="s">
        <v>5</v>
      </c>
    </row>
    <row r="466" spans="1:7" x14ac:dyDescent="0.3">
      <c r="A466" s="34">
        <v>465</v>
      </c>
      <c r="B466" s="34">
        <v>18</v>
      </c>
      <c r="C466" s="34">
        <v>1950</v>
      </c>
      <c r="D466" s="34">
        <v>34</v>
      </c>
      <c r="E466" s="34" t="s">
        <v>3</v>
      </c>
      <c r="F466" s="34" t="s">
        <v>4</v>
      </c>
      <c r="G466" s="39" t="s">
        <v>5</v>
      </c>
    </row>
    <row r="467" spans="1:7" x14ac:dyDescent="0.3">
      <c r="A467" s="34">
        <v>466</v>
      </c>
      <c r="B467" s="34">
        <v>24</v>
      </c>
      <c r="C467" s="34">
        <v>2924</v>
      </c>
      <c r="D467" s="34">
        <v>63</v>
      </c>
      <c r="E467" s="34" t="s">
        <v>3</v>
      </c>
      <c r="F467" s="34" t="s">
        <v>4</v>
      </c>
      <c r="G467" s="39" t="s">
        <v>5</v>
      </c>
    </row>
    <row r="468" spans="1:7" x14ac:dyDescent="0.3">
      <c r="A468" s="34">
        <v>467</v>
      </c>
      <c r="B468" s="34">
        <v>24</v>
      </c>
      <c r="C468" s="34">
        <v>1659</v>
      </c>
      <c r="D468" s="34">
        <v>29</v>
      </c>
      <c r="E468" s="34" t="s">
        <v>6</v>
      </c>
      <c r="F468" s="34" t="s">
        <v>9</v>
      </c>
      <c r="G468" s="39" t="s">
        <v>7</v>
      </c>
    </row>
    <row r="469" spans="1:7" x14ac:dyDescent="0.3">
      <c r="A469" s="34">
        <v>468</v>
      </c>
      <c r="B469" s="34">
        <v>48</v>
      </c>
      <c r="C469" s="34">
        <v>7238</v>
      </c>
      <c r="D469" s="34">
        <v>32</v>
      </c>
      <c r="E469" s="34" t="s">
        <v>3</v>
      </c>
      <c r="F469" s="34" t="s">
        <v>4</v>
      </c>
      <c r="G469" s="39" t="s">
        <v>5</v>
      </c>
    </row>
    <row r="470" spans="1:7" x14ac:dyDescent="0.3">
      <c r="A470" s="34">
        <v>469</v>
      </c>
      <c r="B470" s="34">
        <v>33</v>
      </c>
      <c r="C470" s="34">
        <v>2764</v>
      </c>
      <c r="D470" s="34">
        <v>26</v>
      </c>
      <c r="E470" s="34" t="s">
        <v>6</v>
      </c>
      <c r="F470" s="34" t="s">
        <v>4</v>
      </c>
      <c r="G470" s="39" t="s">
        <v>5</v>
      </c>
    </row>
    <row r="471" spans="1:7" x14ac:dyDescent="0.3">
      <c r="A471" s="34">
        <v>470</v>
      </c>
      <c r="B471" s="34">
        <v>24</v>
      </c>
      <c r="C471" s="34">
        <v>4679</v>
      </c>
      <c r="D471" s="34">
        <v>35</v>
      </c>
      <c r="E471" s="34" t="s">
        <v>3</v>
      </c>
      <c r="F471" s="34" t="s">
        <v>4</v>
      </c>
      <c r="G471" s="39" t="s">
        <v>5</v>
      </c>
    </row>
    <row r="472" spans="1:7" x14ac:dyDescent="0.3">
      <c r="A472" s="34">
        <v>471</v>
      </c>
      <c r="B472" s="34">
        <v>24</v>
      </c>
      <c r="C472" s="34">
        <v>3092</v>
      </c>
      <c r="D472" s="34">
        <v>22</v>
      </c>
      <c r="E472" s="34" t="s">
        <v>11</v>
      </c>
      <c r="F472" s="34" t="s">
        <v>9</v>
      </c>
      <c r="G472" s="39" t="s">
        <v>7</v>
      </c>
    </row>
    <row r="473" spans="1:7" x14ac:dyDescent="0.3">
      <c r="A473" s="34">
        <v>472</v>
      </c>
      <c r="B473" s="34">
        <v>6</v>
      </c>
      <c r="C473" s="34">
        <v>448</v>
      </c>
      <c r="D473" s="34">
        <v>23</v>
      </c>
      <c r="E473" s="34" t="s">
        <v>6</v>
      </c>
      <c r="F473" s="34" t="s">
        <v>4</v>
      </c>
      <c r="G473" s="39" t="s">
        <v>7</v>
      </c>
    </row>
    <row r="474" spans="1:7" x14ac:dyDescent="0.3">
      <c r="A474" s="34">
        <v>473</v>
      </c>
      <c r="B474" s="34">
        <v>9</v>
      </c>
      <c r="C474" s="34">
        <v>654</v>
      </c>
      <c r="D474" s="34">
        <v>28</v>
      </c>
      <c r="E474" s="34" t="s">
        <v>3</v>
      </c>
      <c r="F474" s="34" t="s">
        <v>4</v>
      </c>
      <c r="G474" s="39" t="s">
        <v>7</v>
      </c>
    </row>
    <row r="475" spans="1:7" x14ac:dyDescent="0.3">
      <c r="A475" s="34">
        <v>474</v>
      </c>
      <c r="B475" s="34">
        <v>6</v>
      </c>
      <c r="C475" s="34">
        <v>1238</v>
      </c>
      <c r="D475" s="34">
        <v>36</v>
      </c>
      <c r="E475" s="34" t="s">
        <v>3</v>
      </c>
      <c r="F475" s="34" t="s">
        <v>4</v>
      </c>
      <c r="G475" s="39" t="s">
        <v>5</v>
      </c>
    </row>
    <row r="476" spans="1:7" x14ac:dyDescent="0.3">
      <c r="A476" s="34">
        <v>475</v>
      </c>
      <c r="B476" s="34">
        <v>18</v>
      </c>
      <c r="C476" s="34">
        <v>1245</v>
      </c>
      <c r="D476" s="34">
        <v>33</v>
      </c>
      <c r="E476" s="34" t="s">
        <v>11</v>
      </c>
      <c r="F476" s="34" t="s">
        <v>4</v>
      </c>
      <c r="G476" s="39" t="s">
        <v>7</v>
      </c>
    </row>
    <row r="477" spans="1:7" x14ac:dyDescent="0.3">
      <c r="A477" s="34">
        <v>476</v>
      </c>
      <c r="B477" s="34">
        <v>18</v>
      </c>
      <c r="C477" s="34">
        <v>3114</v>
      </c>
      <c r="D477" s="34">
        <v>26</v>
      </c>
      <c r="E477" s="34" t="s">
        <v>6</v>
      </c>
      <c r="F477" s="34" t="s">
        <v>9</v>
      </c>
      <c r="G477" s="39" t="s">
        <v>7</v>
      </c>
    </row>
    <row r="478" spans="1:7" x14ac:dyDescent="0.3">
      <c r="A478" s="34">
        <v>477</v>
      </c>
      <c r="B478" s="34">
        <v>39</v>
      </c>
      <c r="C478" s="34">
        <v>2569</v>
      </c>
      <c r="D478" s="34">
        <v>24</v>
      </c>
      <c r="E478" s="34" t="s">
        <v>3</v>
      </c>
      <c r="F478" s="34" t="s">
        <v>4</v>
      </c>
      <c r="G478" s="39" t="s">
        <v>5</v>
      </c>
    </row>
    <row r="479" spans="1:7" x14ac:dyDescent="0.3">
      <c r="A479" s="34">
        <v>478</v>
      </c>
      <c r="B479" s="34">
        <v>24</v>
      </c>
      <c r="C479" s="34">
        <v>5152</v>
      </c>
      <c r="D479" s="34">
        <v>25</v>
      </c>
      <c r="E479" s="34" t="s">
        <v>3</v>
      </c>
      <c r="F479" s="34" t="s">
        <v>4</v>
      </c>
      <c r="G479" s="39" t="s">
        <v>5</v>
      </c>
    </row>
    <row r="480" spans="1:7" x14ac:dyDescent="0.3">
      <c r="A480" s="34">
        <v>479</v>
      </c>
      <c r="B480" s="34">
        <v>12</v>
      </c>
      <c r="C480" s="34">
        <v>1037</v>
      </c>
      <c r="D480" s="34">
        <v>39</v>
      </c>
      <c r="E480" s="34" t="s">
        <v>3</v>
      </c>
      <c r="F480" s="34" t="s">
        <v>4</v>
      </c>
      <c r="G480" s="39" t="s">
        <v>5</v>
      </c>
    </row>
    <row r="481" spans="1:7" x14ac:dyDescent="0.3">
      <c r="A481" s="34">
        <v>480</v>
      </c>
      <c r="B481" s="34">
        <v>15</v>
      </c>
      <c r="C481" s="34">
        <v>1478</v>
      </c>
      <c r="D481" s="34">
        <v>44</v>
      </c>
      <c r="E481" s="34" t="s">
        <v>3</v>
      </c>
      <c r="F481" s="34" t="s">
        <v>4</v>
      </c>
      <c r="G481" s="39" t="s">
        <v>5</v>
      </c>
    </row>
    <row r="482" spans="1:7" x14ac:dyDescent="0.3">
      <c r="A482" s="34">
        <v>481</v>
      </c>
      <c r="B482" s="34">
        <v>12</v>
      </c>
      <c r="C482" s="34">
        <v>3573</v>
      </c>
      <c r="D482" s="34">
        <v>23</v>
      </c>
      <c r="E482" s="34" t="s">
        <v>6</v>
      </c>
      <c r="F482" s="34" t="s">
        <v>4</v>
      </c>
      <c r="G482" s="39" t="s">
        <v>5</v>
      </c>
    </row>
    <row r="483" spans="1:7" x14ac:dyDescent="0.3">
      <c r="A483" s="34">
        <v>482</v>
      </c>
      <c r="B483" s="34">
        <v>24</v>
      </c>
      <c r="C483" s="34">
        <v>1201</v>
      </c>
      <c r="D483" s="34">
        <v>26</v>
      </c>
      <c r="E483" s="34" t="s">
        <v>3</v>
      </c>
      <c r="F483" s="34" t="s">
        <v>4</v>
      </c>
      <c r="G483" s="39" t="s">
        <v>5</v>
      </c>
    </row>
    <row r="484" spans="1:7" x14ac:dyDescent="0.3">
      <c r="A484" s="34">
        <v>483</v>
      </c>
      <c r="B484" s="34">
        <v>30</v>
      </c>
      <c r="C484" s="34">
        <v>3622</v>
      </c>
      <c r="D484" s="34">
        <v>57</v>
      </c>
      <c r="E484" s="34" t="s">
        <v>6</v>
      </c>
      <c r="F484" s="34" t="s">
        <v>9</v>
      </c>
      <c r="G484" s="39" t="s">
        <v>5</v>
      </c>
    </row>
    <row r="485" spans="1:7" x14ac:dyDescent="0.3">
      <c r="A485" s="34">
        <v>484</v>
      </c>
      <c r="B485" s="34">
        <v>15</v>
      </c>
      <c r="C485" s="34">
        <v>960</v>
      </c>
      <c r="D485" s="34">
        <v>30</v>
      </c>
      <c r="E485" s="34" t="s">
        <v>6</v>
      </c>
      <c r="F485" s="34" t="s">
        <v>4</v>
      </c>
      <c r="G485" s="39" t="s">
        <v>5</v>
      </c>
    </row>
    <row r="486" spans="1:7" x14ac:dyDescent="0.3">
      <c r="A486" s="34">
        <v>485</v>
      </c>
      <c r="B486" s="34">
        <v>12</v>
      </c>
      <c r="C486" s="34">
        <v>1163</v>
      </c>
      <c r="D486" s="34">
        <v>44</v>
      </c>
      <c r="E486" s="34" t="s">
        <v>3</v>
      </c>
      <c r="F486" s="34" t="s">
        <v>4</v>
      </c>
      <c r="G486" s="39" t="s">
        <v>5</v>
      </c>
    </row>
    <row r="487" spans="1:7" x14ac:dyDescent="0.3">
      <c r="A487" s="34">
        <v>486</v>
      </c>
      <c r="B487" s="34">
        <v>6</v>
      </c>
      <c r="C487" s="34">
        <v>1209</v>
      </c>
      <c r="D487" s="34">
        <v>47</v>
      </c>
      <c r="E487" s="34" t="s">
        <v>3</v>
      </c>
      <c r="F487" s="34" t="s">
        <v>4</v>
      </c>
      <c r="G487" s="39" t="s">
        <v>7</v>
      </c>
    </row>
    <row r="488" spans="1:7" x14ac:dyDescent="0.3">
      <c r="A488" s="34">
        <v>487</v>
      </c>
      <c r="B488" s="34">
        <v>12</v>
      </c>
      <c r="C488" s="34">
        <v>3077</v>
      </c>
      <c r="D488" s="34">
        <v>52</v>
      </c>
      <c r="E488" s="34" t="s">
        <v>3</v>
      </c>
      <c r="F488" s="34" t="s">
        <v>4</v>
      </c>
      <c r="G488" s="39" t="s">
        <v>5</v>
      </c>
    </row>
    <row r="489" spans="1:7" x14ac:dyDescent="0.3">
      <c r="A489" s="34">
        <v>488</v>
      </c>
      <c r="B489" s="34">
        <v>24</v>
      </c>
      <c r="C489" s="34">
        <v>3757</v>
      </c>
      <c r="D489" s="34">
        <v>62</v>
      </c>
      <c r="E489" s="34" t="s">
        <v>6</v>
      </c>
      <c r="F489" s="34" t="s">
        <v>8</v>
      </c>
      <c r="G489" s="39" t="s">
        <v>5</v>
      </c>
    </row>
    <row r="490" spans="1:7" x14ac:dyDescent="0.3">
      <c r="A490" s="34">
        <v>489</v>
      </c>
      <c r="B490" s="34">
        <v>10</v>
      </c>
      <c r="C490" s="34">
        <v>1418</v>
      </c>
      <c r="D490" s="34">
        <v>35</v>
      </c>
      <c r="E490" s="34" t="s">
        <v>3</v>
      </c>
      <c r="F490" s="34" t="s">
        <v>9</v>
      </c>
      <c r="G490" s="39" t="s">
        <v>5</v>
      </c>
    </row>
    <row r="491" spans="1:7" x14ac:dyDescent="0.3">
      <c r="A491" s="34">
        <v>490</v>
      </c>
      <c r="B491" s="34">
        <v>6</v>
      </c>
      <c r="C491" s="34">
        <v>3518</v>
      </c>
      <c r="D491" s="34">
        <v>26</v>
      </c>
      <c r="E491" s="34" t="s">
        <v>3</v>
      </c>
      <c r="F491" s="34" t="s">
        <v>9</v>
      </c>
      <c r="G491" s="39" t="s">
        <v>5</v>
      </c>
    </row>
    <row r="492" spans="1:7" x14ac:dyDescent="0.3">
      <c r="A492" s="34">
        <v>491</v>
      </c>
      <c r="B492" s="34">
        <v>12</v>
      </c>
      <c r="C492" s="34">
        <v>1934</v>
      </c>
      <c r="D492" s="34">
        <v>26</v>
      </c>
      <c r="E492" s="34" t="s">
        <v>3</v>
      </c>
      <c r="F492" s="34" t="s">
        <v>4</v>
      </c>
      <c r="G492" s="39" t="s">
        <v>5</v>
      </c>
    </row>
    <row r="493" spans="1:7" x14ac:dyDescent="0.3">
      <c r="A493" s="34">
        <v>492</v>
      </c>
      <c r="B493" s="34">
        <v>27</v>
      </c>
      <c r="C493" s="34">
        <v>8318</v>
      </c>
      <c r="D493" s="34">
        <v>42</v>
      </c>
      <c r="E493" s="34" t="s">
        <v>6</v>
      </c>
      <c r="F493" s="34" t="s">
        <v>8</v>
      </c>
      <c r="G493" s="39" t="s">
        <v>7</v>
      </c>
    </row>
    <row r="494" spans="1:7" x14ac:dyDescent="0.3">
      <c r="A494" s="34">
        <v>493</v>
      </c>
      <c r="B494" s="34">
        <v>6</v>
      </c>
      <c r="C494" s="34">
        <v>1237</v>
      </c>
      <c r="D494" s="34">
        <v>27</v>
      </c>
      <c r="E494" s="34" t="s">
        <v>6</v>
      </c>
      <c r="F494" s="34" t="s">
        <v>4</v>
      </c>
      <c r="G494" s="39" t="s">
        <v>5</v>
      </c>
    </row>
    <row r="495" spans="1:7" x14ac:dyDescent="0.3">
      <c r="A495" s="34">
        <v>494</v>
      </c>
      <c r="B495" s="34">
        <v>6</v>
      </c>
      <c r="C495" s="34">
        <v>368</v>
      </c>
      <c r="D495" s="34">
        <v>38</v>
      </c>
      <c r="E495" s="34" t="s">
        <v>3</v>
      </c>
      <c r="F495" s="34" t="s">
        <v>4</v>
      </c>
      <c r="G495" s="39" t="s">
        <v>5</v>
      </c>
    </row>
    <row r="496" spans="1:7" x14ac:dyDescent="0.3">
      <c r="A496" s="34">
        <v>495</v>
      </c>
      <c r="B496" s="34">
        <v>12</v>
      </c>
      <c r="C496" s="34">
        <v>2122</v>
      </c>
      <c r="D496" s="34">
        <v>39</v>
      </c>
      <c r="E496" s="34" t="s">
        <v>3</v>
      </c>
      <c r="F496" s="34" t="s">
        <v>9</v>
      </c>
      <c r="G496" s="39" t="s">
        <v>5</v>
      </c>
    </row>
    <row r="497" spans="1:7" x14ac:dyDescent="0.3">
      <c r="A497" s="34">
        <v>496</v>
      </c>
      <c r="B497" s="34">
        <v>24</v>
      </c>
      <c r="C497" s="34">
        <v>2996</v>
      </c>
      <c r="D497" s="34">
        <v>20</v>
      </c>
      <c r="E497" s="34" t="s">
        <v>11</v>
      </c>
      <c r="F497" s="34" t="s">
        <v>4</v>
      </c>
      <c r="G497" s="39" t="s">
        <v>7</v>
      </c>
    </row>
    <row r="498" spans="1:7" x14ac:dyDescent="0.3">
      <c r="A498" s="34">
        <v>497</v>
      </c>
      <c r="B498" s="34">
        <v>36</v>
      </c>
      <c r="C498" s="34">
        <v>9034</v>
      </c>
      <c r="D498" s="34">
        <v>29</v>
      </c>
      <c r="E498" s="34" t="s">
        <v>3</v>
      </c>
      <c r="F498" s="34" t="s">
        <v>9</v>
      </c>
      <c r="G498" s="39" t="s">
        <v>7</v>
      </c>
    </row>
    <row r="499" spans="1:7" x14ac:dyDescent="0.3">
      <c r="A499" s="34">
        <v>498</v>
      </c>
      <c r="B499" s="34">
        <v>24</v>
      </c>
      <c r="C499" s="34">
        <v>1585</v>
      </c>
      <c r="D499" s="34">
        <v>40</v>
      </c>
      <c r="E499" s="34" t="s">
        <v>3</v>
      </c>
      <c r="F499" s="34" t="s">
        <v>4</v>
      </c>
      <c r="G499" s="39" t="s">
        <v>5</v>
      </c>
    </row>
    <row r="500" spans="1:7" x14ac:dyDescent="0.3">
      <c r="A500" s="34">
        <v>499</v>
      </c>
      <c r="B500" s="34">
        <v>18</v>
      </c>
      <c r="C500" s="34">
        <v>1301</v>
      </c>
      <c r="D500" s="34">
        <v>32</v>
      </c>
      <c r="E500" s="34" t="s">
        <v>11</v>
      </c>
      <c r="F500" s="34" t="s">
        <v>4</v>
      </c>
      <c r="G500" s="39" t="s">
        <v>5</v>
      </c>
    </row>
    <row r="501" spans="1:7" x14ac:dyDescent="0.3">
      <c r="A501" s="34">
        <v>500</v>
      </c>
      <c r="B501" s="34">
        <v>6</v>
      </c>
      <c r="C501" s="34">
        <v>1323</v>
      </c>
      <c r="D501" s="34">
        <v>28</v>
      </c>
      <c r="E501" s="34" t="s">
        <v>10</v>
      </c>
      <c r="F501" s="34" t="s">
        <v>4</v>
      </c>
      <c r="G501" s="39" t="s">
        <v>5</v>
      </c>
    </row>
    <row r="502" spans="1:7" x14ac:dyDescent="0.3">
      <c r="A502" s="34">
        <v>501</v>
      </c>
      <c r="B502" s="34">
        <v>24</v>
      </c>
      <c r="C502" s="34">
        <v>3123</v>
      </c>
      <c r="D502" s="34">
        <v>27</v>
      </c>
      <c r="E502" s="34" t="s">
        <v>6</v>
      </c>
      <c r="F502" s="34" t="s">
        <v>4</v>
      </c>
      <c r="G502" s="39" t="s">
        <v>7</v>
      </c>
    </row>
    <row r="503" spans="1:7" x14ac:dyDescent="0.3">
      <c r="A503" s="34">
        <v>502</v>
      </c>
      <c r="B503" s="34">
        <v>36</v>
      </c>
      <c r="C503" s="34">
        <v>5493</v>
      </c>
      <c r="D503" s="34">
        <v>42</v>
      </c>
      <c r="E503" s="34" t="s">
        <v>3</v>
      </c>
      <c r="F503" s="34" t="s">
        <v>8</v>
      </c>
      <c r="G503" s="39" t="s">
        <v>5</v>
      </c>
    </row>
    <row r="504" spans="1:7" x14ac:dyDescent="0.3">
      <c r="A504" s="34">
        <v>503</v>
      </c>
      <c r="B504" s="34">
        <v>9</v>
      </c>
      <c r="C504" s="34">
        <v>1126</v>
      </c>
      <c r="D504" s="34">
        <v>49</v>
      </c>
      <c r="E504" s="34" t="s">
        <v>10</v>
      </c>
      <c r="F504" s="34" t="s">
        <v>4</v>
      </c>
      <c r="G504" s="39" t="s">
        <v>5</v>
      </c>
    </row>
    <row r="505" spans="1:7" x14ac:dyDescent="0.3">
      <c r="A505" s="34">
        <v>504</v>
      </c>
      <c r="B505" s="34">
        <v>24</v>
      </c>
      <c r="C505" s="34">
        <v>1216</v>
      </c>
      <c r="D505" s="34">
        <v>38</v>
      </c>
      <c r="E505" s="34" t="s">
        <v>3</v>
      </c>
      <c r="F505" s="34" t="s">
        <v>4</v>
      </c>
      <c r="G505" s="39" t="s">
        <v>7</v>
      </c>
    </row>
    <row r="506" spans="1:7" x14ac:dyDescent="0.3">
      <c r="A506" s="34">
        <v>505</v>
      </c>
      <c r="B506" s="34">
        <v>24</v>
      </c>
      <c r="C506" s="34">
        <v>1207</v>
      </c>
      <c r="D506" s="34">
        <v>24</v>
      </c>
      <c r="E506" s="34" t="s">
        <v>6</v>
      </c>
      <c r="F506" s="34" t="s">
        <v>9</v>
      </c>
      <c r="G506" s="39" t="s">
        <v>7</v>
      </c>
    </row>
    <row r="507" spans="1:7" x14ac:dyDescent="0.3">
      <c r="A507" s="34">
        <v>506</v>
      </c>
      <c r="B507" s="34">
        <v>10</v>
      </c>
      <c r="C507" s="34">
        <v>1309</v>
      </c>
      <c r="D507" s="34">
        <v>27</v>
      </c>
      <c r="E507" s="34" t="s">
        <v>3</v>
      </c>
      <c r="F507" s="34" t="s">
        <v>4</v>
      </c>
      <c r="G507" s="39" t="s">
        <v>7</v>
      </c>
    </row>
    <row r="508" spans="1:7" x14ac:dyDescent="0.3">
      <c r="A508" s="34">
        <v>507</v>
      </c>
      <c r="B508" s="34">
        <v>15</v>
      </c>
      <c r="C508" s="34">
        <v>2360</v>
      </c>
      <c r="D508" s="34">
        <v>36</v>
      </c>
      <c r="E508" s="34" t="s">
        <v>3</v>
      </c>
      <c r="F508" s="34" t="s">
        <v>4</v>
      </c>
      <c r="G508" s="39" t="s">
        <v>5</v>
      </c>
    </row>
    <row r="509" spans="1:7" x14ac:dyDescent="0.3">
      <c r="A509" s="34">
        <v>508</v>
      </c>
      <c r="B509" s="34">
        <v>15</v>
      </c>
      <c r="C509" s="34">
        <v>6850</v>
      </c>
      <c r="D509" s="34">
        <v>34</v>
      </c>
      <c r="E509" s="34" t="s">
        <v>3</v>
      </c>
      <c r="F509" s="34" t="s">
        <v>4</v>
      </c>
      <c r="G509" s="39" t="s">
        <v>7</v>
      </c>
    </row>
    <row r="510" spans="1:7" x14ac:dyDescent="0.3">
      <c r="A510" s="34">
        <v>509</v>
      </c>
      <c r="B510" s="34">
        <v>24</v>
      </c>
      <c r="C510" s="34">
        <v>1413</v>
      </c>
      <c r="D510" s="34">
        <v>28</v>
      </c>
      <c r="E510" s="34" t="s">
        <v>11</v>
      </c>
      <c r="F510" s="34" t="s">
        <v>4</v>
      </c>
      <c r="G510" s="39" t="s">
        <v>5</v>
      </c>
    </row>
    <row r="511" spans="1:7" x14ac:dyDescent="0.3">
      <c r="A511" s="34">
        <v>510</v>
      </c>
      <c r="B511" s="34">
        <v>39</v>
      </c>
      <c r="C511" s="34">
        <v>8588</v>
      </c>
      <c r="D511" s="34">
        <v>45</v>
      </c>
      <c r="E511" s="34" t="s">
        <v>3</v>
      </c>
      <c r="F511" s="34" t="s">
        <v>4</v>
      </c>
      <c r="G511" s="39" t="s">
        <v>5</v>
      </c>
    </row>
    <row r="512" spans="1:7" x14ac:dyDescent="0.3">
      <c r="A512" s="34">
        <v>511</v>
      </c>
      <c r="B512" s="34">
        <v>12</v>
      </c>
      <c r="C512" s="34">
        <v>759</v>
      </c>
      <c r="D512" s="34">
        <v>26</v>
      </c>
      <c r="E512" s="34" t="s">
        <v>3</v>
      </c>
      <c r="F512" s="34" t="s">
        <v>4</v>
      </c>
      <c r="G512" s="39" t="s">
        <v>7</v>
      </c>
    </row>
    <row r="513" spans="1:7" x14ac:dyDescent="0.3">
      <c r="A513" s="34">
        <v>512</v>
      </c>
      <c r="B513" s="34">
        <v>36</v>
      </c>
      <c r="C513" s="34">
        <v>4686</v>
      </c>
      <c r="D513" s="34">
        <v>32</v>
      </c>
      <c r="E513" s="34" t="s">
        <v>3</v>
      </c>
      <c r="F513" s="34" t="s">
        <v>8</v>
      </c>
      <c r="G513" s="39" t="s">
        <v>5</v>
      </c>
    </row>
    <row r="514" spans="1:7" x14ac:dyDescent="0.3">
      <c r="A514" s="34">
        <v>513</v>
      </c>
      <c r="B514" s="34">
        <v>15</v>
      </c>
      <c r="C514" s="34">
        <v>2687</v>
      </c>
      <c r="D514" s="34">
        <v>26</v>
      </c>
      <c r="E514" s="34" t="s">
        <v>3</v>
      </c>
      <c r="F514" s="34" t="s">
        <v>9</v>
      </c>
      <c r="G514" s="39" t="s">
        <v>5</v>
      </c>
    </row>
    <row r="515" spans="1:7" x14ac:dyDescent="0.3">
      <c r="A515" s="34">
        <v>514</v>
      </c>
      <c r="B515" s="34">
        <v>12</v>
      </c>
      <c r="C515" s="34">
        <v>585</v>
      </c>
      <c r="D515" s="34">
        <v>20</v>
      </c>
      <c r="E515" s="34" t="s">
        <v>11</v>
      </c>
      <c r="F515" s="34" t="s">
        <v>9</v>
      </c>
      <c r="G515" s="39" t="s">
        <v>5</v>
      </c>
    </row>
    <row r="516" spans="1:7" x14ac:dyDescent="0.3">
      <c r="A516" s="34">
        <v>515</v>
      </c>
      <c r="B516" s="34">
        <v>24</v>
      </c>
      <c r="C516" s="34">
        <v>2255</v>
      </c>
      <c r="D516" s="34">
        <v>54</v>
      </c>
      <c r="E516" s="34" t="s">
        <v>3</v>
      </c>
      <c r="F516" s="34" t="s">
        <v>4</v>
      </c>
      <c r="G516" s="39" t="s">
        <v>5</v>
      </c>
    </row>
    <row r="517" spans="1:7" x14ac:dyDescent="0.3">
      <c r="A517" s="34">
        <v>516</v>
      </c>
      <c r="B517" s="34">
        <v>6</v>
      </c>
      <c r="C517" s="34">
        <v>609</v>
      </c>
      <c r="D517" s="34">
        <v>37</v>
      </c>
      <c r="E517" s="34" t="s">
        <v>6</v>
      </c>
      <c r="F517" s="34" t="s">
        <v>4</v>
      </c>
      <c r="G517" s="39" t="s">
        <v>5</v>
      </c>
    </row>
    <row r="518" spans="1:7" x14ac:dyDescent="0.3">
      <c r="A518" s="34">
        <v>517</v>
      </c>
      <c r="B518" s="34">
        <v>6</v>
      </c>
      <c r="C518" s="34">
        <v>1361</v>
      </c>
      <c r="D518" s="34">
        <v>40</v>
      </c>
      <c r="E518" s="34" t="s">
        <v>3</v>
      </c>
      <c r="F518" s="34" t="s">
        <v>4</v>
      </c>
      <c r="G518" s="39" t="s">
        <v>5</v>
      </c>
    </row>
    <row r="519" spans="1:7" x14ac:dyDescent="0.3">
      <c r="A519" s="34">
        <v>518</v>
      </c>
      <c r="B519" s="34">
        <v>36</v>
      </c>
      <c r="C519" s="34">
        <v>7127</v>
      </c>
      <c r="D519" s="34">
        <v>23</v>
      </c>
      <c r="E519" s="34" t="s">
        <v>6</v>
      </c>
      <c r="F519" s="34" t="s">
        <v>9</v>
      </c>
      <c r="G519" s="39" t="s">
        <v>7</v>
      </c>
    </row>
    <row r="520" spans="1:7" x14ac:dyDescent="0.3">
      <c r="A520" s="34">
        <v>519</v>
      </c>
      <c r="B520" s="34">
        <v>6</v>
      </c>
      <c r="C520" s="34">
        <v>1203</v>
      </c>
      <c r="D520" s="34">
        <v>43</v>
      </c>
      <c r="E520" s="34" t="s">
        <v>3</v>
      </c>
      <c r="F520" s="34" t="s">
        <v>4</v>
      </c>
      <c r="G520" s="39" t="s">
        <v>5</v>
      </c>
    </row>
    <row r="521" spans="1:7" x14ac:dyDescent="0.3">
      <c r="A521" s="34">
        <v>520</v>
      </c>
      <c r="B521" s="34">
        <v>6</v>
      </c>
      <c r="C521" s="34">
        <v>700</v>
      </c>
      <c r="D521" s="34">
        <v>36</v>
      </c>
      <c r="E521" s="34" t="s">
        <v>3</v>
      </c>
      <c r="F521" s="34" t="s">
        <v>8</v>
      </c>
      <c r="G521" s="39" t="s">
        <v>5</v>
      </c>
    </row>
    <row r="522" spans="1:7" x14ac:dyDescent="0.3">
      <c r="A522" s="34">
        <v>521</v>
      </c>
      <c r="B522" s="34">
        <v>24</v>
      </c>
      <c r="C522" s="34">
        <v>5507</v>
      </c>
      <c r="D522" s="34">
        <v>44</v>
      </c>
      <c r="E522" s="34" t="s">
        <v>3</v>
      </c>
      <c r="F522" s="34" t="s">
        <v>8</v>
      </c>
      <c r="G522" s="39" t="s">
        <v>5</v>
      </c>
    </row>
    <row r="523" spans="1:7" x14ac:dyDescent="0.3">
      <c r="A523" s="34">
        <v>522</v>
      </c>
      <c r="B523" s="34">
        <v>18</v>
      </c>
      <c r="C523" s="34">
        <v>3190</v>
      </c>
      <c r="D523" s="34">
        <v>24</v>
      </c>
      <c r="E523" s="34" t="s">
        <v>6</v>
      </c>
      <c r="F523" s="34" t="s">
        <v>4</v>
      </c>
      <c r="G523" s="39" t="s">
        <v>7</v>
      </c>
    </row>
    <row r="524" spans="1:7" x14ac:dyDescent="0.3">
      <c r="A524" s="34">
        <v>523</v>
      </c>
      <c r="B524" s="34">
        <v>48</v>
      </c>
      <c r="C524" s="34">
        <v>7119</v>
      </c>
      <c r="D524" s="34">
        <v>53</v>
      </c>
      <c r="E524" s="34" t="s">
        <v>3</v>
      </c>
      <c r="F524" s="34" t="s">
        <v>8</v>
      </c>
      <c r="G524" s="39" t="s">
        <v>7</v>
      </c>
    </row>
    <row r="525" spans="1:7" x14ac:dyDescent="0.3">
      <c r="A525" s="34">
        <v>524</v>
      </c>
      <c r="B525" s="34">
        <v>24</v>
      </c>
      <c r="C525" s="34">
        <v>3488</v>
      </c>
      <c r="D525" s="34">
        <v>23</v>
      </c>
      <c r="E525" s="34" t="s">
        <v>6</v>
      </c>
      <c r="F525" s="34" t="s">
        <v>4</v>
      </c>
      <c r="G525" s="39" t="s">
        <v>5</v>
      </c>
    </row>
    <row r="526" spans="1:7" x14ac:dyDescent="0.3">
      <c r="A526" s="34">
        <v>525</v>
      </c>
      <c r="B526" s="34">
        <v>18</v>
      </c>
      <c r="C526" s="34">
        <v>1113</v>
      </c>
      <c r="D526" s="34">
        <v>26</v>
      </c>
      <c r="E526" s="34" t="s">
        <v>6</v>
      </c>
      <c r="F526" s="34" t="s">
        <v>4</v>
      </c>
      <c r="G526" s="39" t="s">
        <v>5</v>
      </c>
    </row>
    <row r="527" spans="1:7" x14ac:dyDescent="0.3">
      <c r="A527" s="34">
        <v>526</v>
      </c>
      <c r="B527" s="34">
        <v>26</v>
      </c>
      <c r="C527" s="34">
        <v>7966</v>
      </c>
      <c r="D527" s="34">
        <v>30</v>
      </c>
      <c r="E527" s="34" t="s">
        <v>3</v>
      </c>
      <c r="F527" s="34" t="s">
        <v>4</v>
      </c>
      <c r="G527" s="39" t="s">
        <v>5</v>
      </c>
    </row>
    <row r="528" spans="1:7" x14ac:dyDescent="0.3">
      <c r="A528" s="34">
        <v>527</v>
      </c>
      <c r="B528" s="34">
        <v>15</v>
      </c>
      <c r="C528" s="34">
        <v>1532</v>
      </c>
      <c r="D528" s="34">
        <v>31</v>
      </c>
      <c r="E528" s="34" t="s">
        <v>6</v>
      </c>
      <c r="F528" s="34" t="s">
        <v>4</v>
      </c>
      <c r="G528" s="39" t="s">
        <v>5</v>
      </c>
    </row>
    <row r="529" spans="1:7" x14ac:dyDescent="0.3">
      <c r="A529" s="34">
        <v>528</v>
      </c>
      <c r="B529" s="34">
        <v>4</v>
      </c>
      <c r="C529" s="34">
        <v>1503</v>
      </c>
      <c r="D529" s="34">
        <v>42</v>
      </c>
      <c r="E529" s="34" t="s">
        <v>3</v>
      </c>
      <c r="F529" s="34" t="s">
        <v>4</v>
      </c>
      <c r="G529" s="39" t="s">
        <v>5</v>
      </c>
    </row>
    <row r="530" spans="1:7" x14ac:dyDescent="0.3">
      <c r="A530" s="34">
        <v>529</v>
      </c>
      <c r="B530" s="34">
        <v>36</v>
      </c>
      <c r="C530" s="34">
        <v>2302</v>
      </c>
      <c r="D530" s="34">
        <v>31</v>
      </c>
      <c r="E530" s="34" t="s">
        <v>10</v>
      </c>
      <c r="F530" s="34" t="s">
        <v>9</v>
      </c>
      <c r="G530" s="39" t="s">
        <v>7</v>
      </c>
    </row>
    <row r="531" spans="1:7" x14ac:dyDescent="0.3">
      <c r="A531" s="34">
        <v>530</v>
      </c>
      <c r="B531" s="34">
        <v>6</v>
      </c>
      <c r="C531" s="34">
        <v>662</v>
      </c>
      <c r="D531" s="34">
        <v>41</v>
      </c>
      <c r="E531" s="34" t="s">
        <v>3</v>
      </c>
      <c r="F531" s="34" t="s">
        <v>4</v>
      </c>
      <c r="G531" s="39" t="s">
        <v>5</v>
      </c>
    </row>
    <row r="532" spans="1:7" x14ac:dyDescent="0.3">
      <c r="A532" s="34">
        <v>531</v>
      </c>
      <c r="B532" s="34">
        <v>36</v>
      </c>
      <c r="C532" s="34">
        <v>2273</v>
      </c>
      <c r="D532" s="34">
        <v>32</v>
      </c>
      <c r="E532" s="34" t="s">
        <v>3</v>
      </c>
      <c r="F532" s="34" t="s">
        <v>4</v>
      </c>
      <c r="G532" s="39" t="s">
        <v>5</v>
      </c>
    </row>
    <row r="533" spans="1:7" x14ac:dyDescent="0.3">
      <c r="A533" s="34">
        <v>532</v>
      </c>
      <c r="B533" s="34">
        <v>15</v>
      </c>
      <c r="C533" s="34">
        <v>2631</v>
      </c>
      <c r="D533" s="34">
        <v>28</v>
      </c>
      <c r="E533" s="34" t="s">
        <v>6</v>
      </c>
      <c r="F533" s="34" t="s">
        <v>9</v>
      </c>
      <c r="G533" s="39" t="s">
        <v>7</v>
      </c>
    </row>
    <row r="534" spans="1:7" x14ac:dyDescent="0.3">
      <c r="A534" s="34">
        <v>533</v>
      </c>
      <c r="B534" s="34">
        <v>12</v>
      </c>
      <c r="C534" s="34">
        <v>1503</v>
      </c>
      <c r="D534" s="34">
        <v>41</v>
      </c>
      <c r="E534" s="34" t="s">
        <v>11</v>
      </c>
      <c r="F534" s="34" t="s">
        <v>9</v>
      </c>
      <c r="G534" s="39" t="s">
        <v>5</v>
      </c>
    </row>
    <row r="535" spans="1:7" x14ac:dyDescent="0.3">
      <c r="A535" s="34">
        <v>534</v>
      </c>
      <c r="B535" s="34">
        <v>24</v>
      </c>
      <c r="C535" s="34">
        <v>1311</v>
      </c>
      <c r="D535" s="34">
        <v>26</v>
      </c>
      <c r="E535" s="34" t="s">
        <v>11</v>
      </c>
      <c r="F535" s="34" t="s">
        <v>4</v>
      </c>
      <c r="G535" s="39" t="s">
        <v>5</v>
      </c>
    </row>
    <row r="536" spans="1:7" x14ac:dyDescent="0.3">
      <c r="A536" s="34">
        <v>535</v>
      </c>
      <c r="B536" s="34">
        <v>24</v>
      </c>
      <c r="C536" s="34">
        <v>3105</v>
      </c>
      <c r="D536" s="34">
        <v>25</v>
      </c>
      <c r="E536" s="34" t="s">
        <v>3</v>
      </c>
      <c r="F536" s="34" t="s">
        <v>4</v>
      </c>
      <c r="G536" s="39" t="s">
        <v>5</v>
      </c>
    </row>
    <row r="537" spans="1:7" x14ac:dyDescent="0.3">
      <c r="A537" s="34">
        <v>536</v>
      </c>
      <c r="B537" s="34">
        <v>21</v>
      </c>
      <c r="C537" s="34">
        <v>2319</v>
      </c>
      <c r="D537" s="34">
        <v>33</v>
      </c>
      <c r="E537" s="34" t="s">
        <v>10</v>
      </c>
      <c r="F537" s="34" t="s">
        <v>9</v>
      </c>
      <c r="G537" s="39" t="s">
        <v>7</v>
      </c>
    </row>
    <row r="538" spans="1:7" x14ac:dyDescent="0.3">
      <c r="A538" s="34">
        <v>537</v>
      </c>
      <c r="B538" s="34">
        <v>6</v>
      </c>
      <c r="C538" s="34">
        <v>1374</v>
      </c>
      <c r="D538" s="34">
        <v>75</v>
      </c>
      <c r="E538" s="34" t="s">
        <v>6</v>
      </c>
      <c r="F538" s="34" t="s">
        <v>4</v>
      </c>
      <c r="G538" s="39" t="s">
        <v>5</v>
      </c>
    </row>
    <row r="539" spans="1:7" x14ac:dyDescent="0.3">
      <c r="A539" s="34">
        <v>538</v>
      </c>
      <c r="B539" s="34">
        <v>18</v>
      </c>
      <c r="C539" s="34">
        <v>3612</v>
      </c>
      <c r="D539" s="34">
        <v>37</v>
      </c>
      <c r="E539" s="34" t="s">
        <v>6</v>
      </c>
      <c r="F539" s="34" t="s">
        <v>4</v>
      </c>
      <c r="G539" s="39" t="s">
        <v>5</v>
      </c>
    </row>
    <row r="540" spans="1:7" x14ac:dyDescent="0.3">
      <c r="A540" s="34">
        <v>539</v>
      </c>
      <c r="B540" s="34">
        <v>48</v>
      </c>
      <c r="C540" s="34">
        <v>7763</v>
      </c>
      <c r="D540" s="34">
        <v>42</v>
      </c>
      <c r="E540" s="34" t="s">
        <v>3</v>
      </c>
      <c r="F540" s="34" t="s">
        <v>8</v>
      </c>
      <c r="G540" s="39" t="s">
        <v>7</v>
      </c>
    </row>
    <row r="541" spans="1:7" x14ac:dyDescent="0.3">
      <c r="A541" s="34">
        <v>540</v>
      </c>
      <c r="B541" s="34">
        <v>18</v>
      </c>
      <c r="C541" s="34">
        <v>3049</v>
      </c>
      <c r="D541" s="34">
        <v>45</v>
      </c>
      <c r="E541" s="34" t="s">
        <v>6</v>
      </c>
      <c r="F541" s="34" t="s">
        <v>4</v>
      </c>
      <c r="G541" s="39" t="s">
        <v>5</v>
      </c>
    </row>
    <row r="542" spans="1:7" x14ac:dyDescent="0.3">
      <c r="A542" s="34">
        <v>541</v>
      </c>
      <c r="B542" s="34">
        <v>12</v>
      </c>
      <c r="C542" s="34">
        <v>1534</v>
      </c>
      <c r="D542" s="34">
        <v>23</v>
      </c>
      <c r="E542" s="34" t="s">
        <v>11</v>
      </c>
      <c r="F542" s="34" t="s">
        <v>9</v>
      </c>
      <c r="G542" s="39" t="s">
        <v>7</v>
      </c>
    </row>
    <row r="543" spans="1:7" x14ac:dyDescent="0.3">
      <c r="A543" s="34">
        <v>542</v>
      </c>
      <c r="B543" s="34">
        <v>24</v>
      </c>
      <c r="C543" s="34">
        <v>2032</v>
      </c>
      <c r="D543" s="34">
        <v>60</v>
      </c>
      <c r="E543" s="34" t="s">
        <v>3</v>
      </c>
      <c r="F543" s="34" t="s">
        <v>8</v>
      </c>
      <c r="G543" s="39" t="s">
        <v>5</v>
      </c>
    </row>
    <row r="544" spans="1:7" x14ac:dyDescent="0.3">
      <c r="A544" s="34">
        <v>543</v>
      </c>
      <c r="B544" s="34">
        <v>30</v>
      </c>
      <c r="C544" s="34">
        <v>6350</v>
      </c>
      <c r="D544" s="34">
        <v>31</v>
      </c>
      <c r="E544" s="34" t="s">
        <v>3</v>
      </c>
      <c r="F544" s="34" t="s">
        <v>4</v>
      </c>
      <c r="G544" s="39" t="s">
        <v>7</v>
      </c>
    </row>
    <row r="545" spans="1:7" x14ac:dyDescent="0.3">
      <c r="A545" s="34">
        <v>544</v>
      </c>
      <c r="B545" s="34">
        <v>18</v>
      </c>
      <c r="C545" s="34">
        <v>2864</v>
      </c>
      <c r="D545" s="34">
        <v>34</v>
      </c>
      <c r="E545" s="34" t="s">
        <v>3</v>
      </c>
      <c r="F545" s="34" t="s">
        <v>4</v>
      </c>
      <c r="G545" s="39" t="s">
        <v>7</v>
      </c>
    </row>
    <row r="546" spans="1:7" x14ac:dyDescent="0.3">
      <c r="A546" s="34">
        <v>545</v>
      </c>
      <c r="B546" s="34">
        <v>12</v>
      </c>
      <c r="C546" s="34">
        <v>1255</v>
      </c>
      <c r="D546" s="34">
        <v>61</v>
      </c>
      <c r="E546" s="34" t="s">
        <v>3</v>
      </c>
      <c r="F546" s="34" t="s">
        <v>4</v>
      </c>
      <c r="G546" s="39" t="s">
        <v>5</v>
      </c>
    </row>
    <row r="547" spans="1:7" x14ac:dyDescent="0.3">
      <c r="A547" s="34">
        <v>546</v>
      </c>
      <c r="B547" s="34">
        <v>24</v>
      </c>
      <c r="C547" s="34">
        <v>1333</v>
      </c>
      <c r="D547" s="34">
        <v>43</v>
      </c>
      <c r="E547" s="34" t="s">
        <v>3</v>
      </c>
      <c r="F547" s="34" t="s">
        <v>8</v>
      </c>
      <c r="G547" s="39" t="s">
        <v>7</v>
      </c>
    </row>
    <row r="548" spans="1:7" x14ac:dyDescent="0.3">
      <c r="A548" s="34">
        <v>547</v>
      </c>
      <c r="B548" s="34">
        <v>24</v>
      </c>
      <c r="C548" s="34">
        <v>2022</v>
      </c>
      <c r="D548" s="34">
        <v>37</v>
      </c>
      <c r="E548" s="34" t="s">
        <v>6</v>
      </c>
      <c r="F548" s="34" t="s">
        <v>4</v>
      </c>
      <c r="G548" s="39" t="s">
        <v>5</v>
      </c>
    </row>
    <row r="549" spans="1:7" x14ac:dyDescent="0.3">
      <c r="A549" s="34">
        <v>548</v>
      </c>
      <c r="B549" s="34">
        <v>24</v>
      </c>
      <c r="C549" s="34">
        <v>1552</v>
      </c>
      <c r="D549" s="34">
        <v>32</v>
      </c>
      <c r="E549" s="34" t="s">
        <v>3</v>
      </c>
      <c r="F549" s="34" t="s">
        <v>4</v>
      </c>
      <c r="G549" s="39" t="s">
        <v>5</v>
      </c>
    </row>
    <row r="550" spans="1:7" x14ac:dyDescent="0.3">
      <c r="A550" s="34">
        <v>549</v>
      </c>
      <c r="B550" s="34">
        <v>12</v>
      </c>
      <c r="C550" s="34">
        <v>626</v>
      </c>
      <c r="D550" s="34">
        <v>24</v>
      </c>
      <c r="E550" s="34" t="s">
        <v>6</v>
      </c>
      <c r="F550" s="34" t="s">
        <v>4</v>
      </c>
      <c r="G550" s="39" t="s">
        <v>7</v>
      </c>
    </row>
    <row r="551" spans="1:7" x14ac:dyDescent="0.3">
      <c r="A551" s="34">
        <v>550</v>
      </c>
      <c r="B551" s="34">
        <v>48</v>
      </c>
      <c r="C551" s="34">
        <v>8858</v>
      </c>
      <c r="D551" s="34">
        <v>35</v>
      </c>
      <c r="E551" s="34" t="s">
        <v>3</v>
      </c>
      <c r="F551" s="34" t="s">
        <v>8</v>
      </c>
      <c r="G551" s="39" t="s">
        <v>5</v>
      </c>
    </row>
    <row r="552" spans="1:7" x14ac:dyDescent="0.3">
      <c r="A552" s="34">
        <v>551</v>
      </c>
      <c r="B552" s="34">
        <v>12</v>
      </c>
      <c r="C552" s="34">
        <v>996</v>
      </c>
      <c r="D552" s="34">
        <v>23</v>
      </c>
      <c r="E552" s="34" t="s">
        <v>6</v>
      </c>
      <c r="F552" s="34" t="s">
        <v>4</v>
      </c>
      <c r="G552" s="39" t="s">
        <v>5</v>
      </c>
    </row>
    <row r="553" spans="1:7" x14ac:dyDescent="0.3">
      <c r="A553" s="34">
        <v>552</v>
      </c>
      <c r="B553" s="34">
        <v>6</v>
      </c>
      <c r="C553" s="34">
        <v>1750</v>
      </c>
      <c r="D553" s="34">
        <v>45</v>
      </c>
      <c r="E553" s="34" t="s">
        <v>3</v>
      </c>
      <c r="F553" s="34" t="s">
        <v>4</v>
      </c>
      <c r="G553" s="39" t="s">
        <v>5</v>
      </c>
    </row>
    <row r="554" spans="1:7" x14ac:dyDescent="0.3">
      <c r="A554" s="34">
        <v>553</v>
      </c>
      <c r="B554" s="34">
        <v>48</v>
      </c>
      <c r="C554" s="34">
        <v>6999</v>
      </c>
      <c r="D554" s="34">
        <v>34</v>
      </c>
      <c r="E554" s="34" t="s">
        <v>11</v>
      </c>
      <c r="F554" s="34" t="s">
        <v>4</v>
      </c>
      <c r="G554" s="39" t="s">
        <v>7</v>
      </c>
    </row>
    <row r="555" spans="1:7" x14ac:dyDescent="0.3">
      <c r="A555" s="34">
        <v>554</v>
      </c>
      <c r="B555" s="34">
        <v>12</v>
      </c>
      <c r="C555" s="34">
        <v>1995</v>
      </c>
      <c r="D555" s="34">
        <v>27</v>
      </c>
      <c r="E555" s="34" t="s">
        <v>3</v>
      </c>
      <c r="F555" s="34" t="s">
        <v>4</v>
      </c>
      <c r="G555" s="39" t="s">
        <v>5</v>
      </c>
    </row>
    <row r="556" spans="1:7" x14ac:dyDescent="0.3">
      <c r="A556" s="34">
        <v>555</v>
      </c>
      <c r="B556" s="34">
        <v>9</v>
      </c>
      <c r="C556" s="34">
        <v>1199</v>
      </c>
      <c r="D556" s="34">
        <v>67</v>
      </c>
      <c r="E556" s="34" t="s">
        <v>6</v>
      </c>
      <c r="F556" s="34" t="s">
        <v>4</v>
      </c>
      <c r="G556" s="39" t="s">
        <v>5</v>
      </c>
    </row>
    <row r="557" spans="1:7" x14ac:dyDescent="0.3">
      <c r="A557" s="34">
        <v>556</v>
      </c>
      <c r="B557" s="34">
        <v>12</v>
      </c>
      <c r="C557" s="34">
        <v>1331</v>
      </c>
      <c r="D557" s="34">
        <v>22</v>
      </c>
      <c r="E557" s="34" t="s">
        <v>3</v>
      </c>
      <c r="F557" s="34" t="s">
        <v>4</v>
      </c>
      <c r="G557" s="39" t="s">
        <v>7</v>
      </c>
    </row>
    <row r="558" spans="1:7" x14ac:dyDescent="0.3">
      <c r="A558" s="34">
        <v>557</v>
      </c>
      <c r="B558" s="34">
        <v>18</v>
      </c>
      <c r="C558" s="34">
        <v>2278</v>
      </c>
      <c r="D558" s="34">
        <v>28</v>
      </c>
      <c r="E558" s="34" t="s">
        <v>6</v>
      </c>
      <c r="F558" s="34" t="s">
        <v>4</v>
      </c>
      <c r="G558" s="39" t="s">
        <v>7</v>
      </c>
    </row>
    <row r="559" spans="1:7" x14ac:dyDescent="0.3">
      <c r="A559" s="34">
        <v>558</v>
      </c>
      <c r="B559" s="34">
        <v>21</v>
      </c>
      <c r="C559" s="34">
        <v>5003</v>
      </c>
      <c r="D559" s="34">
        <v>29</v>
      </c>
      <c r="E559" s="34" t="s">
        <v>6</v>
      </c>
      <c r="F559" s="34" t="s">
        <v>4</v>
      </c>
      <c r="G559" s="39" t="s">
        <v>7</v>
      </c>
    </row>
    <row r="560" spans="1:7" x14ac:dyDescent="0.3">
      <c r="A560" s="34">
        <v>559</v>
      </c>
      <c r="B560" s="34">
        <v>24</v>
      </c>
      <c r="C560" s="34">
        <v>3552</v>
      </c>
      <c r="D560" s="34">
        <v>27</v>
      </c>
      <c r="E560" s="34" t="s">
        <v>3</v>
      </c>
      <c r="F560" s="34" t="s">
        <v>4</v>
      </c>
      <c r="G560" s="39" t="s">
        <v>7</v>
      </c>
    </row>
    <row r="561" spans="1:7" x14ac:dyDescent="0.3">
      <c r="A561" s="34">
        <v>560</v>
      </c>
      <c r="B561" s="34">
        <v>18</v>
      </c>
      <c r="C561" s="34">
        <v>1928</v>
      </c>
      <c r="D561" s="34">
        <v>31</v>
      </c>
      <c r="E561" s="34" t="s">
        <v>3</v>
      </c>
      <c r="F561" s="34" t="s">
        <v>4</v>
      </c>
      <c r="G561" s="39" t="s">
        <v>7</v>
      </c>
    </row>
    <row r="562" spans="1:7" x14ac:dyDescent="0.3">
      <c r="A562" s="34">
        <v>561</v>
      </c>
      <c r="B562" s="34">
        <v>24</v>
      </c>
      <c r="C562" s="34">
        <v>2964</v>
      </c>
      <c r="D562" s="34">
        <v>49</v>
      </c>
      <c r="E562" s="34" t="s">
        <v>3</v>
      </c>
      <c r="F562" s="34" t="s">
        <v>8</v>
      </c>
      <c r="G562" s="39" t="s">
        <v>5</v>
      </c>
    </row>
    <row r="563" spans="1:7" x14ac:dyDescent="0.3">
      <c r="A563" s="34">
        <v>562</v>
      </c>
      <c r="B563" s="34">
        <v>24</v>
      </c>
      <c r="C563" s="34">
        <v>1546</v>
      </c>
      <c r="D563" s="34">
        <v>24</v>
      </c>
      <c r="E563" s="34" t="s">
        <v>3</v>
      </c>
      <c r="F563" s="34" t="s">
        <v>9</v>
      </c>
      <c r="G563" s="39" t="s">
        <v>7</v>
      </c>
    </row>
    <row r="564" spans="1:7" x14ac:dyDescent="0.3">
      <c r="A564" s="34">
        <v>563</v>
      </c>
      <c r="B564" s="34">
        <v>6</v>
      </c>
      <c r="C564" s="34">
        <v>683</v>
      </c>
      <c r="D564" s="34">
        <v>29</v>
      </c>
      <c r="E564" s="34" t="s">
        <v>6</v>
      </c>
      <c r="F564" s="34" t="s">
        <v>4</v>
      </c>
      <c r="G564" s="39" t="s">
        <v>5</v>
      </c>
    </row>
    <row r="565" spans="1:7" x14ac:dyDescent="0.3">
      <c r="A565" s="34">
        <v>564</v>
      </c>
      <c r="B565" s="34">
        <v>36</v>
      </c>
      <c r="C565" s="34">
        <v>12389</v>
      </c>
      <c r="D565" s="34">
        <v>37</v>
      </c>
      <c r="E565" s="34" t="s">
        <v>3</v>
      </c>
      <c r="F565" s="34" t="s">
        <v>8</v>
      </c>
      <c r="G565" s="39" t="s">
        <v>7</v>
      </c>
    </row>
    <row r="566" spans="1:7" x14ac:dyDescent="0.3">
      <c r="A566" s="34">
        <v>565</v>
      </c>
      <c r="B566" s="34">
        <v>24</v>
      </c>
      <c r="C566" s="34">
        <v>4712</v>
      </c>
      <c r="D566" s="34">
        <v>37</v>
      </c>
      <c r="E566" s="34" t="s">
        <v>3</v>
      </c>
      <c r="F566" s="34" t="s">
        <v>4</v>
      </c>
      <c r="G566" s="39" t="s">
        <v>5</v>
      </c>
    </row>
    <row r="567" spans="1:7" x14ac:dyDescent="0.3">
      <c r="A567" s="34">
        <v>566</v>
      </c>
      <c r="B567" s="34">
        <v>24</v>
      </c>
      <c r="C567" s="34">
        <v>1553</v>
      </c>
      <c r="D567" s="34">
        <v>23</v>
      </c>
      <c r="E567" s="34" t="s">
        <v>6</v>
      </c>
      <c r="F567" s="34" t="s">
        <v>9</v>
      </c>
      <c r="G567" s="39" t="s">
        <v>5</v>
      </c>
    </row>
    <row r="568" spans="1:7" x14ac:dyDescent="0.3">
      <c r="A568" s="34">
        <v>567</v>
      </c>
      <c r="B568" s="34">
        <v>12</v>
      </c>
      <c r="C568" s="34">
        <v>1372</v>
      </c>
      <c r="D568" s="34">
        <v>36</v>
      </c>
      <c r="E568" s="34" t="s">
        <v>10</v>
      </c>
      <c r="F568" s="34" t="s">
        <v>4</v>
      </c>
      <c r="G568" s="39" t="s">
        <v>7</v>
      </c>
    </row>
    <row r="569" spans="1:7" x14ac:dyDescent="0.3">
      <c r="A569" s="34">
        <v>568</v>
      </c>
      <c r="B569" s="34">
        <v>24</v>
      </c>
      <c r="C569" s="34">
        <v>2578</v>
      </c>
      <c r="D569" s="34">
        <v>34</v>
      </c>
      <c r="E569" s="34" t="s">
        <v>3</v>
      </c>
      <c r="F569" s="34" t="s">
        <v>4</v>
      </c>
      <c r="G569" s="39" t="s">
        <v>5</v>
      </c>
    </row>
    <row r="570" spans="1:7" x14ac:dyDescent="0.3">
      <c r="A570" s="34">
        <v>569</v>
      </c>
      <c r="B570" s="34">
        <v>48</v>
      </c>
      <c r="C570" s="34">
        <v>3979</v>
      </c>
      <c r="D570" s="34">
        <v>41</v>
      </c>
      <c r="E570" s="34" t="s">
        <v>3</v>
      </c>
      <c r="F570" s="34" t="s">
        <v>4</v>
      </c>
      <c r="G570" s="39" t="s">
        <v>5</v>
      </c>
    </row>
    <row r="571" spans="1:7" x14ac:dyDescent="0.3">
      <c r="A571" s="34">
        <v>570</v>
      </c>
      <c r="B571" s="34">
        <v>48</v>
      </c>
      <c r="C571" s="34">
        <v>6758</v>
      </c>
      <c r="D571" s="34">
        <v>31</v>
      </c>
      <c r="E571" s="34" t="s">
        <v>6</v>
      </c>
      <c r="F571" s="34" t="s">
        <v>4</v>
      </c>
      <c r="G571" s="39" t="s">
        <v>7</v>
      </c>
    </row>
    <row r="572" spans="1:7" x14ac:dyDescent="0.3">
      <c r="A572" s="34">
        <v>571</v>
      </c>
      <c r="B572" s="34">
        <v>24</v>
      </c>
      <c r="C572" s="34">
        <v>3234</v>
      </c>
      <c r="D572" s="34">
        <v>23</v>
      </c>
      <c r="E572" s="34" t="s">
        <v>6</v>
      </c>
      <c r="F572" s="34" t="s">
        <v>9</v>
      </c>
      <c r="G572" s="39" t="s">
        <v>7</v>
      </c>
    </row>
    <row r="573" spans="1:7" x14ac:dyDescent="0.3">
      <c r="A573" s="34">
        <v>572</v>
      </c>
      <c r="B573" s="34">
        <v>30</v>
      </c>
      <c r="C573" s="34">
        <v>5954</v>
      </c>
      <c r="D573" s="34">
        <v>38</v>
      </c>
      <c r="E573" s="34" t="s">
        <v>3</v>
      </c>
      <c r="F573" s="34" t="s">
        <v>4</v>
      </c>
      <c r="G573" s="39" t="s">
        <v>5</v>
      </c>
    </row>
    <row r="574" spans="1:7" x14ac:dyDescent="0.3">
      <c r="A574" s="34">
        <v>573</v>
      </c>
      <c r="B574" s="34">
        <v>24</v>
      </c>
      <c r="C574" s="34">
        <v>5433</v>
      </c>
      <c r="D574" s="34">
        <v>26</v>
      </c>
      <c r="E574" s="34" t="s">
        <v>6</v>
      </c>
      <c r="F574" s="34" t="s">
        <v>9</v>
      </c>
      <c r="G574" s="39" t="s">
        <v>5</v>
      </c>
    </row>
    <row r="575" spans="1:7" x14ac:dyDescent="0.3">
      <c r="A575" s="34">
        <v>574</v>
      </c>
      <c r="B575" s="34">
        <v>15</v>
      </c>
      <c r="C575" s="34">
        <v>806</v>
      </c>
      <c r="D575" s="34">
        <v>22</v>
      </c>
      <c r="E575" s="34" t="s">
        <v>6</v>
      </c>
      <c r="F575" s="34" t="s">
        <v>4</v>
      </c>
      <c r="G575" s="39" t="s">
        <v>5</v>
      </c>
    </row>
    <row r="576" spans="1:7" x14ac:dyDescent="0.3">
      <c r="A576" s="34">
        <v>575</v>
      </c>
      <c r="B576" s="34">
        <v>9</v>
      </c>
      <c r="C576" s="34">
        <v>1082</v>
      </c>
      <c r="D576" s="34">
        <v>27</v>
      </c>
      <c r="E576" s="34" t="s">
        <v>3</v>
      </c>
      <c r="F576" s="34" t="s">
        <v>4</v>
      </c>
      <c r="G576" s="39" t="s">
        <v>5</v>
      </c>
    </row>
    <row r="577" spans="1:7" x14ac:dyDescent="0.3">
      <c r="A577" s="34">
        <v>576</v>
      </c>
      <c r="B577" s="34">
        <v>15</v>
      </c>
      <c r="C577" s="34">
        <v>2788</v>
      </c>
      <c r="D577" s="34">
        <v>24</v>
      </c>
      <c r="E577" s="34" t="s">
        <v>6</v>
      </c>
      <c r="F577" s="34" t="s">
        <v>4</v>
      </c>
      <c r="G577" s="39" t="s">
        <v>5</v>
      </c>
    </row>
    <row r="578" spans="1:7" x14ac:dyDescent="0.3">
      <c r="A578" s="34">
        <v>577</v>
      </c>
      <c r="B578" s="34">
        <v>12</v>
      </c>
      <c r="C578" s="34">
        <v>2930</v>
      </c>
      <c r="D578" s="34">
        <v>27</v>
      </c>
      <c r="E578" s="34" t="s">
        <v>6</v>
      </c>
      <c r="F578" s="34" t="s">
        <v>4</v>
      </c>
      <c r="G578" s="39" t="s">
        <v>5</v>
      </c>
    </row>
    <row r="579" spans="1:7" x14ac:dyDescent="0.3">
      <c r="A579" s="34">
        <v>578</v>
      </c>
      <c r="B579" s="34">
        <v>24</v>
      </c>
      <c r="C579" s="34">
        <v>1927</v>
      </c>
      <c r="D579" s="34">
        <v>33</v>
      </c>
      <c r="E579" s="34" t="s">
        <v>6</v>
      </c>
      <c r="F579" s="34" t="s">
        <v>4</v>
      </c>
      <c r="G579" s="39" t="s">
        <v>5</v>
      </c>
    </row>
    <row r="580" spans="1:7" x14ac:dyDescent="0.3">
      <c r="A580" s="34">
        <v>579</v>
      </c>
      <c r="B580" s="34">
        <v>36</v>
      </c>
      <c r="C580" s="34">
        <v>2820</v>
      </c>
      <c r="D580" s="34">
        <v>27</v>
      </c>
      <c r="E580" s="34" t="s">
        <v>10</v>
      </c>
      <c r="F580" s="34" t="s">
        <v>4</v>
      </c>
      <c r="G580" s="39" t="s">
        <v>7</v>
      </c>
    </row>
    <row r="581" spans="1:7" x14ac:dyDescent="0.3">
      <c r="A581" s="34">
        <v>580</v>
      </c>
      <c r="B581" s="34">
        <v>24</v>
      </c>
      <c r="C581" s="34">
        <v>937</v>
      </c>
      <c r="D581" s="34">
        <v>27</v>
      </c>
      <c r="E581" s="34" t="s">
        <v>11</v>
      </c>
      <c r="F581" s="34" t="s">
        <v>4</v>
      </c>
      <c r="G581" s="39" t="s">
        <v>5</v>
      </c>
    </row>
    <row r="582" spans="1:7" x14ac:dyDescent="0.3">
      <c r="A582" s="34">
        <v>581</v>
      </c>
      <c r="B582" s="34">
        <v>18</v>
      </c>
      <c r="C582" s="34">
        <v>1056</v>
      </c>
      <c r="D582" s="34">
        <v>30</v>
      </c>
      <c r="E582" s="34" t="s">
        <v>3</v>
      </c>
      <c r="F582" s="34" t="s">
        <v>4</v>
      </c>
      <c r="G582" s="39" t="s">
        <v>7</v>
      </c>
    </row>
    <row r="583" spans="1:7" x14ac:dyDescent="0.3">
      <c r="A583" s="34">
        <v>582</v>
      </c>
      <c r="B583" s="34">
        <v>12</v>
      </c>
      <c r="C583" s="34">
        <v>3124</v>
      </c>
      <c r="D583" s="34">
        <v>49</v>
      </c>
      <c r="E583" s="34" t="s">
        <v>3</v>
      </c>
      <c r="F583" s="34" t="s">
        <v>4</v>
      </c>
      <c r="G583" s="39" t="s">
        <v>5</v>
      </c>
    </row>
    <row r="584" spans="1:7" x14ac:dyDescent="0.3">
      <c r="A584" s="34">
        <v>583</v>
      </c>
      <c r="B584" s="34">
        <v>9</v>
      </c>
      <c r="C584" s="34">
        <v>1388</v>
      </c>
      <c r="D584" s="34">
        <v>26</v>
      </c>
      <c r="E584" s="34" t="s">
        <v>6</v>
      </c>
      <c r="F584" s="34" t="s">
        <v>9</v>
      </c>
      <c r="G584" s="39" t="s">
        <v>5</v>
      </c>
    </row>
    <row r="585" spans="1:7" x14ac:dyDescent="0.3">
      <c r="A585" s="34">
        <v>584</v>
      </c>
      <c r="B585" s="34">
        <v>36</v>
      </c>
      <c r="C585" s="34">
        <v>2384</v>
      </c>
      <c r="D585" s="34">
        <v>33</v>
      </c>
      <c r="E585" s="34" t="s">
        <v>3</v>
      </c>
      <c r="F585" s="34" t="s">
        <v>9</v>
      </c>
      <c r="G585" s="39" t="s">
        <v>7</v>
      </c>
    </row>
    <row r="586" spans="1:7" x14ac:dyDescent="0.3">
      <c r="A586" s="34">
        <v>585</v>
      </c>
      <c r="B586" s="34">
        <v>12</v>
      </c>
      <c r="C586" s="34">
        <v>2133</v>
      </c>
      <c r="D586" s="34">
        <v>52</v>
      </c>
      <c r="E586" s="34" t="s">
        <v>6</v>
      </c>
      <c r="F586" s="34" t="s">
        <v>8</v>
      </c>
      <c r="G586" s="39" t="s">
        <v>5</v>
      </c>
    </row>
    <row r="587" spans="1:7" x14ac:dyDescent="0.3">
      <c r="A587" s="34">
        <v>586</v>
      </c>
      <c r="B587" s="34">
        <v>18</v>
      </c>
      <c r="C587" s="34">
        <v>2039</v>
      </c>
      <c r="D587" s="34">
        <v>20</v>
      </c>
      <c r="E587" s="34" t="s">
        <v>6</v>
      </c>
      <c r="F587" s="34" t="s">
        <v>9</v>
      </c>
      <c r="G587" s="39" t="s">
        <v>7</v>
      </c>
    </row>
    <row r="588" spans="1:7" x14ac:dyDescent="0.3">
      <c r="A588" s="34">
        <v>587</v>
      </c>
      <c r="B588" s="34">
        <v>9</v>
      </c>
      <c r="C588" s="34">
        <v>2799</v>
      </c>
      <c r="D588" s="34">
        <v>36</v>
      </c>
      <c r="E588" s="34" t="s">
        <v>3</v>
      </c>
      <c r="F588" s="34" t="s">
        <v>9</v>
      </c>
      <c r="G588" s="39" t="s">
        <v>5</v>
      </c>
    </row>
    <row r="589" spans="1:7" x14ac:dyDescent="0.3">
      <c r="A589" s="34">
        <v>588</v>
      </c>
      <c r="B589" s="34">
        <v>12</v>
      </c>
      <c r="C589" s="34">
        <v>1289</v>
      </c>
      <c r="D589" s="34">
        <v>21</v>
      </c>
      <c r="E589" s="34" t="s">
        <v>3</v>
      </c>
      <c r="F589" s="34" t="s">
        <v>4</v>
      </c>
      <c r="G589" s="39" t="s">
        <v>5</v>
      </c>
    </row>
    <row r="590" spans="1:7" x14ac:dyDescent="0.3">
      <c r="A590" s="34">
        <v>589</v>
      </c>
      <c r="B590" s="34">
        <v>18</v>
      </c>
      <c r="C590" s="34">
        <v>1217</v>
      </c>
      <c r="D590" s="34">
        <v>47</v>
      </c>
      <c r="E590" s="34" t="s">
        <v>11</v>
      </c>
      <c r="F590" s="34" t="s">
        <v>4</v>
      </c>
      <c r="G590" s="39" t="s">
        <v>7</v>
      </c>
    </row>
    <row r="591" spans="1:7" x14ac:dyDescent="0.3">
      <c r="A591" s="34">
        <v>590</v>
      </c>
      <c r="B591" s="34">
        <v>12</v>
      </c>
      <c r="C591" s="34">
        <v>2246</v>
      </c>
      <c r="D591" s="34">
        <v>60</v>
      </c>
      <c r="E591" s="34" t="s">
        <v>3</v>
      </c>
      <c r="F591" s="34" t="s">
        <v>4</v>
      </c>
      <c r="G591" s="39" t="s">
        <v>7</v>
      </c>
    </row>
    <row r="592" spans="1:7" x14ac:dyDescent="0.3">
      <c r="A592" s="34">
        <v>591</v>
      </c>
      <c r="B592" s="34">
        <v>12</v>
      </c>
      <c r="C592" s="34">
        <v>385</v>
      </c>
      <c r="D592" s="34">
        <v>58</v>
      </c>
      <c r="E592" s="34" t="s">
        <v>6</v>
      </c>
      <c r="F592" s="34" t="s">
        <v>4</v>
      </c>
      <c r="G592" s="39" t="s">
        <v>5</v>
      </c>
    </row>
    <row r="593" spans="1:7" x14ac:dyDescent="0.3">
      <c r="A593" s="34">
        <v>592</v>
      </c>
      <c r="B593" s="34">
        <v>24</v>
      </c>
      <c r="C593" s="34">
        <v>1965</v>
      </c>
      <c r="D593" s="34">
        <v>42</v>
      </c>
      <c r="E593" s="34" t="s">
        <v>6</v>
      </c>
      <c r="F593" s="34" t="s">
        <v>9</v>
      </c>
      <c r="G593" s="39" t="s">
        <v>5</v>
      </c>
    </row>
    <row r="594" spans="1:7" x14ac:dyDescent="0.3">
      <c r="A594" s="34">
        <v>593</v>
      </c>
      <c r="B594" s="34">
        <v>21</v>
      </c>
      <c r="C594" s="34">
        <v>1572</v>
      </c>
      <c r="D594" s="34">
        <v>36</v>
      </c>
      <c r="E594" s="34" t="s">
        <v>6</v>
      </c>
      <c r="F594" s="34" t="s">
        <v>4</v>
      </c>
      <c r="G594" s="39" t="s">
        <v>5</v>
      </c>
    </row>
    <row r="595" spans="1:7" x14ac:dyDescent="0.3">
      <c r="A595" s="34">
        <v>594</v>
      </c>
      <c r="B595" s="34">
        <v>24</v>
      </c>
      <c r="C595" s="34">
        <v>2718</v>
      </c>
      <c r="D595" s="34">
        <v>20</v>
      </c>
      <c r="E595" s="34" t="s">
        <v>6</v>
      </c>
      <c r="F595" s="34" t="s">
        <v>9</v>
      </c>
      <c r="G595" s="39" t="s">
        <v>7</v>
      </c>
    </row>
    <row r="596" spans="1:7" x14ac:dyDescent="0.3">
      <c r="A596" s="34">
        <v>595</v>
      </c>
      <c r="B596" s="34">
        <v>24</v>
      </c>
      <c r="C596" s="34">
        <v>1358</v>
      </c>
      <c r="D596" s="34">
        <v>40</v>
      </c>
      <c r="E596" s="34" t="s">
        <v>3</v>
      </c>
      <c r="F596" s="34" t="s">
        <v>4</v>
      </c>
      <c r="G596" s="39" t="s">
        <v>7</v>
      </c>
    </row>
    <row r="597" spans="1:7" x14ac:dyDescent="0.3">
      <c r="A597" s="34">
        <v>596</v>
      </c>
      <c r="B597" s="34">
        <v>6</v>
      </c>
      <c r="C597" s="34">
        <v>931</v>
      </c>
      <c r="D597" s="34">
        <v>32</v>
      </c>
      <c r="E597" s="34" t="s">
        <v>6</v>
      </c>
      <c r="F597" s="34" t="s">
        <v>4</v>
      </c>
      <c r="G597" s="39" t="s">
        <v>7</v>
      </c>
    </row>
    <row r="598" spans="1:7" x14ac:dyDescent="0.3">
      <c r="A598" s="34">
        <v>597</v>
      </c>
      <c r="B598" s="34">
        <v>24</v>
      </c>
      <c r="C598" s="34">
        <v>1442</v>
      </c>
      <c r="D598" s="34">
        <v>23</v>
      </c>
      <c r="E598" s="34" t="s">
        <v>6</v>
      </c>
      <c r="F598" s="34" t="s">
        <v>9</v>
      </c>
      <c r="G598" s="39" t="s">
        <v>7</v>
      </c>
    </row>
    <row r="599" spans="1:7" x14ac:dyDescent="0.3">
      <c r="A599" s="34">
        <v>598</v>
      </c>
      <c r="B599" s="34">
        <v>24</v>
      </c>
      <c r="C599" s="34">
        <v>4241</v>
      </c>
      <c r="D599" s="34">
        <v>36</v>
      </c>
      <c r="E599" s="34" t="s">
        <v>3</v>
      </c>
      <c r="F599" s="34" t="s">
        <v>4</v>
      </c>
      <c r="G599" s="39" t="s">
        <v>7</v>
      </c>
    </row>
    <row r="600" spans="1:7" x14ac:dyDescent="0.3">
      <c r="A600" s="34">
        <v>599</v>
      </c>
      <c r="B600" s="34">
        <v>18</v>
      </c>
      <c r="C600" s="34">
        <v>2775</v>
      </c>
      <c r="D600" s="34">
        <v>31</v>
      </c>
      <c r="E600" s="34" t="s">
        <v>3</v>
      </c>
      <c r="F600" s="34" t="s">
        <v>4</v>
      </c>
      <c r="G600" s="39" t="s">
        <v>7</v>
      </c>
    </row>
    <row r="601" spans="1:7" x14ac:dyDescent="0.3">
      <c r="A601" s="34">
        <v>600</v>
      </c>
      <c r="B601" s="34">
        <v>24</v>
      </c>
      <c r="C601" s="34">
        <v>3863</v>
      </c>
      <c r="D601" s="34">
        <v>32</v>
      </c>
      <c r="E601" s="34" t="s">
        <v>3</v>
      </c>
      <c r="F601" s="34" t="s">
        <v>8</v>
      </c>
      <c r="G601" s="39" t="s">
        <v>5</v>
      </c>
    </row>
    <row r="602" spans="1:7" x14ac:dyDescent="0.3">
      <c r="A602" s="34">
        <v>601</v>
      </c>
      <c r="B602" s="34">
        <v>7</v>
      </c>
      <c r="C602" s="34">
        <v>2329</v>
      </c>
      <c r="D602" s="34">
        <v>45</v>
      </c>
      <c r="E602" s="34" t="s">
        <v>6</v>
      </c>
      <c r="F602" s="34" t="s">
        <v>4</v>
      </c>
      <c r="G602" s="39" t="s">
        <v>5</v>
      </c>
    </row>
    <row r="603" spans="1:7" x14ac:dyDescent="0.3">
      <c r="A603" s="34">
        <v>602</v>
      </c>
      <c r="B603" s="34">
        <v>9</v>
      </c>
      <c r="C603" s="34">
        <v>918</v>
      </c>
      <c r="D603" s="34">
        <v>30</v>
      </c>
      <c r="E603" s="34" t="s">
        <v>6</v>
      </c>
      <c r="F603" s="34" t="s">
        <v>4</v>
      </c>
      <c r="G603" s="39" t="s">
        <v>7</v>
      </c>
    </row>
    <row r="604" spans="1:7" x14ac:dyDescent="0.3">
      <c r="A604" s="34">
        <v>603</v>
      </c>
      <c r="B604" s="34">
        <v>24</v>
      </c>
      <c r="C604" s="34">
        <v>1837</v>
      </c>
      <c r="D604" s="34">
        <v>34</v>
      </c>
      <c r="E604" s="34" t="s">
        <v>6</v>
      </c>
      <c r="F604" s="34" t="s">
        <v>8</v>
      </c>
      <c r="G604" s="39" t="s">
        <v>7</v>
      </c>
    </row>
    <row r="605" spans="1:7" x14ac:dyDescent="0.3">
      <c r="A605" s="34">
        <v>604</v>
      </c>
      <c r="B605" s="34">
        <v>36</v>
      </c>
      <c r="C605" s="34">
        <v>3349</v>
      </c>
      <c r="D605" s="34">
        <v>28</v>
      </c>
      <c r="E605" s="34" t="s">
        <v>6</v>
      </c>
      <c r="F605" s="34" t="s">
        <v>4</v>
      </c>
      <c r="G605" s="39" t="s">
        <v>7</v>
      </c>
    </row>
    <row r="606" spans="1:7" x14ac:dyDescent="0.3">
      <c r="A606" s="34">
        <v>605</v>
      </c>
      <c r="B606" s="34">
        <v>10</v>
      </c>
      <c r="C606" s="34">
        <v>1275</v>
      </c>
      <c r="D606" s="34">
        <v>23</v>
      </c>
      <c r="E606" s="34" t="s">
        <v>6</v>
      </c>
      <c r="F606" s="34" t="s">
        <v>4</v>
      </c>
      <c r="G606" s="39" t="s">
        <v>5</v>
      </c>
    </row>
    <row r="607" spans="1:7" x14ac:dyDescent="0.3">
      <c r="A607" s="34">
        <v>606</v>
      </c>
      <c r="B607" s="34">
        <v>24</v>
      </c>
      <c r="C607" s="34">
        <v>2828</v>
      </c>
      <c r="D607" s="34">
        <v>22</v>
      </c>
      <c r="E607" s="34" t="s">
        <v>3</v>
      </c>
      <c r="F607" s="34" t="s">
        <v>4</v>
      </c>
      <c r="G607" s="39" t="s">
        <v>5</v>
      </c>
    </row>
    <row r="608" spans="1:7" x14ac:dyDescent="0.3">
      <c r="A608" s="34">
        <v>607</v>
      </c>
      <c r="B608" s="34">
        <v>24</v>
      </c>
      <c r="C608" s="34">
        <v>4526</v>
      </c>
      <c r="D608" s="34">
        <v>74</v>
      </c>
      <c r="E608" s="34" t="s">
        <v>3</v>
      </c>
      <c r="F608" s="34" t="s">
        <v>4</v>
      </c>
      <c r="G608" s="39" t="s">
        <v>5</v>
      </c>
    </row>
    <row r="609" spans="1:7" x14ac:dyDescent="0.3">
      <c r="A609" s="34">
        <v>608</v>
      </c>
      <c r="B609" s="34">
        <v>36</v>
      </c>
      <c r="C609" s="34">
        <v>2671</v>
      </c>
      <c r="D609" s="34">
        <v>50</v>
      </c>
      <c r="E609" s="34" t="s">
        <v>6</v>
      </c>
      <c r="F609" s="34" t="s">
        <v>8</v>
      </c>
      <c r="G609" s="39" t="s">
        <v>7</v>
      </c>
    </row>
    <row r="610" spans="1:7" x14ac:dyDescent="0.3">
      <c r="A610" s="34">
        <v>609</v>
      </c>
      <c r="B610" s="34">
        <v>18</v>
      </c>
      <c r="C610" s="34">
        <v>2051</v>
      </c>
      <c r="D610" s="34">
        <v>33</v>
      </c>
      <c r="E610" s="34" t="s">
        <v>3</v>
      </c>
      <c r="F610" s="34" t="s">
        <v>4</v>
      </c>
      <c r="G610" s="39" t="s">
        <v>5</v>
      </c>
    </row>
    <row r="611" spans="1:7" x14ac:dyDescent="0.3">
      <c r="A611" s="34">
        <v>610</v>
      </c>
      <c r="B611" s="34">
        <v>15</v>
      </c>
      <c r="C611" s="34">
        <v>1300</v>
      </c>
      <c r="D611" s="34">
        <v>45</v>
      </c>
      <c r="E611" s="34" t="s">
        <v>3</v>
      </c>
      <c r="F611" s="34" t="s">
        <v>8</v>
      </c>
      <c r="G611" s="39" t="s">
        <v>5</v>
      </c>
    </row>
    <row r="612" spans="1:7" x14ac:dyDescent="0.3">
      <c r="A612" s="34">
        <v>611</v>
      </c>
      <c r="B612" s="34">
        <v>12</v>
      </c>
      <c r="C612" s="34">
        <v>741</v>
      </c>
      <c r="D612" s="34">
        <v>22</v>
      </c>
      <c r="E612" s="34" t="s">
        <v>6</v>
      </c>
      <c r="F612" s="34" t="s">
        <v>4</v>
      </c>
      <c r="G612" s="39" t="s">
        <v>7</v>
      </c>
    </row>
    <row r="613" spans="1:7" x14ac:dyDescent="0.3">
      <c r="A613" s="34">
        <v>612</v>
      </c>
      <c r="B613" s="34">
        <v>10</v>
      </c>
      <c r="C613" s="34">
        <v>1240</v>
      </c>
      <c r="D613" s="34">
        <v>48</v>
      </c>
      <c r="E613" s="34" t="s">
        <v>6</v>
      </c>
      <c r="F613" s="34" t="s">
        <v>8</v>
      </c>
      <c r="G613" s="39" t="s">
        <v>7</v>
      </c>
    </row>
    <row r="614" spans="1:7" x14ac:dyDescent="0.3">
      <c r="A614" s="34">
        <v>613</v>
      </c>
      <c r="B614" s="34">
        <v>21</v>
      </c>
      <c r="C614" s="34">
        <v>3357</v>
      </c>
      <c r="D614" s="34">
        <v>29</v>
      </c>
      <c r="E614" s="34" t="s">
        <v>6</v>
      </c>
      <c r="F614" s="34" t="s">
        <v>4</v>
      </c>
      <c r="G614" s="39" t="s">
        <v>5</v>
      </c>
    </row>
    <row r="615" spans="1:7" x14ac:dyDescent="0.3">
      <c r="A615" s="34">
        <v>614</v>
      </c>
      <c r="B615" s="34">
        <v>24</v>
      </c>
      <c r="C615" s="34">
        <v>3632</v>
      </c>
      <c r="D615" s="34">
        <v>22</v>
      </c>
      <c r="E615" s="34" t="s">
        <v>6</v>
      </c>
      <c r="F615" s="34" t="s">
        <v>9</v>
      </c>
      <c r="G615" s="39" t="s">
        <v>5</v>
      </c>
    </row>
    <row r="616" spans="1:7" x14ac:dyDescent="0.3">
      <c r="A616" s="34">
        <v>615</v>
      </c>
      <c r="B616" s="34">
        <v>18</v>
      </c>
      <c r="C616" s="34">
        <v>1808</v>
      </c>
      <c r="D616" s="34">
        <v>22</v>
      </c>
      <c r="E616" s="34" t="s">
        <v>6</v>
      </c>
      <c r="F616" s="34" t="s">
        <v>4</v>
      </c>
      <c r="G616" s="39" t="s">
        <v>7</v>
      </c>
    </row>
    <row r="617" spans="1:7" x14ac:dyDescent="0.3">
      <c r="A617" s="34">
        <v>616</v>
      </c>
      <c r="B617" s="34">
        <v>48</v>
      </c>
      <c r="C617" s="34">
        <v>12204</v>
      </c>
      <c r="D617" s="34">
        <v>48</v>
      </c>
      <c r="E617" s="34" t="s">
        <v>3</v>
      </c>
      <c r="F617" s="34" t="s">
        <v>4</v>
      </c>
      <c r="G617" s="39" t="s">
        <v>5</v>
      </c>
    </row>
    <row r="618" spans="1:7" x14ac:dyDescent="0.3">
      <c r="A618" s="34">
        <v>617</v>
      </c>
      <c r="B618" s="34">
        <v>60</v>
      </c>
      <c r="C618" s="34">
        <v>9157</v>
      </c>
      <c r="D618" s="34">
        <v>27</v>
      </c>
      <c r="E618" s="34" t="s">
        <v>3</v>
      </c>
      <c r="F618" s="34" t="s">
        <v>8</v>
      </c>
      <c r="G618" s="39" t="s">
        <v>5</v>
      </c>
    </row>
    <row r="619" spans="1:7" x14ac:dyDescent="0.3">
      <c r="A619" s="34">
        <v>618</v>
      </c>
      <c r="B619" s="34">
        <v>6</v>
      </c>
      <c r="C619" s="34">
        <v>3676</v>
      </c>
      <c r="D619" s="34">
        <v>37</v>
      </c>
      <c r="E619" s="34" t="s">
        <v>3</v>
      </c>
      <c r="F619" s="34" t="s">
        <v>9</v>
      </c>
      <c r="G619" s="39" t="s">
        <v>5</v>
      </c>
    </row>
    <row r="620" spans="1:7" x14ac:dyDescent="0.3">
      <c r="A620" s="34">
        <v>619</v>
      </c>
      <c r="B620" s="34">
        <v>30</v>
      </c>
      <c r="C620" s="34">
        <v>3441</v>
      </c>
      <c r="D620" s="34">
        <v>21</v>
      </c>
      <c r="E620" s="34" t="s">
        <v>6</v>
      </c>
      <c r="F620" s="34" t="s">
        <v>9</v>
      </c>
      <c r="G620" s="39" t="s">
        <v>7</v>
      </c>
    </row>
    <row r="621" spans="1:7" x14ac:dyDescent="0.3">
      <c r="A621" s="34">
        <v>620</v>
      </c>
      <c r="B621" s="34">
        <v>12</v>
      </c>
      <c r="C621" s="34">
        <v>640</v>
      </c>
      <c r="D621" s="34">
        <v>49</v>
      </c>
      <c r="E621" s="34" t="s">
        <v>10</v>
      </c>
      <c r="F621" s="34" t="s">
        <v>4</v>
      </c>
      <c r="G621" s="39" t="s">
        <v>5</v>
      </c>
    </row>
    <row r="622" spans="1:7" x14ac:dyDescent="0.3">
      <c r="A622" s="34">
        <v>621</v>
      </c>
      <c r="B622" s="34">
        <v>21</v>
      </c>
      <c r="C622" s="34">
        <v>3652</v>
      </c>
      <c r="D622" s="34">
        <v>27</v>
      </c>
      <c r="E622" s="34" t="s">
        <v>3</v>
      </c>
      <c r="F622" s="34" t="s">
        <v>4</v>
      </c>
      <c r="G622" s="39" t="s">
        <v>5</v>
      </c>
    </row>
    <row r="623" spans="1:7" x14ac:dyDescent="0.3">
      <c r="A623" s="34">
        <v>622</v>
      </c>
      <c r="B623" s="34">
        <v>18</v>
      </c>
      <c r="C623" s="34">
        <v>1530</v>
      </c>
      <c r="D623" s="34">
        <v>32</v>
      </c>
      <c r="E623" s="34" t="s">
        <v>3</v>
      </c>
      <c r="F623" s="34" t="s">
        <v>4</v>
      </c>
      <c r="G623" s="39" t="s">
        <v>7</v>
      </c>
    </row>
    <row r="624" spans="1:7" x14ac:dyDescent="0.3">
      <c r="A624" s="34">
        <v>623</v>
      </c>
      <c r="B624" s="34">
        <v>48</v>
      </c>
      <c r="C624" s="34">
        <v>3914</v>
      </c>
      <c r="D624" s="34">
        <v>38</v>
      </c>
      <c r="E624" s="34" t="s">
        <v>10</v>
      </c>
      <c r="F624" s="34" t="s">
        <v>4</v>
      </c>
      <c r="G624" s="39" t="s">
        <v>7</v>
      </c>
    </row>
    <row r="625" spans="1:7" x14ac:dyDescent="0.3">
      <c r="A625" s="34">
        <v>624</v>
      </c>
      <c r="B625" s="34">
        <v>12</v>
      </c>
      <c r="C625" s="34">
        <v>1858</v>
      </c>
      <c r="D625" s="34">
        <v>22</v>
      </c>
      <c r="E625" s="34" t="s">
        <v>6</v>
      </c>
      <c r="F625" s="34" t="s">
        <v>9</v>
      </c>
      <c r="G625" s="39" t="s">
        <v>5</v>
      </c>
    </row>
    <row r="626" spans="1:7" x14ac:dyDescent="0.3">
      <c r="A626" s="34">
        <v>625</v>
      </c>
      <c r="B626" s="34">
        <v>18</v>
      </c>
      <c r="C626" s="34">
        <v>2600</v>
      </c>
      <c r="D626" s="34">
        <v>65</v>
      </c>
      <c r="E626" s="34" t="s">
        <v>3</v>
      </c>
      <c r="F626" s="34" t="s">
        <v>8</v>
      </c>
      <c r="G626" s="39" t="s">
        <v>7</v>
      </c>
    </row>
    <row r="627" spans="1:7" x14ac:dyDescent="0.3">
      <c r="A627" s="34">
        <v>626</v>
      </c>
      <c r="B627" s="34">
        <v>15</v>
      </c>
      <c r="C627" s="34">
        <v>1979</v>
      </c>
      <c r="D627" s="34">
        <v>35</v>
      </c>
      <c r="E627" s="34" t="s">
        <v>3</v>
      </c>
      <c r="F627" s="34" t="s">
        <v>4</v>
      </c>
      <c r="G627" s="39" t="s">
        <v>5</v>
      </c>
    </row>
    <row r="628" spans="1:7" x14ac:dyDescent="0.3">
      <c r="A628" s="34">
        <v>627</v>
      </c>
      <c r="B628" s="34">
        <v>6</v>
      </c>
      <c r="C628" s="34">
        <v>2116</v>
      </c>
      <c r="D628" s="34">
        <v>41</v>
      </c>
      <c r="E628" s="34" t="s">
        <v>3</v>
      </c>
      <c r="F628" s="34" t="s">
        <v>4</v>
      </c>
      <c r="G628" s="39" t="s">
        <v>5</v>
      </c>
    </row>
    <row r="629" spans="1:7" x14ac:dyDescent="0.3">
      <c r="A629" s="34">
        <v>628</v>
      </c>
      <c r="B629" s="34">
        <v>9</v>
      </c>
      <c r="C629" s="34">
        <v>1437</v>
      </c>
      <c r="D629" s="34">
        <v>29</v>
      </c>
      <c r="E629" s="34" t="s">
        <v>3</v>
      </c>
      <c r="F629" s="34" t="s">
        <v>4</v>
      </c>
      <c r="G629" s="39" t="s">
        <v>7</v>
      </c>
    </row>
    <row r="630" spans="1:7" x14ac:dyDescent="0.3">
      <c r="A630" s="34">
        <v>629</v>
      </c>
      <c r="B630" s="34">
        <v>42</v>
      </c>
      <c r="C630" s="34">
        <v>4042</v>
      </c>
      <c r="D630" s="34">
        <v>36</v>
      </c>
      <c r="E630" s="34" t="s">
        <v>3</v>
      </c>
      <c r="F630" s="34" t="s">
        <v>4</v>
      </c>
      <c r="G630" s="39" t="s">
        <v>5</v>
      </c>
    </row>
    <row r="631" spans="1:7" x14ac:dyDescent="0.3">
      <c r="A631" s="34">
        <v>630</v>
      </c>
      <c r="B631" s="34">
        <v>9</v>
      </c>
      <c r="C631" s="34">
        <v>3832</v>
      </c>
      <c r="D631" s="34">
        <v>64</v>
      </c>
      <c r="E631" s="34" t="s">
        <v>3</v>
      </c>
      <c r="F631" s="34" t="s">
        <v>4</v>
      </c>
      <c r="G631" s="39" t="s">
        <v>5</v>
      </c>
    </row>
    <row r="632" spans="1:7" x14ac:dyDescent="0.3">
      <c r="A632" s="34">
        <v>631</v>
      </c>
      <c r="B632" s="34">
        <v>24</v>
      </c>
      <c r="C632" s="34">
        <v>3660</v>
      </c>
      <c r="D632" s="34">
        <v>28</v>
      </c>
      <c r="E632" s="34" t="s">
        <v>6</v>
      </c>
      <c r="F632" s="34" t="s">
        <v>4</v>
      </c>
      <c r="G632" s="39" t="s">
        <v>5</v>
      </c>
    </row>
    <row r="633" spans="1:7" x14ac:dyDescent="0.3">
      <c r="A633" s="34">
        <v>632</v>
      </c>
      <c r="B633" s="34">
        <v>18</v>
      </c>
      <c r="C633" s="34">
        <v>1553</v>
      </c>
      <c r="D633" s="34">
        <v>44</v>
      </c>
      <c r="E633" s="34" t="s">
        <v>3</v>
      </c>
      <c r="F633" s="34" t="s">
        <v>4</v>
      </c>
      <c r="G633" s="39" t="s">
        <v>7</v>
      </c>
    </row>
    <row r="634" spans="1:7" x14ac:dyDescent="0.3">
      <c r="A634" s="34">
        <v>633</v>
      </c>
      <c r="B634" s="34">
        <v>15</v>
      </c>
      <c r="C634" s="34">
        <v>1444</v>
      </c>
      <c r="D634" s="34">
        <v>23</v>
      </c>
      <c r="E634" s="34" t="s">
        <v>3</v>
      </c>
      <c r="F634" s="34" t="s">
        <v>4</v>
      </c>
      <c r="G634" s="39" t="s">
        <v>5</v>
      </c>
    </row>
    <row r="635" spans="1:7" x14ac:dyDescent="0.3">
      <c r="A635" s="34">
        <v>634</v>
      </c>
      <c r="B635" s="34">
        <v>9</v>
      </c>
      <c r="C635" s="34">
        <v>1980</v>
      </c>
      <c r="D635" s="34">
        <v>19</v>
      </c>
      <c r="E635" s="34" t="s">
        <v>6</v>
      </c>
      <c r="F635" s="34" t="s">
        <v>9</v>
      </c>
      <c r="G635" s="39" t="s">
        <v>7</v>
      </c>
    </row>
    <row r="636" spans="1:7" x14ac:dyDescent="0.3">
      <c r="A636" s="34">
        <v>635</v>
      </c>
      <c r="B636" s="34">
        <v>24</v>
      </c>
      <c r="C636" s="34">
        <v>1355</v>
      </c>
      <c r="D636" s="34">
        <v>25</v>
      </c>
      <c r="E636" s="34" t="s">
        <v>6</v>
      </c>
      <c r="F636" s="34" t="s">
        <v>4</v>
      </c>
      <c r="G636" s="39" t="s">
        <v>7</v>
      </c>
    </row>
    <row r="637" spans="1:7" x14ac:dyDescent="0.3">
      <c r="A637" s="34">
        <v>636</v>
      </c>
      <c r="B637" s="34">
        <v>12</v>
      </c>
      <c r="C637" s="34">
        <v>1393</v>
      </c>
      <c r="D637" s="34">
        <v>47</v>
      </c>
      <c r="E637" s="34" t="s">
        <v>3</v>
      </c>
      <c r="F637" s="34" t="s">
        <v>4</v>
      </c>
      <c r="G637" s="39" t="s">
        <v>5</v>
      </c>
    </row>
    <row r="638" spans="1:7" x14ac:dyDescent="0.3">
      <c r="A638" s="34">
        <v>637</v>
      </c>
      <c r="B638" s="34">
        <v>24</v>
      </c>
      <c r="C638" s="34">
        <v>1376</v>
      </c>
      <c r="D638" s="34">
        <v>28</v>
      </c>
      <c r="E638" s="34" t="s">
        <v>6</v>
      </c>
      <c r="F638" s="34" t="s">
        <v>4</v>
      </c>
      <c r="G638" s="39" t="s">
        <v>5</v>
      </c>
    </row>
    <row r="639" spans="1:7" x14ac:dyDescent="0.3">
      <c r="A639" s="34">
        <v>638</v>
      </c>
      <c r="B639" s="34">
        <v>60</v>
      </c>
      <c r="C639" s="34">
        <v>15653</v>
      </c>
      <c r="D639" s="34">
        <v>21</v>
      </c>
      <c r="E639" s="34" t="s">
        <v>3</v>
      </c>
      <c r="F639" s="34" t="s">
        <v>4</v>
      </c>
      <c r="G639" s="39" t="s">
        <v>5</v>
      </c>
    </row>
    <row r="640" spans="1:7" x14ac:dyDescent="0.3">
      <c r="A640" s="34">
        <v>639</v>
      </c>
      <c r="B640" s="34">
        <v>12</v>
      </c>
      <c r="C640" s="34">
        <v>1493</v>
      </c>
      <c r="D640" s="34">
        <v>34</v>
      </c>
      <c r="E640" s="34" t="s">
        <v>6</v>
      </c>
      <c r="F640" s="34" t="s">
        <v>4</v>
      </c>
      <c r="G640" s="39" t="s">
        <v>5</v>
      </c>
    </row>
    <row r="641" spans="1:7" x14ac:dyDescent="0.3">
      <c r="A641" s="34">
        <v>640</v>
      </c>
      <c r="B641" s="34">
        <v>42</v>
      </c>
      <c r="C641" s="34">
        <v>4370</v>
      </c>
      <c r="D641" s="34">
        <v>26</v>
      </c>
      <c r="E641" s="34" t="s">
        <v>3</v>
      </c>
      <c r="F641" s="34" t="s">
        <v>4</v>
      </c>
      <c r="G641" s="39" t="s">
        <v>7</v>
      </c>
    </row>
    <row r="642" spans="1:7" x14ac:dyDescent="0.3">
      <c r="A642" s="34">
        <v>641</v>
      </c>
      <c r="B642" s="34">
        <v>18</v>
      </c>
      <c r="C642" s="34">
        <v>750</v>
      </c>
      <c r="D642" s="34">
        <v>27</v>
      </c>
      <c r="E642" s="34" t="s">
        <v>6</v>
      </c>
      <c r="F642" s="34" t="s">
        <v>4</v>
      </c>
      <c r="G642" s="39" t="s">
        <v>7</v>
      </c>
    </row>
    <row r="643" spans="1:7" x14ac:dyDescent="0.3">
      <c r="A643" s="34">
        <v>642</v>
      </c>
      <c r="B643" s="34">
        <v>15</v>
      </c>
      <c r="C643" s="34">
        <v>1308</v>
      </c>
      <c r="D643" s="34">
        <v>38</v>
      </c>
      <c r="E643" s="34" t="s">
        <v>3</v>
      </c>
      <c r="F643" s="34" t="s">
        <v>4</v>
      </c>
      <c r="G643" s="39" t="s">
        <v>5</v>
      </c>
    </row>
    <row r="644" spans="1:7" x14ac:dyDescent="0.3">
      <c r="A644" s="34">
        <v>643</v>
      </c>
      <c r="B644" s="34">
        <v>15</v>
      </c>
      <c r="C644" s="34">
        <v>4623</v>
      </c>
      <c r="D644" s="34">
        <v>40</v>
      </c>
      <c r="E644" s="34" t="s">
        <v>3</v>
      </c>
      <c r="F644" s="34" t="s">
        <v>4</v>
      </c>
      <c r="G644" s="39" t="s">
        <v>7</v>
      </c>
    </row>
    <row r="645" spans="1:7" x14ac:dyDescent="0.3">
      <c r="A645" s="34">
        <v>644</v>
      </c>
      <c r="B645" s="34">
        <v>24</v>
      </c>
      <c r="C645" s="34">
        <v>1851</v>
      </c>
      <c r="D645" s="34">
        <v>33</v>
      </c>
      <c r="E645" s="34" t="s">
        <v>11</v>
      </c>
      <c r="F645" s="34" t="s">
        <v>4</v>
      </c>
      <c r="G645" s="39" t="s">
        <v>5</v>
      </c>
    </row>
    <row r="646" spans="1:7" x14ac:dyDescent="0.3">
      <c r="A646" s="34">
        <v>645</v>
      </c>
      <c r="B646" s="34">
        <v>18</v>
      </c>
      <c r="C646" s="34">
        <v>1880</v>
      </c>
      <c r="D646" s="34">
        <v>32</v>
      </c>
      <c r="E646" s="34" t="s">
        <v>11</v>
      </c>
      <c r="F646" s="34" t="s">
        <v>4</v>
      </c>
      <c r="G646" s="39" t="s">
        <v>5</v>
      </c>
    </row>
    <row r="647" spans="1:7" x14ac:dyDescent="0.3">
      <c r="A647" s="34">
        <v>646</v>
      </c>
      <c r="B647" s="34">
        <v>36</v>
      </c>
      <c r="C647" s="34">
        <v>7980</v>
      </c>
      <c r="D647" s="34">
        <v>27</v>
      </c>
      <c r="E647" s="34" t="s">
        <v>3</v>
      </c>
      <c r="F647" s="34" t="s">
        <v>9</v>
      </c>
      <c r="G647" s="39" t="s">
        <v>7</v>
      </c>
    </row>
    <row r="648" spans="1:7" x14ac:dyDescent="0.3">
      <c r="A648" s="34">
        <v>647</v>
      </c>
      <c r="B648" s="34">
        <v>30</v>
      </c>
      <c r="C648" s="34">
        <v>4583</v>
      </c>
      <c r="D648" s="34">
        <v>32</v>
      </c>
      <c r="E648" s="34" t="s">
        <v>10</v>
      </c>
      <c r="F648" s="34" t="s">
        <v>4</v>
      </c>
      <c r="G648" s="39" t="s">
        <v>5</v>
      </c>
    </row>
    <row r="649" spans="1:7" x14ac:dyDescent="0.3">
      <c r="A649" s="34">
        <v>648</v>
      </c>
      <c r="B649" s="34">
        <v>12</v>
      </c>
      <c r="C649" s="34">
        <v>1386</v>
      </c>
      <c r="D649" s="34">
        <v>26</v>
      </c>
      <c r="E649" s="34" t="s">
        <v>6</v>
      </c>
      <c r="F649" s="34" t="s">
        <v>4</v>
      </c>
      <c r="G649" s="39" t="s">
        <v>7</v>
      </c>
    </row>
    <row r="650" spans="1:7" x14ac:dyDescent="0.3">
      <c r="A650" s="34">
        <v>649</v>
      </c>
      <c r="B650" s="34">
        <v>24</v>
      </c>
      <c r="C650" s="34">
        <v>947</v>
      </c>
      <c r="D650" s="34">
        <v>38</v>
      </c>
      <c r="E650" s="34" t="s">
        <v>3</v>
      </c>
      <c r="F650" s="34" t="s">
        <v>8</v>
      </c>
      <c r="G650" s="39" t="s">
        <v>7</v>
      </c>
    </row>
    <row r="651" spans="1:7" x14ac:dyDescent="0.3">
      <c r="A651" s="34">
        <v>650</v>
      </c>
      <c r="B651" s="34">
        <v>12</v>
      </c>
      <c r="C651" s="34">
        <v>684</v>
      </c>
      <c r="D651" s="34">
        <v>40</v>
      </c>
      <c r="E651" s="34" t="s">
        <v>3</v>
      </c>
      <c r="F651" s="34" t="s">
        <v>9</v>
      </c>
      <c r="G651" s="39" t="s">
        <v>7</v>
      </c>
    </row>
    <row r="652" spans="1:7" x14ac:dyDescent="0.3">
      <c r="A652" s="34">
        <v>651</v>
      </c>
      <c r="B652" s="34">
        <v>48</v>
      </c>
      <c r="C652" s="34">
        <v>7476</v>
      </c>
      <c r="D652" s="34">
        <v>50</v>
      </c>
      <c r="E652" s="34" t="s">
        <v>3</v>
      </c>
      <c r="F652" s="34" t="s">
        <v>8</v>
      </c>
      <c r="G652" s="39" t="s">
        <v>5</v>
      </c>
    </row>
    <row r="653" spans="1:7" x14ac:dyDescent="0.3">
      <c r="A653" s="34">
        <v>652</v>
      </c>
      <c r="B653" s="34">
        <v>12</v>
      </c>
      <c r="C653" s="34">
        <v>1922</v>
      </c>
      <c r="D653" s="34">
        <v>37</v>
      </c>
      <c r="E653" s="34" t="s">
        <v>3</v>
      </c>
      <c r="F653" s="34" t="s">
        <v>4</v>
      </c>
      <c r="G653" s="39" t="s">
        <v>7</v>
      </c>
    </row>
    <row r="654" spans="1:7" x14ac:dyDescent="0.3">
      <c r="A654" s="34">
        <v>653</v>
      </c>
      <c r="B654" s="34">
        <v>24</v>
      </c>
      <c r="C654" s="34">
        <v>2303</v>
      </c>
      <c r="D654" s="34">
        <v>45</v>
      </c>
      <c r="E654" s="34" t="s">
        <v>3</v>
      </c>
      <c r="F654" s="34" t="s">
        <v>4</v>
      </c>
      <c r="G654" s="39" t="s">
        <v>7</v>
      </c>
    </row>
    <row r="655" spans="1:7" x14ac:dyDescent="0.3">
      <c r="A655" s="34">
        <v>654</v>
      </c>
      <c r="B655" s="34">
        <v>36</v>
      </c>
      <c r="C655" s="34">
        <v>8086</v>
      </c>
      <c r="D655" s="34">
        <v>42</v>
      </c>
      <c r="E655" s="34" t="s">
        <v>3</v>
      </c>
      <c r="F655" s="34" t="s">
        <v>4</v>
      </c>
      <c r="G655" s="39" t="s">
        <v>7</v>
      </c>
    </row>
    <row r="656" spans="1:7" x14ac:dyDescent="0.3">
      <c r="A656" s="34">
        <v>655</v>
      </c>
      <c r="B656" s="34">
        <v>24</v>
      </c>
      <c r="C656" s="34">
        <v>2346</v>
      </c>
      <c r="D656" s="34">
        <v>35</v>
      </c>
      <c r="E656" s="34" t="s">
        <v>3</v>
      </c>
      <c r="F656" s="34" t="s">
        <v>4</v>
      </c>
      <c r="G656" s="39" t="s">
        <v>5</v>
      </c>
    </row>
    <row r="657" spans="1:7" x14ac:dyDescent="0.3">
      <c r="A657" s="34">
        <v>656</v>
      </c>
      <c r="B657" s="34">
        <v>14</v>
      </c>
      <c r="C657" s="34">
        <v>3973</v>
      </c>
      <c r="D657" s="34">
        <v>22</v>
      </c>
      <c r="E657" s="34" t="s">
        <v>3</v>
      </c>
      <c r="F657" s="34" t="s">
        <v>8</v>
      </c>
      <c r="G657" s="39" t="s">
        <v>5</v>
      </c>
    </row>
    <row r="658" spans="1:7" x14ac:dyDescent="0.3">
      <c r="A658" s="34">
        <v>657</v>
      </c>
      <c r="B658" s="34">
        <v>12</v>
      </c>
      <c r="C658" s="34">
        <v>888</v>
      </c>
      <c r="D658" s="34">
        <v>41</v>
      </c>
      <c r="E658" s="34" t="s">
        <v>3</v>
      </c>
      <c r="F658" s="34" t="s">
        <v>4</v>
      </c>
      <c r="G658" s="39" t="s">
        <v>7</v>
      </c>
    </row>
    <row r="659" spans="1:7" x14ac:dyDescent="0.3">
      <c r="A659" s="34">
        <v>658</v>
      </c>
      <c r="B659" s="34">
        <v>48</v>
      </c>
      <c r="C659" s="34">
        <v>10222</v>
      </c>
      <c r="D659" s="34">
        <v>37</v>
      </c>
      <c r="E659" s="34" t="s">
        <v>3</v>
      </c>
      <c r="F659" s="34" t="s">
        <v>4</v>
      </c>
      <c r="G659" s="39" t="s">
        <v>5</v>
      </c>
    </row>
    <row r="660" spans="1:7" x14ac:dyDescent="0.3">
      <c r="A660" s="34">
        <v>659</v>
      </c>
      <c r="B660" s="34">
        <v>30</v>
      </c>
      <c r="C660" s="34">
        <v>4221</v>
      </c>
      <c r="D660" s="34">
        <v>28</v>
      </c>
      <c r="E660" s="34" t="s">
        <v>6</v>
      </c>
      <c r="F660" s="34" t="s">
        <v>4</v>
      </c>
      <c r="G660" s="39" t="s">
        <v>5</v>
      </c>
    </row>
    <row r="661" spans="1:7" x14ac:dyDescent="0.3">
      <c r="A661" s="34">
        <v>660</v>
      </c>
      <c r="B661" s="34">
        <v>18</v>
      </c>
      <c r="C661" s="34">
        <v>6361</v>
      </c>
      <c r="D661" s="34">
        <v>41</v>
      </c>
      <c r="E661" s="34" t="s">
        <v>3</v>
      </c>
      <c r="F661" s="34" t="s">
        <v>4</v>
      </c>
      <c r="G661" s="39" t="s">
        <v>5</v>
      </c>
    </row>
    <row r="662" spans="1:7" x14ac:dyDescent="0.3">
      <c r="A662" s="34">
        <v>661</v>
      </c>
      <c r="B662" s="34">
        <v>12</v>
      </c>
      <c r="C662" s="34">
        <v>1297</v>
      </c>
      <c r="D662" s="34">
        <v>23</v>
      </c>
      <c r="E662" s="34" t="s">
        <v>11</v>
      </c>
      <c r="F662" s="34" t="s">
        <v>9</v>
      </c>
      <c r="G662" s="39" t="s">
        <v>5</v>
      </c>
    </row>
    <row r="663" spans="1:7" x14ac:dyDescent="0.3">
      <c r="A663" s="34">
        <v>662</v>
      </c>
      <c r="B663" s="34">
        <v>12</v>
      </c>
      <c r="C663" s="34">
        <v>900</v>
      </c>
      <c r="D663" s="34">
        <v>23</v>
      </c>
      <c r="E663" s="34" t="s">
        <v>11</v>
      </c>
      <c r="F663" s="34" t="s">
        <v>4</v>
      </c>
      <c r="G663" s="39" t="s">
        <v>7</v>
      </c>
    </row>
    <row r="664" spans="1:7" x14ac:dyDescent="0.3">
      <c r="A664" s="34">
        <v>663</v>
      </c>
      <c r="B664" s="34">
        <v>21</v>
      </c>
      <c r="C664" s="34">
        <v>2241</v>
      </c>
      <c r="D664" s="34">
        <v>50</v>
      </c>
      <c r="E664" s="34" t="s">
        <v>3</v>
      </c>
      <c r="F664" s="34" t="s">
        <v>4</v>
      </c>
      <c r="G664" s="39" t="s">
        <v>5</v>
      </c>
    </row>
    <row r="665" spans="1:7" x14ac:dyDescent="0.3">
      <c r="A665" s="34">
        <v>664</v>
      </c>
      <c r="B665" s="34">
        <v>6</v>
      </c>
      <c r="C665" s="34">
        <v>1050</v>
      </c>
      <c r="D665" s="34">
        <v>35</v>
      </c>
      <c r="E665" s="34" t="s">
        <v>3</v>
      </c>
      <c r="F665" s="34" t="s">
        <v>4</v>
      </c>
      <c r="G665" s="39" t="s">
        <v>5</v>
      </c>
    </row>
    <row r="666" spans="1:7" x14ac:dyDescent="0.3">
      <c r="A666" s="34">
        <v>665</v>
      </c>
      <c r="B666" s="34">
        <v>6</v>
      </c>
      <c r="C666" s="34">
        <v>1047</v>
      </c>
      <c r="D666" s="34">
        <v>50</v>
      </c>
      <c r="E666" s="34" t="s">
        <v>6</v>
      </c>
      <c r="F666" s="34" t="s">
        <v>4</v>
      </c>
      <c r="G666" s="39" t="s">
        <v>5</v>
      </c>
    </row>
    <row r="667" spans="1:7" x14ac:dyDescent="0.3">
      <c r="A667" s="34">
        <v>666</v>
      </c>
      <c r="B667" s="34">
        <v>24</v>
      </c>
      <c r="C667" s="34">
        <v>6314</v>
      </c>
      <c r="D667" s="34">
        <v>27</v>
      </c>
      <c r="E667" s="34" t="s">
        <v>3</v>
      </c>
      <c r="F667" s="34" t="s">
        <v>4</v>
      </c>
      <c r="G667" s="39" t="s">
        <v>5</v>
      </c>
    </row>
    <row r="668" spans="1:7" x14ac:dyDescent="0.3">
      <c r="A668" s="34">
        <v>667</v>
      </c>
      <c r="B668" s="34">
        <v>30</v>
      </c>
      <c r="C668" s="34">
        <v>3496</v>
      </c>
      <c r="D668" s="34">
        <v>34</v>
      </c>
      <c r="E668" s="34" t="s">
        <v>3</v>
      </c>
      <c r="F668" s="34" t="s">
        <v>4</v>
      </c>
      <c r="G668" s="39" t="s">
        <v>5</v>
      </c>
    </row>
    <row r="669" spans="1:7" x14ac:dyDescent="0.3">
      <c r="A669" s="34">
        <v>668</v>
      </c>
      <c r="B669" s="34">
        <v>48</v>
      </c>
      <c r="C669" s="34">
        <v>3609</v>
      </c>
      <c r="D669" s="34">
        <v>27</v>
      </c>
      <c r="E669" s="34" t="s">
        <v>6</v>
      </c>
      <c r="F669" s="34" t="s">
        <v>4</v>
      </c>
      <c r="G669" s="39" t="s">
        <v>5</v>
      </c>
    </row>
    <row r="670" spans="1:7" x14ac:dyDescent="0.3">
      <c r="A670" s="34">
        <v>669</v>
      </c>
      <c r="B670" s="34">
        <v>12</v>
      </c>
      <c r="C670" s="34">
        <v>4843</v>
      </c>
      <c r="D670" s="34">
        <v>43</v>
      </c>
      <c r="E670" s="34" t="s">
        <v>3</v>
      </c>
      <c r="F670" s="34" t="s">
        <v>9</v>
      </c>
      <c r="G670" s="39" t="s">
        <v>7</v>
      </c>
    </row>
    <row r="671" spans="1:7" x14ac:dyDescent="0.3">
      <c r="A671" s="34">
        <v>670</v>
      </c>
      <c r="B671" s="34">
        <v>30</v>
      </c>
      <c r="C671" s="34">
        <v>3017</v>
      </c>
      <c r="D671" s="34">
        <v>47</v>
      </c>
      <c r="E671" s="34" t="s">
        <v>3</v>
      </c>
      <c r="F671" s="34" t="s">
        <v>4</v>
      </c>
      <c r="G671" s="39" t="s">
        <v>5</v>
      </c>
    </row>
    <row r="672" spans="1:7" x14ac:dyDescent="0.3">
      <c r="A672" s="34">
        <v>671</v>
      </c>
      <c r="B672" s="34">
        <v>24</v>
      </c>
      <c r="C672" s="34">
        <v>4139</v>
      </c>
      <c r="D672" s="34">
        <v>27</v>
      </c>
      <c r="E672" s="34" t="s">
        <v>3</v>
      </c>
      <c r="F672" s="34" t="s">
        <v>4</v>
      </c>
      <c r="G672" s="39" t="s">
        <v>5</v>
      </c>
    </row>
    <row r="673" spans="1:7" x14ac:dyDescent="0.3">
      <c r="A673" s="34">
        <v>672</v>
      </c>
      <c r="B673" s="34">
        <v>36</v>
      </c>
      <c r="C673" s="34">
        <v>5742</v>
      </c>
      <c r="D673" s="34">
        <v>31</v>
      </c>
      <c r="E673" s="34" t="s">
        <v>3</v>
      </c>
      <c r="F673" s="34" t="s">
        <v>4</v>
      </c>
      <c r="G673" s="39" t="s">
        <v>5</v>
      </c>
    </row>
    <row r="674" spans="1:7" x14ac:dyDescent="0.3">
      <c r="A674" s="34">
        <v>673</v>
      </c>
      <c r="B674" s="34">
        <v>60</v>
      </c>
      <c r="C674" s="34">
        <v>10366</v>
      </c>
      <c r="D674" s="34">
        <v>42</v>
      </c>
      <c r="E674" s="34" t="s">
        <v>3</v>
      </c>
      <c r="F674" s="34" t="s">
        <v>4</v>
      </c>
      <c r="G674" s="39" t="s">
        <v>5</v>
      </c>
    </row>
    <row r="675" spans="1:7" x14ac:dyDescent="0.3">
      <c r="A675" s="34">
        <v>674</v>
      </c>
      <c r="B675" s="34">
        <v>6</v>
      </c>
      <c r="C675" s="34">
        <v>2080</v>
      </c>
      <c r="D675" s="34">
        <v>24</v>
      </c>
      <c r="E675" s="34" t="s">
        <v>11</v>
      </c>
      <c r="F675" s="34" t="s">
        <v>4</v>
      </c>
      <c r="G675" s="39" t="s">
        <v>5</v>
      </c>
    </row>
    <row r="676" spans="1:7" x14ac:dyDescent="0.3">
      <c r="A676" s="34">
        <v>675</v>
      </c>
      <c r="B676" s="34">
        <v>21</v>
      </c>
      <c r="C676" s="34">
        <v>2580</v>
      </c>
      <c r="D676" s="34">
        <v>41</v>
      </c>
      <c r="E676" s="34" t="s">
        <v>3</v>
      </c>
      <c r="F676" s="34" t="s">
        <v>4</v>
      </c>
      <c r="G676" s="39" t="s">
        <v>7</v>
      </c>
    </row>
    <row r="677" spans="1:7" x14ac:dyDescent="0.3">
      <c r="A677" s="34">
        <v>676</v>
      </c>
      <c r="B677" s="34">
        <v>30</v>
      </c>
      <c r="C677" s="34">
        <v>4530</v>
      </c>
      <c r="D677" s="34">
        <v>26</v>
      </c>
      <c r="E677" s="34" t="s">
        <v>6</v>
      </c>
      <c r="F677" s="34" t="s">
        <v>9</v>
      </c>
      <c r="G677" s="39" t="s">
        <v>5</v>
      </c>
    </row>
    <row r="678" spans="1:7" x14ac:dyDescent="0.3">
      <c r="A678" s="34">
        <v>677</v>
      </c>
      <c r="B678" s="34">
        <v>24</v>
      </c>
      <c r="C678" s="34">
        <v>5150</v>
      </c>
      <c r="D678" s="34">
        <v>33</v>
      </c>
      <c r="E678" s="34" t="s">
        <v>3</v>
      </c>
      <c r="F678" s="34" t="s">
        <v>4</v>
      </c>
      <c r="G678" s="39" t="s">
        <v>5</v>
      </c>
    </row>
    <row r="679" spans="1:7" x14ac:dyDescent="0.3">
      <c r="A679" s="34">
        <v>678</v>
      </c>
      <c r="B679" s="34">
        <v>72</v>
      </c>
      <c r="C679" s="34">
        <v>5595</v>
      </c>
      <c r="D679" s="34">
        <v>24</v>
      </c>
      <c r="E679" s="34" t="s">
        <v>11</v>
      </c>
      <c r="F679" s="34" t="s">
        <v>4</v>
      </c>
      <c r="G679" s="39" t="s">
        <v>7</v>
      </c>
    </row>
    <row r="680" spans="1:7" x14ac:dyDescent="0.3">
      <c r="A680" s="34">
        <v>679</v>
      </c>
      <c r="B680" s="34">
        <v>24</v>
      </c>
      <c r="C680" s="34">
        <v>2384</v>
      </c>
      <c r="D680" s="34">
        <v>64</v>
      </c>
      <c r="E680" s="34" t="s">
        <v>3</v>
      </c>
      <c r="F680" s="34" t="s">
        <v>9</v>
      </c>
      <c r="G680" s="39" t="s">
        <v>5</v>
      </c>
    </row>
    <row r="681" spans="1:7" x14ac:dyDescent="0.3">
      <c r="A681" s="34">
        <v>680</v>
      </c>
      <c r="B681" s="34">
        <v>18</v>
      </c>
      <c r="C681" s="34">
        <v>1453</v>
      </c>
      <c r="D681" s="34">
        <v>26</v>
      </c>
      <c r="E681" s="34" t="s">
        <v>6</v>
      </c>
      <c r="F681" s="34" t="s">
        <v>4</v>
      </c>
      <c r="G681" s="39" t="s">
        <v>5</v>
      </c>
    </row>
    <row r="682" spans="1:7" x14ac:dyDescent="0.3">
      <c r="A682" s="34">
        <v>681</v>
      </c>
      <c r="B682" s="34">
        <v>6</v>
      </c>
      <c r="C682" s="34">
        <v>1538</v>
      </c>
      <c r="D682" s="34">
        <v>56</v>
      </c>
      <c r="E682" s="34" t="s">
        <v>6</v>
      </c>
      <c r="F682" s="34" t="s">
        <v>4</v>
      </c>
      <c r="G682" s="39" t="s">
        <v>5</v>
      </c>
    </row>
    <row r="683" spans="1:7" x14ac:dyDescent="0.3">
      <c r="A683" s="34">
        <v>682</v>
      </c>
      <c r="B683" s="34">
        <v>12</v>
      </c>
      <c r="C683" s="34">
        <v>2279</v>
      </c>
      <c r="D683" s="34">
        <v>37</v>
      </c>
      <c r="E683" s="34" t="s">
        <v>3</v>
      </c>
      <c r="F683" s="34" t="s">
        <v>8</v>
      </c>
      <c r="G683" s="39" t="s">
        <v>5</v>
      </c>
    </row>
    <row r="684" spans="1:7" x14ac:dyDescent="0.3">
      <c r="A684" s="34">
        <v>683</v>
      </c>
      <c r="B684" s="34">
        <v>15</v>
      </c>
      <c r="C684" s="34">
        <v>1478</v>
      </c>
      <c r="D684" s="34">
        <v>33</v>
      </c>
      <c r="E684" s="34" t="s">
        <v>11</v>
      </c>
      <c r="F684" s="34" t="s">
        <v>4</v>
      </c>
      <c r="G684" s="39" t="s">
        <v>5</v>
      </c>
    </row>
    <row r="685" spans="1:7" x14ac:dyDescent="0.3">
      <c r="A685" s="34">
        <v>684</v>
      </c>
      <c r="B685" s="34">
        <v>24</v>
      </c>
      <c r="C685" s="34">
        <v>5103</v>
      </c>
      <c r="D685" s="34">
        <v>47</v>
      </c>
      <c r="E685" s="34" t="s">
        <v>11</v>
      </c>
      <c r="F685" s="34" t="s">
        <v>8</v>
      </c>
      <c r="G685" s="39" t="s">
        <v>5</v>
      </c>
    </row>
    <row r="686" spans="1:7" x14ac:dyDescent="0.3">
      <c r="A686" s="34">
        <v>685</v>
      </c>
      <c r="B686" s="34">
        <v>36</v>
      </c>
      <c r="C686" s="34">
        <v>9857</v>
      </c>
      <c r="D686" s="34">
        <v>31</v>
      </c>
      <c r="E686" s="34" t="s">
        <v>3</v>
      </c>
      <c r="F686" s="34" t="s">
        <v>4</v>
      </c>
      <c r="G686" s="39" t="s">
        <v>5</v>
      </c>
    </row>
    <row r="687" spans="1:7" x14ac:dyDescent="0.3">
      <c r="A687" s="34">
        <v>686</v>
      </c>
      <c r="B687" s="34">
        <v>60</v>
      </c>
      <c r="C687" s="34">
        <v>6527</v>
      </c>
      <c r="D687" s="34">
        <v>34</v>
      </c>
      <c r="E687" s="34" t="s">
        <v>3</v>
      </c>
      <c r="F687" s="34" t="s">
        <v>8</v>
      </c>
      <c r="G687" s="39" t="s">
        <v>5</v>
      </c>
    </row>
    <row r="688" spans="1:7" x14ac:dyDescent="0.3">
      <c r="A688" s="34">
        <v>687</v>
      </c>
      <c r="B688" s="34">
        <v>10</v>
      </c>
      <c r="C688" s="34">
        <v>1347</v>
      </c>
      <c r="D688" s="34">
        <v>27</v>
      </c>
      <c r="E688" s="34" t="s">
        <v>3</v>
      </c>
      <c r="F688" s="34" t="s">
        <v>4</v>
      </c>
      <c r="G688" s="39" t="s">
        <v>5</v>
      </c>
    </row>
    <row r="689" spans="1:7" x14ac:dyDescent="0.3">
      <c r="A689" s="34">
        <v>688</v>
      </c>
      <c r="B689" s="34">
        <v>36</v>
      </c>
      <c r="C689" s="34">
        <v>2862</v>
      </c>
      <c r="D689" s="34">
        <v>30</v>
      </c>
      <c r="E689" s="34" t="s">
        <v>3</v>
      </c>
      <c r="F689" s="34" t="s">
        <v>8</v>
      </c>
      <c r="G689" s="39" t="s">
        <v>5</v>
      </c>
    </row>
    <row r="690" spans="1:7" x14ac:dyDescent="0.3">
      <c r="A690" s="34">
        <v>689</v>
      </c>
      <c r="B690" s="34">
        <v>9</v>
      </c>
      <c r="C690" s="34">
        <v>2753</v>
      </c>
      <c r="D690" s="34">
        <v>35</v>
      </c>
      <c r="E690" s="34" t="s">
        <v>3</v>
      </c>
      <c r="F690" s="34" t="s">
        <v>4</v>
      </c>
      <c r="G690" s="39" t="s">
        <v>5</v>
      </c>
    </row>
    <row r="691" spans="1:7" x14ac:dyDescent="0.3">
      <c r="A691" s="34">
        <v>690</v>
      </c>
      <c r="B691" s="34">
        <v>12</v>
      </c>
      <c r="C691" s="34">
        <v>3651</v>
      </c>
      <c r="D691" s="34">
        <v>31</v>
      </c>
      <c r="E691" s="34" t="s">
        <v>3</v>
      </c>
      <c r="F691" s="34" t="s">
        <v>4</v>
      </c>
      <c r="G691" s="39" t="s">
        <v>5</v>
      </c>
    </row>
    <row r="692" spans="1:7" x14ac:dyDescent="0.3">
      <c r="A692" s="34">
        <v>691</v>
      </c>
      <c r="B692" s="34">
        <v>15</v>
      </c>
      <c r="C692" s="34">
        <v>975</v>
      </c>
      <c r="D692" s="34">
        <v>25</v>
      </c>
      <c r="E692" s="34" t="s">
        <v>10</v>
      </c>
      <c r="F692" s="34" t="s">
        <v>4</v>
      </c>
      <c r="G692" s="39" t="s">
        <v>5</v>
      </c>
    </row>
    <row r="693" spans="1:7" x14ac:dyDescent="0.3">
      <c r="A693" s="34">
        <v>692</v>
      </c>
      <c r="B693" s="34">
        <v>15</v>
      </c>
      <c r="C693" s="34">
        <v>2631</v>
      </c>
      <c r="D693" s="34">
        <v>25</v>
      </c>
      <c r="E693" s="34" t="s">
        <v>6</v>
      </c>
      <c r="F693" s="34" t="s">
        <v>4</v>
      </c>
      <c r="G693" s="39" t="s">
        <v>5</v>
      </c>
    </row>
    <row r="694" spans="1:7" x14ac:dyDescent="0.3">
      <c r="A694" s="34">
        <v>693</v>
      </c>
      <c r="B694" s="34">
        <v>24</v>
      </c>
      <c r="C694" s="34">
        <v>2896</v>
      </c>
      <c r="D694" s="34">
        <v>29</v>
      </c>
      <c r="E694" s="34" t="s">
        <v>3</v>
      </c>
      <c r="F694" s="34" t="s">
        <v>4</v>
      </c>
      <c r="G694" s="39" t="s">
        <v>5</v>
      </c>
    </row>
    <row r="695" spans="1:7" x14ac:dyDescent="0.3">
      <c r="A695" s="34">
        <v>694</v>
      </c>
      <c r="B695" s="34">
        <v>6</v>
      </c>
      <c r="C695" s="34">
        <v>4716</v>
      </c>
      <c r="D695" s="34">
        <v>44</v>
      </c>
      <c r="E695" s="34" t="s">
        <v>3</v>
      </c>
      <c r="F695" s="34" t="s">
        <v>4</v>
      </c>
      <c r="G695" s="39" t="s">
        <v>5</v>
      </c>
    </row>
    <row r="696" spans="1:7" x14ac:dyDescent="0.3">
      <c r="A696" s="34">
        <v>695</v>
      </c>
      <c r="B696" s="34">
        <v>24</v>
      </c>
      <c r="C696" s="34">
        <v>2284</v>
      </c>
      <c r="D696" s="34">
        <v>28</v>
      </c>
      <c r="E696" s="34" t="s">
        <v>3</v>
      </c>
      <c r="F696" s="34" t="s">
        <v>4</v>
      </c>
      <c r="G696" s="39" t="s">
        <v>5</v>
      </c>
    </row>
    <row r="697" spans="1:7" x14ac:dyDescent="0.3">
      <c r="A697" s="34">
        <v>696</v>
      </c>
      <c r="B697" s="34">
        <v>6</v>
      </c>
      <c r="C697" s="34">
        <v>1236</v>
      </c>
      <c r="D697" s="34">
        <v>50</v>
      </c>
      <c r="E697" s="34" t="s">
        <v>3</v>
      </c>
      <c r="F697" s="34" t="s">
        <v>9</v>
      </c>
      <c r="G697" s="39" t="s">
        <v>5</v>
      </c>
    </row>
    <row r="698" spans="1:7" x14ac:dyDescent="0.3">
      <c r="A698" s="34">
        <v>697</v>
      </c>
      <c r="B698" s="34">
        <v>12</v>
      </c>
      <c r="C698" s="34">
        <v>1103</v>
      </c>
      <c r="D698" s="34">
        <v>29</v>
      </c>
      <c r="E698" s="34" t="s">
        <v>3</v>
      </c>
      <c r="F698" s="34" t="s">
        <v>4</v>
      </c>
      <c r="G698" s="39" t="s">
        <v>5</v>
      </c>
    </row>
    <row r="699" spans="1:7" x14ac:dyDescent="0.3">
      <c r="A699" s="34">
        <v>698</v>
      </c>
      <c r="B699" s="34">
        <v>12</v>
      </c>
      <c r="C699" s="34">
        <v>926</v>
      </c>
      <c r="D699" s="34">
        <v>38</v>
      </c>
      <c r="E699" s="34" t="s">
        <v>6</v>
      </c>
      <c r="F699" s="34" t="s">
        <v>4</v>
      </c>
      <c r="G699" s="39" t="s">
        <v>5</v>
      </c>
    </row>
    <row r="700" spans="1:7" x14ac:dyDescent="0.3">
      <c r="A700" s="34">
        <v>699</v>
      </c>
      <c r="B700" s="34">
        <v>18</v>
      </c>
      <c r="C700" s="34">
        <v>1800</v>
      </c>
      <c r="D700" s="34">
        <v>24</v>
      </c>
      <c r="E700" s="34" t="s">
        <v>3</v>
      </c>
      <c r="F700" s="34" t="s">
        <v>4</v>
      </c>
      <c r="G700" s="39" t="s">
        <v>5</v>
      </c>
    </row>
    <row r="701" spans="1:7" x14ac:dyDescent="0.3">
      <c r="A701" s="34">
        <v>700</v>
      </c>
      <c r="B701" s="34">
        <v>15</v>
      </c>
      <c r="C701" s="34">
        <v>1905</v>
      </c>
      <c r="D701" s="34">
        <v>40</v>
      </c>
      <c r="E701" s="34" t="s">
        <v>3</v>
      </c>
      <c r="F701" s="34" t="s">
        <v>9</v>
      </c>
      <c r="G701" s="39" t="s">
        <v>5</v>
      </c>
    </row>
    <row r="702" spans="1:7" x14ac:dyDescent="0.3">
      <c r="A702" s="34">
        <v>701</v>
      </c>
      <c r="B702" s="34">
        <v>12</v>
      </c>
      <c r="C702" s="34">
        <v>1123</v>
      </c>
      <c r="D702" s="34">
        <v>29</v>
      </c>
      <c r="E702" s="34" t="s">
        <v>6</v>
      </c>
      <c r="F702" s="34" t="s">
        <v>9</v>
      </c>
      <c r="G702" s="39" t="s">
        <v>7</v>
      </c>
    </row>
    <row r="703" spans="1:7" x14ac:dyDescent="0.3">
      <c r="A703" s="34">
        <v>702</v>
      </c>
      <c r="B703" s="34">
        <v>48</v>
      </c>
      <c r="C703" s="34">
        <v>6331</v>
      </c>
      <c r="D703" s="34">
        <v>46</v>
      </c>
      <c r="E703" s="34" t="s">
        <v>3</v>
      </c>
      <c r="F703" s="34" t="s">
        <v>8</v>
      </c>
      <c r="G703" s="39" t="s">
        <v>7</v>
      </c>
    </row>
    <row r="704" spans="1:7" x14ac:dyDescent="0.3">
      <c r="A704" s="34">
        <v>703</v>
      </c>
      <c r="B704" s="34">
        <v>24</v>
      </c>
      <c r="C704" s="34">
        <v>1377</v>
      </c>
      <c r="D704" s="34">
        <v>47</v>
      </c>
      <c r="E704" s="34" t="s">
        <v>6</v>
      </c>
      <c r="F704" s="34" t="s">
        <v>8</v>
      </c>
      <c r="G704" s="39" t="s">
        <v>5</v>
      </c>
    </row>
    <row r="705" spans="1:7" x14ac:dyDescent="0.3">
      <c r="A705" s="34">
        <v>704</v>
      </c>
      <c r="B705" s="34">
        <v>30</v>
      </c>
      <c r="C705" s="34">
        <v>2503</v>
      </c>
      <c r="D705" s="34">
        <v>41</v>
      </c>
      <c r="E705" s="34" t="s">
        <v>3</v>
      </c>
      <c r="F705" s="34" t="s">
        <v>4</v>
      </c>
      <c r="G705" s="39" t="s">
        <v>5</v>
      </c>
    </row>
    <row r="706" spans="1:7" x14ac:dyDescent="0.3">
      <c r="A706" s="34">
        <v>705</v>
      </c>
      <c r="B706" s="34">
        <v>27</v>
      </c>
      <c r="C706" s="34">
        <v>2528</v>
      </c>
      <c r="D706" s="34">
        <v>32</v>
      </c>
      <c r="E706" s="34" t="s">
        <v>6</v>
      </c>
      <c r="F706" s="34" t="s">
        <v>4</v>
      </c>
      <c r="G706" s="39" t="s">
        <v>5</v>
      </c>
    </row>
    <row r="707" spans="1:7" x14ac:dyDescent="0.3">
      <c r="A707" s="34">
        <v>706</v>
      </c>
      <c r="B707" s="34">
        <v>15</v>
      </c>
      <c r="C707" s="34">
        <v>5324</v>
      </c>
      <c r="D707" s="34">
        <v>35</v>
      </c>
      <c r="E707" s="34" t="s">
        <v>6</v>
      </c>
      <c r="F707" s="34" t="s">
        <v>8</v>
      </c>
      <c r="G707" s="39" t="s">
        <v>5</v>
      </c>
    </row>
    <row r="708" spans="1:7" x14ac:dyDescent="0.3">
      <c r="A708" s="34">
        <v>707</v>
      </c>
      <c r="B708" s="34">
        <v>48</v>
      </c>
      <c r="C708" s="34">
        <v>6560</v>
      </c>
      <c r="D708" s="34">
        <v>24</v>
      </c>
      <c r="E708" s="34" t="s">
        <v>3</v>
      </c>
      <c r="F708" s="34" t="s">
        <v>4</v>
      </c>
      <c r="G708" s="39" t="s">
        <v>7</v>
      </c>
    </row>
    <row r="709" spans="1:7" x14ac:dyDescent="0.3">
      <c r="A709" s="34">
        <v>708</v>
      </c>
      <c r="B709" s="34">
        <v>12</v>
      </c>
      <c r="C709" s="34">
        <v>2969</v>
      </c>
      <c r="D709" s="34">
        <v>25</v>
      </c>
      <c r="E709" s="34" t="s">
        <v>6</v>
      </c>
      <c r="F709" s="34" t="s">
        <v>9</v>
      </c>
      <c r="G709" s="39" t="s">
        <v>7</v>
      </c>
    </row>
    <row r="710" spans="1:7" x14ac:dyDescent="0.3">
      <c r="A710" s="34">
        <v>709</v>
      </c>
      <c r="B710" s="34">
        <v>9</v>
      </c>
      <c r="C710" s="34">
        <v>1206</v>
      </c>
      <c r="D710" s="34">
        <v>25</v>
      </c>
      <c r="E710" s="34" t="s">
        <v>6</v>
      </c>
      <c r="F710" s="34" t="s">
        <v>4</v>
      </c>
      <c r="G710" s="39" t="s">
        <v>5</v>
      </c>
    </row>
    <row r="711" spans="1:7" x14ac:dyDescent="0.3">
      <c r="A711" s="34">
        <v>710</v>
      </c>
      <c r="B711" s="34">
        <v>9</v>
      </c>
      <c r="C711" s="34">
        <v>2118</v>
      </c>
      <c r="D711" s="34">
        <v>37</v>
      </c>
      <c r="E711" s="34" t="s">
        <v>3</v>
      </c>
      <c r="F711" s="34" t="s">
        <v>4</v>
      </c>
      <c r="G711" s="39" t="s">
        <v>5</v>
      </c>
    </row>
    <row r="712" spans="1:7" x14ac:dyDescent="0.3">
      <c r="A712" s="34">
        <v>711</v>
      </c>
      <c r="B712" s="34">
        <v>18</v>
      </c>
      <c r="C712" s="34">
        <v>629</v>
      </c>
      <c r="D712" s="34">
        <v>32</v>
      </c>
      <c r="E712" s="34" t="s">
        <v>3</v>
      </c>
      <c r="F712" s="34" t="s">
        <v>4</v>
      </c>
      <c r="G712" s="39" t="s">
        <v>5</v>
      </c>
    </row>
    <row r="713" spans="1:7" x14ac:dyDescent="0.3">
      <c r="A713" s="34">
        <v>712</v>
      </c>
      <c r="B713" s="34">
        <v>6</v>
      </c>
      <c r="C713" s="34">
        <v>1198</v>
      </c>
      <c r="D713" s="34">
        <v>35</v>
      </c>
      <c r="E713" s="34" t="s">
        <v>6</v>
      </c>
      <c r="F713" s="34" t="s">
        <v>8</v>
      </c>
      <c r="G713" s="39" t="s">
        <v>7</v>
      </c>
    </row>
    <row r="714" spans="1:7" x14ac:dyDescent="0.3">
      <c r="A714" s="34">
        <v>713</v>
      </c>
      <c r="B714" s="34">
        <v>21</v>
      </c>
      <c r="C714" s="34">
        <v>2476</v>
      </c>
      <c r="D714" s="34">
        <v>46</v>
      </c>
      <c r="E714" s="34" t="s">
        <v>3</v>
      </c>
      <c r="F714" s="34" t="s">
        <v>4</v>
      </c>
      <c r="G714" s="39" t="s">
        <v>5</v>
      </c>
    </row>
    <row r="715" spans="1:7" x14ac:dyDescent="0.3">
      <c r="A715" s="34">
        <v>714</v>
      </c>
      <c r="B715" s="34">
        <v>9</v>
      </c>
      <c r="C715" s="34">
        <v>1138</v>
      </c>
      <c r="D715" s="34">
        <v>25</v>
      </c>
      <c r="E715" s="34" t="s">
        <v>3</v>
      </c>
      <c r="F715" s="34" t="s">
        <v>4</v>
      </c>
      <c r="G715" s="39" t="s">
        <v>5</v>
      </c>
    </row>
    <row r="716" spans="1:7" x14ac:dyDescent="0.3">
      <c r="A716" s="34">
        <v>715</v>
      </c>
      <c r="B716" s="34">
        <v>60</v>
      </c>
      <c r="C716" s="34">
        <v>14027</v>
      </c>
      <c r="D716" s="34">
        <v>27</v>
      </c>
      <c r="E716" s="34" t="s">
        <v>3</v>
      </c>
      <c r="F716" s="34" t="s">
        <v>4</v>
      </c>
      <c r="G716" s="39" t="s">
        <v>7</v>
      </c>
    </row>
    <row r="717" spans="1:7" x14ac:dyDescent="0.3">
      <c r="A717" s="34">
        <v>716</v>
      </c>
      <c r="B717" s="34">
        <v>30</v>
      </c>
      <c r="C717" s="34">
        <v>7596</v>
      </c>
      <c r="D717" s="34">
        <v>63</v>
      </c>
      <c r="E717" s="34" t="s">
        <v>3</v>
      </c>
      <c r="F717" s="34" t="s">
        <v>4</v>
      </c>
      <c r="G717" s="39" t="s">
        <v>5</v>
      </c>
    </row>
    <row r="718" spans="1:7" x14ac:dyDescent="0.3">
      <c r="A718" s="34">
        <v>717</v>
      </c>
      <c r="B718" s="34">
        <v>30</v>
      </c>
      <c r="C718" s="34">
        <v>3077</v>
      </c>
      <c r="D718" s="34">
        <v>40</v>
      </c>
      <c r="E718" s="34" t="s">
        <v>3</v>
      </c>
      <c r="F718" s="34" t="s">
        <v>4</v>
      </c>
      <c r="G718" s="39" t="s">
        <v>5</v>
      </c>
    </row>
    <row r="719" spans="1:7" x14ac:dyDescent="0.3">
      <c r="A719" s="34">
        <v>718</v>
      </c>
      <c r="B719" s="34">
        <v>18</v>
      </c>
      <c r="C719" s="34">
        <v>1505</v>
      </c>
      <c r="D719" s="34">
        <v>32</v>
      </c>
      <c r="E719" s="34" t="s">
        <v>3</v>
      </c>
      <c r="F719" s="34" t="s">
        <v>8</v>
      </c>
      <c r="G719" s="39" t="s">
        <v>5</v>
      </c>
    </row>
    <row r="720" spans="1:7" x14ac:dyDescent="0.3">
      <c r="A720" s="34">
        <v>719</v>
      </c>
      <c r="B720" s="34">
        <v>24</v>
      </c>
      <c r="C720" s="34">
        <v>3148</v>
      </c>
      <c r="D720" s="34">
        <v>31</v>
      </c>
      <c r="E720" s="34" t="s">
        <v>3</v>
      </c>
      <c r="F720" s="34" t="s">
        <v>4</v>
      </c>
      <c r="G720" s="39" t="s">
        <v>5</v>
      </c>
    </row>
    <row r="721" spans="1:7" x14ac:dyDescent="0.3">
      <c r="A721" s="34">
        <v>720</v>
      </c>
      <c r="B721" s="34">
        <v>20</v>
      </c>
      <c r="C721" s="34">
        <v>6148</v>
      </c>
      <c r="D721" s="34">
        <v>31</v>
      </c>
      <c r="E721" s="34" t="s">
        <v>11</v>
      </c>
      <c r="F721" s="34" t="s">
        <v>4</v>
      </c>
      <c r="G721" s="39" t="s">
        <v>5</v>
      </c>
    </row>
    <row r="722" spans="1:7" x14ac:dyDescent="0.3">
      <c r="A722" s="34">
        <v>721</v>
      </c>
      <c r="B722" s="34">
        <v>9</v>
      </c>
      <c r="C722" s="34">
        <v>1337</v>
      </c>
      <c r="D722" s="34">
        <v>34</v>
      </c>
      <c r="E722" s="34" t="s">
        <v>3</v>
      </c>
      <c r="F722" s="34" t="s">
        <v>4</v>
      </c>
      <c r="G722" s="39" t="s">
        <v>7</v>
      </c>
    </row>
    <row r="723" spans="1:7" x14ac:dyDescent="0.3">
      <c r="A723" s="34">
        <v>722</v>
      </c>
      <c r="B723" s="34">
        <v>6</v>
      </c>
      <c r="C723" s="34">
        <v>433</v>
      </c>
      <c r="D723" s="34">
        <v>24</v>
      </c>
      <c r="E723" s="34" t="s">
        <v>6</v>
      </c>
      <c r="F723" s="34" t="s">
        <v>9</v>
      </c>
      <c r="G723" s="39" t="s">
        <v>7</v>
      </c>
    </row>
    <row r="724" spans="1:7" x14ac:dyDescent="0.3">
      <c r="A724" s="34">
        <v>723</v>
      </c>
      <c r="B724" s="34">
        <v>12</v>
      </c>
      <c r="C724" s="34">
        <v>1228</v>
      </c>
      <c r="D724" s="34">
        <v>24</v>
      </c>
      <c r="E724" s="34" t="s">
        <v>6</v>
      </c>
      <c r="F724" s="34" t="s">
        <v>4</v>
      </c>
      <c r="G724" s="39" t="s">
        <v>7</v>
      </c>
    </row>
    <row r="725" spans="1:7" x14ac:dyDescent="0.3">
      <c r="A725" s="34">
        <v>724</v>
      </c>
      <c r="B725" s="34">
        <v>9</v>
      </c>
      <c r="C725" s="34">
        <v>790</v>
      </c>
      <c r="D725" s="34">
        <v>66</v>
      </c>
      <c r="E725" s="34" t="s">
        <v>6</v>
      </c>
      <c r="F725" s="34" t="s">
        <v>4</v>
      </c>
      <c r="G725" s="39" t="s">
        <v>5</v>
      </c>
    </row>
    <row r="726" spans="1:7" x14ac:dyDescent="0.3">
      <c r="A726" s="34">
        <v>725</v>
      </c>
      <c r="B726" s="34">
        <v>27</v>
      </c>
      <c r="C726" s="34">
        <v>2570</v>
      </c>
      <c r="D726" s="34">
        <v>21</v>
      </c>
      <c r="E726" s="34" t="s">
        <v>6</v>
      </c>
      <c r="F726" s="34" t="s">
        <v>9</v>
      </c>
      <c r="G726" s="39" t="s">
        <v>7</v>
      </c>
    </row>
    <row r="727" spans="1:7" x14ac:dyDescent="0.3">
      <c r="A727" s="34">
        <v>726</v>
      </c>
      <c r="B727" s="34">
        <v>6</v>
      </c>
      <c r="C727" s="34">
        <v>250</v>
      </c>
      <c r="D727" s="34">
        <v>41</v>
      </c>
      <c r="E727" s="34" t="s">
        <v>6</v>
      </c>
      <c r="F727" s="34" t="s">
        <v>4</v>
      </c>
      <c r="G727" s="39" t="s">
        <v>5</v>
      </c>
    </row>
    <row r="728" spans="1:7" x14ac:dyDescent="0.3">
      <c r="A728" s="34">
        <v>727</v>
      </c>
      <c r="B728" s="34">
        <v>15</v>
      </c>
      <c r="C728" s="34">
        <v>1316</v>
      </c>
      <c r="D728" s="34">
        <v>47</v>
      </c>
      <c r="E728" s="34" t="s">
        <v>11</v>
      </c>
      <c r="F728" s="34" t="s">
        <v>4</v>
      </c>
      <c r="G728" s="39" t="s">
        <v>5</v>
      </c>
    </row>
    <row r="729" spans="1:7" x14ac:dyDescent="0.3">
      <c r="A729" s="34">
        <v>728</v>
      </c>
      <c r="B729" s="34">
        <v>18</v>
      </c>
      <c r="C729" s="34">
        <v>1882</v>
      </c>
      <c r="D729" s="34">
        <v>25</v>
      </c>
      <c r="E729" s="34" t="s">
        <v>6</v>
      </c>
      <c r="F729" s="34" t="s">
        <v>9</v>
      </c>
      <c r="G729" s="39" t="s">
        <v>7</v>
      </c>
    </row>
    <row r="730" spans="1:7" x14ac:dyDescent="0.3">
      <c r="A730" s="34">
        <v>729</v>
      </c>
      <c r="B730" s="34">
        <v>48</v>
      </c>
      <c r="C730" s="34">
        <v>6416</v>
      </c>
      <c r="D730" s="34">
        <v>59</v>
      </c>
      <c r="E730" s="34" t="s">
        <v>6</v>
      </c>
      <c r="F730" s="34" t="s">
        <v>9</v>
      </c>
      <c r="G730" s="39" t="s">
        <v>7</v>
      </c>
    </row>
    <row r="731" spans="1:7" x14ac:dyDescent="0.3">
      <c r="A731" s="34">
        <v>730</v>
      </c>
      <c r="B731" s="34">
        <v>24</v>
      </c>
      <c r="C731" s="34">
        <v>1275</v>
      </c>
      <c r="D731" s="34">
        <v>36</v>
      </c>
      <c r="E731" s="34" t="s">
        <v>10</v>
      </c>
      <c r="F731" s="34" t="s">
        <v>4</v>
      </c>
      <c r="G731" s="39" t="s">
        <v>5</v>
      </c>
    </row>
    <row r="732" spans="1:7" x14ac:dyDescent="0.3">
      <c r="A732" s="34">
        <v>731</v>
      </c>
      <c r="B732" s="34">
        <v>24</v>
      </c>
      <c r="C732" s="34">
        <v>6403</v>
      </c>
      <c r="D732" s="34">
        <v>33</v>
      </c>
      <c r="E732" s="34" t="s">
        <v>3</v>
      </c>
      <c r="F732" s="34" t="s">
        <v>4</v>
      </c>
      <c r="G732" s="39" t="s">
        <v>5</v>
      </c>
    </row>
    <row r="733" spans="1:7" x14ac:dyDescent="0.3">
      <c r="A733" s="34">
        <v>732</v>
      </c>
      <c r="B733" s="34">
        <v>24</v>
      </c>
      <c r="C733" s="34">
        <v>1987</v>
      </c>
      <c r="D733" s="34">
        <v>21</v>
      </c>
      <c r="E733" s="34" t="s">
        <v>3</v>
      </c>
      <c r="F733" s="34" t="s">
        <v>9</v>
      </c>
      <c r="G733" s="39" t="s">
        <v>7</v>
      </c>
    </row>
    <row r="734" spans="1:7" x14ac:dyDescent="0.3">
      <c r="A734" s="34">
        <v>733</v>
      </c>
      <c r="B734" s="34">
        <v>8</v>
      </c>
      <c r="C734" s="34">
        <v>760</v>
      </c>
      <c r="D734" s="34">
        <v>44</v>
      </c>
      <c r="E734" s="34" t="s">
        <v>6</v>
      </c>
      <c r="F734" s="34" t="s">
        <v>4</v>
      </c>
      <c r="G734" s="39" t="s">
        <v>5</v>
      </c>
    </row>
    <row r="735" spans="1:7" x14ac:dyDescent="0.3">
      <c r="A735" s="34">
        <v>734</v>
      </c>
      <c r="B735" s="34">
        <v>24</v>
      </c>
      <c r="C735" s="34">
        <v>2603</v>
      </c>
      <c r="D735" s="34">
        <v>28</v>
      </c>
      <c r="E735" s="34" t="s">
        <v>6</v>
      </c>
      <c r="F735" s="34" t="s">
        <v>9</v>
      </c>
      <c r="G735" s="39" t="s">
        <v>5</v>
      </c>
    </row>
    <row r="736" spans="1:7" x14ac:dyDescent="0.3">
      <c r="A736" s="34">
        <v>735</v>
      </c>
      <c r="B736" s="34">
        <v>4</v>
      </c>
      <c r="C736" s="34">
        <v>3380</v>
      </c>
      <c r="D736" s="34">
        <v>37</v>
      </c>
      <c r="E736" s="34" t="s">
        <v>6</v>
      </c>
      <c r="F736" s="34" t="s">
        <v>4</v>
      </c>
      <c r="G736" s="39" t="s">
        <v>5</v>
      </c>
    </row>
    <row r="737" spans="1:7" x14ac:dyDescent="0.3">
      <c r="A737" s="34">
        <v>736</v>
      </c>
      <c r="B737" s="34">
        <v>36</v>
      </c>
      <c r="C737" s="34">
        <v>3990</v>
      </c>
      <c r="D737" s="34">
        <v>29</v>
      </c>
      <c r="E737" s="34" t="s">
        <v>6</v>
      </c>
      <c r="F737" s="34" t="s">
        <v>4</v>
      </c>
      <c r="G737" s="39" t="s">
        <v>5</v>
      </c>
    </row>
    <row r="738" spans="1:7" x14ac:dyDescent="0.3">
      <c r="A738" s="34">
        <v>737</v>
      </c>
      <c r="B738" s="34">
        <v>24</v>
      </c>
      <c r="C738" s="34">
        <v>11560</v>
      </c>
      <c r="D738" s="34">
        <v>23</v>
      </c>
      <c r="E738" s="34" t="s">
        <v>6</v>
      </c>
      <c r="F738" s="34" t="s">
        <v>9</v>
      </c>
      <c r="G738" s="39" t="s">
        <v>7</v>
      </c>
    </row>
    <row r="739" spans="1:7" x14ac:dyDescent="0.3">
      <c r="A739" s="34">
        <v>738</v>
      </c>
      <c r="B739" s="34">
        <v>18</v>
      </c>
      <c r="C739" s="34">
        <v>4380</v>
      </c>
      <c r="D739" s="34">
        <v>35</v>
      </c>
      <c r="E739" s="34" t="s">
        <v>3</v>
      </c>
      <c r="F739" s="34" t="s">
        <v>4</v>
      </c>
      <c r="G739" s="39" t="s">
        <v>5</v>
      </c>
    </row>
    <row r="740" spans="1:7" x14ac:dyDescent="0.3">
      <c r="A740" s="34">
        <v>739</v>
      </c>
      <c r="B740" s="34">
        <v>6</v>
      </c>
      <c r="C740" s="34">
        <v>6761</v>
      </c>
      <c r="D740" s="34">
        <v>45</v>
      </c>
      <c r="E740" s="34" t="s">
        <v>3</v>
      </c>
      <c r="F740" s="34" t="s">
        <v>4</v>
      </c>
      <c r="G740" s="39" t="s">
        <v>5</v>
      </c>
    </row>
    <row r="741" spans="1:7" x14ac:dyDescent="0.3">
      <c r="A741" s="34">
        <v>740</v>
      </c>
      <c r="B741" s="34">
        <v>30</v>
      </c>
      <c r="C741" s="34">
        <v>4280</v>
      </c>
      <c r="D741" s="34">
        <v>26</v>
      </c>
      <c r="E741" s="34" t="s">
        <v>6</v>
      </c>
      <c r="F741" s="34" t="s">
        <v>9</v>
      </c>
      <c r="G741" s="39" t="s">
        <v>7</v>
      </c>
    </row>
    <row r="742" spans="1:7" x14ac:dyDescent="0.3">
      <c r="A742" s="34">
        <v>741</v>
      </c>
      <c r="B742" s="34">
        <v>24</v>
      </c>
      <c r="C742" s="34">
        <v>2325</v>
      </c>
      <c r="D742" s="34">
        <v>32</v>
      </c>
      <c r="E742" s="34" t="s">
        <v>3</v>
      </c>
      <c r="F742" s="34" t="s">
        <v>4</v>
      </c>
      <c r="G742" s="39" t="s">
        <v>5</v>
      </c>
    </row>
    <row r="743" spans="1:7" x14ac:dyDescent="0.3">
      <c r="A743" s="34">
        <v>742</v>
      </c>
      <c r="B743" s="34">
        <v>10</v>
      </c>
      <c r="C743" s="34">
        <v>1048</v>
      </c>
      <c r="D743" s="34">
        <v>23</v>
      </c>
      <c r="E743" s="34" t="s">
        <v>3</v>
      </c>
      <c r="F743" s="34" t="s">
        <v>4</v>
      </c>
      <c r="G743" s="39" t="s">
        <v>5</v>
      </c>
    </row>
    <row r="744" spans="1:7" x14ac:dyDescent="0.3">
      <c r="A744" s="34">
        <v>743</v>
      </c>
      <c r="B744" s="34">
        <v>21</v>
      </c>
      <c r="C744" s="34">
        <v>3160</v>
      </c>
      <c r="D744" s="34">
        <v>41</v>
      </c>
      <c r="E744" s="34" t="s">
        <v>3</v>
      </c>
      <c r="F744" s="34" t="s">
        <v>4</v>
      </c>
      <c r="G744" s="39" t="s">
        <v>5</v>
      </c>
    </row>
    <row r="745" spans="1:7" x14ac:dyDescent="0.3">
      <c r="A745" s="34">
        <v>744</v>
      </c>
      <c r="B745" s="34">
        <v>24</v>
      </c>
      <c r="C745" s="34">
        <v>2483</v>
      </c>
      <c r="D745" s="34">
        <v>22</v>
      </c>
      <c r="E745" s="34" t="s">
        <v>3</v>
      </c>
      <c r="F745" s="34" t="s">
        <v>4</v>
      </c>
      <c r="G745" s="39" t="s">
        <v>5</v>
      </c>
    </row>
    <row r="746" spans="1:7" x14ac:dyDescent="0.3">
      <c r="A746" s="34">
        <v>745</v>
      </c>
      <c r="B746" s="34">
        <v>39</v>
      </c>
      <c r="C746" s="34">
        <v>14179</v>
      </c>
      <c r="D746" s="34">
        <v>30</v>
      </c>
      <c r="E746" s="34" t="s">
        <v>3</v>
      </c>
      <c r="F746" s="34" t="s">
        <v>4</v>
      </c>
      <c r="G746" s="39" t="s">
        <v>5</v>
      </c>
    </row>
    <row r="747" spans="1:7" x14ac:dyDescent="0.3">
      <c r="A747" s="34">
        <v>746</v>
      </c>
      <c r="B747" s="34">
        <v>13</v>
      </c>
      <c r="C747" s="34">
        <v>1797</v>
      </c>
      <c r="D747" s="34">
        <v>28</v>
      </c>
      <c r="E747" s="34" t="s">
        <v>3</v>
      </c>
      <c r="F747" s="34" t="s">
        <v>4</v>
      </c>
      <c r="G747" s="39" t="s">
        <v>5</v>
      </c>
    </row>
    <row r="748" spans="1:7" x14ac:dyDescent="0.3">
      <c r="A748" s="34">
        <v>747</v>
      </c>
      <c r="B748" s="34">
        <v>15</v>
      </c>
      <c r="C748" s="34">
        <v>2511</v>
      </c>
      <c r="D748" s="34">
        <v>23</v>
      </c>
      <c r="E748" s="34" t="s">
        <v>6</v>
      </c>
      <c r="F748" s="34" t="s">
        <v>9</v>
      </c>
      <c r="G748" s="39" t="s">
        <v>5</v>
      </c>
    </row>
    <row r="749" spans="1:7" x14ac:dyDescent="0.3">
      <c r="A749" s="34">
        <v>748</v>
      </c>
      <c r="B749" s="34">
        <v>12</v>
      </c>
      <c r="C749" s="34">
        <v>1274</v>
      </c>
      <c r="D749" s="34">
        <v>37</v>
      </c>
      <c r="E749" s="34" t="s">
        <v>6</v>
      </c>
      <c r="F749" s="34" t="s">
        <v>4</v>
      </c>
      <c r="G749" s="39" t="s">
        <v>7</v>
      </c>
    </row>
    <row r="750" spans="1:7" x14ac:dyDescent="0.3">
      <c r="A750" s="34">
        <v>749</v>
      </c>
      <c r="B750" s="34">
        <v>21</v>
      </c>
      <c r="C750" s="34">
        <v>5248</v>
      </c>
      <c r="D750" s="34">
        <v>26</v>
      </c>
      <c r="E750" s="34" t="s">
        <v>3</v>
      </c>
      <c r="F750" s="34" t="s">
        <v>4</v>
      </c>
      <c r="G750" s="39" t="s">
        <v>5</v>
      </c>
    </row>
    <row r="751" spans="1:7" x14ac:dyDescent="0.3">
      <c r="A751" s="34">
        <v>750</v>
      </c>
      <c r="B751" s="34">
        <v>15</v>
      </c>
      <c r="C751" s="34">
        <v>3029</v>
      </c>
      <c r="D751" s="34">
        <v>33</v>
      </c>
      <c r="E751" s="34" t="s">
        <v>3</v>
      </c>
      <c r="F751" s="34" t="s">
        <v>4</v>
      </c>
      <c r="G751" s="39" t="s">
        <v>5</v>
      </c>
    </row>
    <row r="752" spans="1:7" x14ac:dyDescent="0.3">
      <c r="A752" s="34">
        <v>751</v>
      </c>
      <c r="B752" s="34">
        <v>6</v>
      </c>
      <c r="C752" s="34">
        <v>428</v>
      </c>
      <c r="D752" s="34">
        <v>49</v>
      </c>
      <c r="E752" s="34" t="s">
        <v>6</v>
      </c>
      <c r="F752" s="34" t="s">
        <v>4</v>
      </c>
      <c r="G752" s="39" t="s">
        <v>5</v>
      </c>
    </row>
    <row r="753" spans="1:7" x14ac:dyDescent="0.3">
      <c r="A753" s="34">
        <v>752</v>
      </c>
      <c r="B753" s="34">
        <v>18</v>
      </c>
      <c r="C753" s="34">
        <v>976</v>
      </c>
      <c r="D753" s="34">
        <v>23</v>
      </c>
      <c r="E753" s="34" t="s">
        <v>6</v>
      </c>
      <c r="F753" s="34" t="s">
        <v>4</v>
      </c>
      <c r="G753" s="39" t="s">
        <v>7</v>
      </c>
    </row>
    <row r="754" spans="1:7" x14ac:dyDescent="0.3">
      <c r="A754" s="34">
        <v>753</v>
      </c>
      <c r="B754" s="34">
        <v>12</v>
      </c>
      <c r="C754" s="34">
        <v>841</v>
      </c>
      <c r="D754" s="34">
        <v>23</v>
      </c>
      <c r="E754" s="34" t="s">
        <v>6</v>
      </c>
      <c r="F754" s="34" t="s">
        <v>9</v>
      </c>
      <c r="G754" s="39" t="s">
        <v>5</v>
      </c>
    </row>
    <row r="755" spans="1:7" x14ac:dyDescent="0.3">
      <c r="A755" s="34">
        <v>754</v>
      </c>
      <c r="B755" s="34">
        <v>30</v>
      </c>
      <c r="C755" s="34">
        <v>5771</v>
      </c>
      <c r="D755" s="34">
        <v>25</v>
      </c>
      <c r="E755" s="34" t="s">
        <v>6</v>
      </c>
      <c r="F755" s="34" t="s">
        <v>4</v>
      </c>
      <c r="G755" s="39" t="s">
        <v>5</v>
      </c>
    </row>
    <row r="756" spans="1:7" x14ac:dyDescent="0.3">
      <c r="A756" s="34">
        <v>755</v>
      </c>
      <c r="B756" s="34">
        <v>12</v>
      </c>
      <c r="C756" s="34">
        <v>1555</v>
      </c>
      <c r="D756" s="34">
        <v>55</v>
      </c>
      <c r="E756" s="34" t="s">
        <v>3</v>
      </c>
      <c r="F756" s="34" t="s">
        <v>8</v>
      </c>
      <c r="G756" s="39" t="s">
        <v>7</v>
      </c>
    </row>
    <row r="757" spans="1:7" x14ac:dyDescent="0.3">
      <c r="A757" s="34">
        <v>756</v>
      </c>
      <c r="B757" s="34">
        <v>24</v>
      </c>
      <c r="C757" s="34">
        <v>1285</v>
      </c>
      <c r="D757" s="34">
        <v>32</v>
      </c>
      <c r="E757" s="34" t="s">
        <v>6</v>
      </c>
      <c r="F757" s="34" t="s">
        <v>9</v>
      </c>
      <c r="G757" s="39" t="s">
        <v>7</v>
      </c>
    </row>
    <row r="758" spans="1:7" x14ac:dyDescent="0.3">
      <c r="A758" s="34">
        <v>757</v>
      </c>
      <c r="B758" s="34">
        <v>6</v>
      </c>
      <c r="C758" s="34">
        <v>1299</v>
      </c>
      <c r="D758" s="34">
        <v>74</v>
      </c>
      <c r="E758" s="34" t="s">
        <v>3</v>
      </c>
      <c r="F758" s="34" t="s">
        <v>4</v>
      </c>
      <c r="G758" s="39" t="s">
        <v>5</v>
      </c>
    </row>
    <row r="759" spans="1:7" x14ac:dyDescent="0.3">
      <c r="A759" s="34">
        <v>758</v>
      </c>
      <c r="B759" s="34">
        <v>15</v>
      </c>
      <c r="C759" s="34">
        <v>1271</v>
      </c>
      <c r="D759" s="34">
        <v>39</v>
      </c>
      <c r="E759" s="34" t="s">
        <v>3</v>
      </c>
      <c r="F759" s="34" t="s">
        <v>8</v>
      </c>
      <c r="G759" s="39" t="s">
        <v>7</v>
      </c>
    </row>
    <row r="760" spans="1:7" x14ac:dyDescent="0.3">
      <c r="A760" s="34">
        <v>759</v>
      </c>
      <c r="B760" s="34">
        <v>24</v>
      </c>
      <c r="C760" s="34">
        <v>1393</v>
      </c>
      <c r="D760" s="34">
        <v>31</v>
      </c>
      <c r="E760" s="34" t="s">
        <v>3</v>
      </c>
      <c r="F760" s="34" t="s">
        <v>4</v>
      </c>
      <c r="G760" s="39" t="s">
        <v>5</v>
      </c>
    </row>
    <row r="761" spans="1:7" x14ac:dyDescent="0.3">
      <c r="A761" s="34">
        <v>760</v>
      </c>
      <c r="B761" s="34">
        <v>12</v>
      </c>
      <c r="C761" s="34">
        <v>691</v>
      </c>
      <c r="D761" s="34">
        <v>35</v>
      </c>
      <c r="E761" s="34" t="s">
        <v>3</v>
      </c>
      <c r="F761" s="34" t="s">
        <v>4</v>
      </c>
      <c r="G761" s="39" t="s">
        <v>7</v>
      </c>
    </row>
    <row r="762" spans="1:7" x14ac:dyDescent="0.3">
      <c r="A762" s="34">
        <v>761</v>
      </c>
      <c r="B762" s="34">
        <v>15</v>
      </c>
      <c r="C762" s="34">
        <v>5045</v>
      </c>
      <c r="D762" s="34">
        <v>59</v>
      </c>
      <c r="E762" s="34" t="s">
        <v>6</v>
      </c>
      <c r="F762" s="34" t="s">
        <v>4</v>
      </c>
      <c r="G762" s="39" t="s">
        <v>5</v>
      </c>
    </row>
    <row r="763" spans="1:7" x14ac:dyDescent="0.3">
      <c r="A763" s="34">
        <v>762</v>
      </c>
      <c r="B763" s="34">
        <v>18</v>
      </c>
      <c r="C763" s="34">
        <v>2124</v>
      </c>
      <c r="D763" s="34">
        <v>24</v>
      </c>
      <c r="E763" s="34" t="s">
        <v>6</v>
      </c>
      <c r="F763" s="34" t="s">
        <v>9</v>
      </c>
      <c r="G763" s="39" t="s">
        <v>7</v>
      </c>
    </row>
    <row r="764" spans="1:7" x14ac:dyDescent="0.3">
      <c r="A764" s="34">
        <v>763</v>
      </c>
      <c r="B764" s="34">
        <v>12</v>
      </c>
      <c r="C764" s="34">
        <v>2214</v>
      </c>
      <c r="D764" s="34">
        <v>24</v>
      </c>
      <c r="E764" s="34" t="s">
        <v>3</v>
      </c>
      <c r="F764" s="34" t="s">
        <v>4</v>
      </c>
      <c r="G764" s="39" t="s">
        <v>5</v>
      </c>
    </row>
    <row r="765" spans="1:7" x14ac:dyDescent="0.3">
      <c r="A765" s="34">
        <v>764</v>
      </c>
      <c r="B765" s="34">
        <v>21</v>
      </c>
      <c r="C765" s="34">
        <v>12680</v>
      </c>
      <c r="D765" s="34">
        <v>30</v>
      </c>
      <c r="E765" s="34" t="s">
        <v>3</v>
      </c>
      <c r="F765" s="34" t="s">
        <v>8</v>
      </c>
      <c r="G765" s="39" t="s">
        <v>7</v>
      </c>
    </row>
    <row r="766" spans="1:7" x14ac:dyDescent="0.3">
      <c r="A766" s="34">
        <v>765</v>
      </c>
      <c r="B766" s="34">
        <v>24</v>
      </c>
      <c r="C766" s="34">
        <v>2463</v>
      </c>
      <c r="D766" s="34">
        <v>27</v>
      </c>
      <c r="E766" s="34" t="s">
        <v>11</v>
      </c>
      <c r="F766" s="34" t="s">
        <v>4</v>
      </c>
      <c r="G766" s="39" t="s">
        <v>5</v>
      </c>
    </row>
    <row r="767" spans="1:7" x14ac:dyDescent="0.3">
      <c r="A767" s="34">
        <v>766</v>
      </c>
      <c r="B767" s="34">
        <v>12</v>
      </c>
      <c r="C767" s="34">
        <v>1155</v>
      </c>
      <c r="D767" s="34">
        <v>40</v>
      </c>
      <c r="E767" s="34" t="s">
        <v>11</v>
      </c>
      <c r="F767" s="34" t="s">
        <v>4</v>
      </c>
      <c r="G767" s="39" t="s">
        <v>5</v>
      </c>
    </row>
    <row r="768" spans="1:7" x14ac:dyDescent="0.3">
      <c r="A768" s="34">
        <v>767</v>
      </c>
      <c r="B768" s="34">
        <v>30</v>
      </c>
      <c r="C768" s="34">
        <v>3108</v>
      </c>
      <c r="D768" s="34">
        <v>31</v>
      </c>
      <c r="E768" s="34" t="s">
        <v>10</v>
      </c>
      <c r="F768" s="34" t="s">
        <v>4</v>
      </c>
      <c r="G768" s="39" t="s">
        <v>7</v>
      </c>
    </row>
    <row r="769" spans="1:7" x14ac:dyDescent="0.3">
      <c r="A769" s="34">
        <v>768</v>
      </c>
      <c r="B769" s="34">
        <v>10</v>
      </c>
      <c r="C769" s="34">
        <v>2901</v>
      </c>
      <c r="D769" s="34">
        <v>31</v>
      </c>
      <c r="E769" s="34" t="s">
        <v>6</v>
      </c>
      <c r="F769" s="34" t="s">
        <v>9</v>
      </c>
      <c r="G769" s="39" t="s">
        <v>5</v>
      </c>
    </row>
    <row r="770" spans="1:7" x14ac:dyDescent="0.3">
      <c r="A770" s="34">
        <v>769</v>
      </c>
      <c r="B770" s="34">
        <v>12</v>
      </c>
      <c r="C770" s="34">
        <v>3617</v>
      </c>
      <c r="D770" s="34">
        <v>28</v>
      </c>
      <c r="E770" s="34" t="s">
        <v>3</v>
      </c>
      <c r="F770" s="34" t="s">
        <v>9</v>
      </c>
      <c r="G770" s="39" t="s">
        <v>5</v>
      </c>
    </row>
    <row r="771" spans="1:7" x14ac:dyDescent="0.3">
      <c r="A771" s="34">
        <v>770</v>
      </c>
      <c r="B771" s="34">
        <v>12</v>
      </c>
      <c r="C771" s="34">
        <v>1655</v>
      </c>
      <c r="D771" s="34">
        <v>63</v>
      </c>
      <c r="E771" s="34" t="s">
        <v>3</v>
      </c>
      <c r="F771" s="34" t="s">
        <v>4</v>
      </c>
      <c r="G771" s="39" t="s">
        <v>5</v>
      </c>
    </row>
    <row r="772" spans="1:7" x14ac:dyDescent="0.3">
      <c r="A772" s="34">
        <v>771</v>
      </c>
      <c r="B772" s="34">
        <v>24</v>
      </c>
      <c r="C772" s="34">
        <v>2812</v>
      </c>
      <c r="D772" s="34">
        <v>26</v>
      </c>
      <c r="E772" s="34" t="s">
        <v>6</v>
      </c>
      <c r="F772" s="34" t="s">
        <v>9</v>
      </c>
      <c r="G772" s="39" t="s">
        <v>5</v>
      </c>
    </row>
    <row r="773" spans="1:7" x14ac:dyDescent="0.3">
      <c r="A773" s="34">
        <v>772</v>
      </c>
      <c r="B773" s="34">
        <v>36</v>
      </c>
      <c r="C773" s="34">
        <v>8065</v>
      </c>
      <c r="D773" s="34">
        <v>25</v>
      </c>
      <c r="E773" s="34" t="s">
        <v>6</v>
      </c>
      <c r="F773" s="34" t="s">
        <v>4</v>
      </c>
      <c r="G773" s="39" t="s">
        <v>7</v>
      </c>
    </row>
    <row r="774" spans="1:7" x14ac:dyDescent="0.3">
      <c r="A774" s="34">
        <v>773</v>
      </c>
      <c r="B774" s="34">
        <v>21</v>
      </c>
      <c r="C774" s="34">
        <v>3275</v>
      </c>
      <c r="D774" s="34">
        <v>36</v>
      </c>
      <c r="E774" s="34" t="s">
        <v>3</v>
      </c>
      <c r="F774" s="34" t="s">
        <v>4</v>
      </c>
      <c r="G774" s="39" t="s">
        <v>5</v>
      </c>
    </row>
    <row r="775" spans="1:7" x14ac:dyDescent="0.3">
      <c r="A775" s="34">
        <v>774</v>
      </c>
      <c r="B775" s="34">
        <v>24</v>
      </c>
      <c r="C775" s="34">
        <v>2223</v>
      </c>
      <c r="D775" s="34">
        <v>52</v>
      </c>
      <c r="E775" s="34" t="s">
        <v>3</v>
      </c>
      <c r="F775" s="34" t="s">
        <v>4</v>
      </c>
      <c r="G775" s="39" t="s">
        <v>5</v>
      </c>
    </row>
    <row r="776" spans="1:7" x14ac:dyDescent="0.3">
      <c r="A776" s="34">
        <v>775</v>
      </c>
      <c r="B776" s="34">
        <v>12</v>
      </c>
      <c r="C776" s="34">
        <v>1480</v>
      </c>
      <c r="D776" s="34">
        <v>66</v>
      </c>
      <c r="E776" s="34" t="s">
        <v>3</v>
      </c>
      <c r="F776" s="34" t="s">
        <v>8</v>
      </c>
      <c r="G776" s="39" t="s">
        <v>5</v>
      </c>
    </row>
    <row r="777" spans="1:7" x14ac:dyDescent="0.3">
      <c r="A777" s="34">
        <v>776</v>
      </c>
      <c r="B777" s="34">
        <v>24</v>
      </c>
      <c r="C777" s="34">
        <v>1371</v>
      </c>
      <c r="D777" s="34">
        <v>25</v>
      </c>
      <c r="E777" s="34" t="s">
        <v>6</v>
      </c>
      <c r="F777" s="34" t="s">
        <v>9</v>
      </c>
      <c r="G777" s="39" t="s">
        <v>7</v>
      </c>
    </row>
    <row r="778" spans="1:7" x14ac:dyDescent="0.3">
      <c r="A778" s="34">
        <v>777</v>
      </c>
      <c r="B778" s="34">
        <v>36</v>
      </c>
      <c r="C778" s="34">
        <v>3535</v>
      </c>
      <c r="D778" s="34">
        <v>37</v>
      </c>
      <c r="E778" s="34" t="s">
        <v>3</v>
      </c>
      <c r="F778" s="34" t="s">
        <v>4</v>
      </c>
      <c r="G778" s="39" t="s">
        <v>5</v>
      </c>
    </row>
    <row r="779" spans="1:7" x14ac:dyDescent="0.3">
      <c r="A779" s="34">
        <v>778</v>
      </c>
      <c r="B779" s="34">
        <v>18</v>
      </c>
      <c r="C779" s="34">
        <v>3509</v>
      </c>
      <c r="D779" s="34">
        <v>25</v>
      </c>
      <c r="E779" s="34" t="s">
        <v>6</v>
      </c>
      <c r="F779" s="34" t="s">
        <v>4</v>
      </c>
      <c r="G779" s="39" t="s">
        <v>5</v>
      </c>
    </row>
    <row r="780" spans="1:7" x14ac:dyDescent="0.3">
      <c r="A780" s="34">
        <v>779</v>
      </c>
      <c r="B780" s="34">
        <v>36</v>
      </c>
      <c r="C780" s="34">
        <v>5711</v>
      </c>
      <c r="D780" s="34">
        <v>38</v>
      </c>
      <c r="E780" s="34" t="s">
        <v>3</v>
      </c>
      <c r="F780" s="34" t="s">
        <v>4</v>
      </c>
      <c r="G780" s="39" t="s">
        <v>5</v>
      </c>
    </row>
    <row r="781" spans="1:7" x14ac:dyDescent="0.3">
      <c r="A781" s="34">
        <v>780</v>
      </c>
      <c r="B781" s="34">
        <v>18</v>
      </c>
      <c r="C781" s="34">
        <v>3872</v>
      </c>
      <c r="D781" s="34">
        <v>67</v>
      </c>
      <c r="E781" s="34" t="s">
        <v>6</v>
      </c>
      <c r="F781" s="34" t="s">
        <v>4</v>
      </c>
      <c r="G781" s="39" t="s">
        <v>5</v>
      </c>
    </row>
    <row r="782" spans="1:7" x14ac:dyDescent="0.3">
      <c r="A782" s="34">
        <v>781</v>
      </c>
      <c r="B782" s="34">
        <v>39</v>
      </c>
      <c r="C782" s="34">
        <v>4933</v>
      </c>
      <c r="D782" s="34">
        <v>25</v>
      </c>
      <c r="E782" s="34" t="s">
        <v>3</v>
      </c>
      <c r="F782" s="34" t="s">
        <v>4</v>
      </c>
      <c r="G782" s="39" t="s">
        <v>7</v>
      </c>
    </row>
    <row r="783" spans="1:7" x14ac:dyDescent="0.3">
      <c r="A783" s="34">
        <v>782</v>
      </c>
      <c r="B783" s="34">
        <v>24</v>
      </c>
      <c r="C783" s="34">
        <v>1940</v>
      </c>
      <c r="D783" s="34">
        <v>60</v>
      </c>
      <c r="E783" s="34" t="s">
        <v>3</v>
      </c>
      <c r="F783" s="34" t="s">
        <v>4</v>
      </c>
      <c r="G783" s="39" t="s">
        <v>5</v>
      </c>
    </row>
    <row r="784" spans="1:7" x14ac:dyDescent="0.3">
      <c r="A784" s="34">
        <v>783</v>
      </c>
      <c r="B784" s="34">
        <v>12</v>
      </c>
      <c r="C784" s="34">
        <v>1410</v>
      </c>
      <c r="D784" s="34">
        <v>31</v>
      </c>
      <c r="E784" s="34" t="s">
        <v>3</v>
      </c>
      <c r="F784" s="34" t="s">
        <v>4</v>
      </c>
      <c r="G784" s="39" t="s">
        <v>5</v>
      </c>
    </row>
    <row r="785" spans="1:7" x14ac:dyDescent="0.3">
      <c r="A785" s="34">
        <v>784</v>
      </c>
      <c r="B785" s="34">
        <v>12</v>
      </c>
      <c r="C785" s="34">
        <v>836</v>
      </c>
      <c r="D785" s="34">
        <v>23</v>
      </c>
      <c r="E785" s="34" t="s">
        <v>6</v>
      </c>
      <c r="F785" s="34" t="s">
        <v>4</v>
      </c>
      <c r="G785" s="39" t="s">
        <v>7</v>
      </c>
    </row>
    <row r="786" spans="1:7" x14ac:dyDescent="0.3">
      <c r="A786" s="34">
        <v>785</v>
      </c>
      <c r="B786" s="34">
        <v>20</v>
      </c>
      <c r="C786" s="34">
        <v>6468</v>
      </c>
      <c r="D786" s="34">
        <v>60</v>
      </c>
      <c r="E786" s="34" t="s">
        <v>10</v>
      </c>
      <c r="F786" s="34" t="s">
        <v>4</v>
      </c>
      <c r="G786" s="39" t="s">
        <v>5</v>
      </c>
    </row>
    <row r="787" spans="1:7" x14ac:dyDescent="0.3">
      <c r="A787" s="34">
        <v>786</v>
      </c>
      <c r="B787" s="34">
        <v>18</v>
      </c>
      <c r="C787" s="34">
        <v>1941</v>
      </c>
      <c r="D787" s="34">
        <v>35</v>
      </c>
      <c r="E787" s="34" t="s">
        <v>3</v>
      </c>
      <c r="F787" s="34" t="s">
        <v>4</v>
      </c>
      <c r="G787" s="39" t="s">
        <v>5</v>
      </c>
    </row>
    <row r="788" spans="1:7" x14ac:dyDescent="0.3">
      <c r="A788" s="34">
        <v>787</v>
      </c>
      <c r="B788" s="34">
        <v>22</v>
      </c>
      <c r="C788" s="34">
        <v>2675</v>
      </c>
      <c r="D788" s="34">
        <v>40</v>
      </c>
      <c r="E788" s="34" t="s">
        <v>3</v>
      </c>
      <c r="F788" s="34" t="s">
        <v>4</v>
      </c>
      <c r="G788" s="39" t="s">
        <v>5</v>
      </c>
    </row>
    <row r="789" spans="1:7" x14ac:dyDescent="0.3">
      <c r="A789" s="34">
        <v>788</v>
      </c>
      <c r="B789" s="34">
        <v>48</v>
      </c>
      <c r="C789" s="34">
        <v>2751</v>
      </c>
      <c r="D789" s="34">
        <v>38</v>
      </c>
      <c r="E789" s="34" t="s">
        <v>3</v>
      </c>
      <c r="F789" s="34" t="s">
        <v>4</v>
      </c>
      <c r="G789" s="39" t="s">
        <v>5</v>
      </c>
    </row>
    <row r="790" spans="1:7" x14ac:dyDescent="0.3">
      <c r="A790" s="34">
        <v>789</v>
      </c>
      <c r="B790" s="34">
        <v>48</v>
      </c>
      <c r="C790" s="34">
        <v>6224</v>
      </c>
      <c r="D790" s="34">
        <v>50</v>
      </c>
      <c r="E790" s="34" t="s">
        <v>3</v>
      </c>
      <c r="F790" s="34" t="s">
        <v>8</v>
      </c>
      <c r="G790" s="39" t="s">
        <v>7</v>
      </c>
    </row>
    <row r="791" spans="1:7" x14ac:dyDescent="0.3">
      <c r="A791" s="34">
        <v>790</v>
      </c>
      <c r="B791" s="34">
        <v>40</v>
      </c>
      <c r="C791" s="34">
        <v>5998</v>
      </c>
      <c r="D791" s="34">
        <v>27</v>
      </c>
      <c r="E791" s="34" t="s">
        <v>3</v>
      </c>
      <c r="F791" s="34" t="s">
        <v>4</v>
      </c>
      <c r="G791" s="39" t="s">
        <v>7</v>
      </c>
    </row>
    <row r="792" spans="1:7" x14ac:dyDescent="0.3">
      <c r="A792" s="34">
        <v>791</v>
      </c>
      <c r="B792" s="34">
        <v>21</v>
      </c>
      <c r="C792" s="34">
        <v>1188</v>
      </c>
      <c r="D792" s="34">
        <v>39</v>
      </c>
      <c r="E792" s="34" t="s">
        <v>6</v>
      </c>
      <c r="F792" s="34" t="s">
        <v>4</v>
      </c>
      <c r="G792" s="39" t="s">
        <v>7</v>
      </c>
    </row>
    <row r="793" spans="1:7" x14ac:dyDescent="0.3">
      <c r="A793" s="34">
        <v>792</v>
      </c>
      <c r="B793" s="34">
        <v>24</v>
      </c>
      <c r="C793" s="34">
        <v>6313</v>
      </c>
      <c r="D793" s="34">
        <v>41</v>
      </c>
      <c r="E793" s="34" t="s">
        <v>3</v>
      </c>
      <c r="F793" s="34" t="s">
        <v>4</v>
      </c>
      <c r="G793" s="39" t="s">
        <v>5</v>
      </c>
    </row>
    <row r="794" spans="1:7" x14ac:dyDescent="0.3">
      <c r="A794" s="34">
        <v>793</v>
      </c>
      <c r="B794" s="34">
        <v>6</v>
      </c>
      <c r="C794" s="34">
        <v>1221</v>
      </c>
      <c r="D794" s="34">
        <v>27</v>
      </c>
      <c r="E794" s="34" t="s">
        <v>11</v>
      </c>
      <c r="F794" s="34" t="s">
        <v>4</v>
      </c>
      <c r="G794" s="39" t="s">
        <v>5</v>
      </c>
    </row>
    <row r="795" spans="1:7" x14ac:dyDescent="0.3">
      <c r="A795" s="34">
        <v>794</v>
      </c>
      <c r="B795" s="34">
        <v>24</v>
      </c>
      <c r="C795" s="34">
        <v>2892</v>
      </c>
      <c r="D795" s="34">
        <v>51</v>
      </c>
      <c r="E795" s="34" t="s">
        <v>10</v>
      </c>
      <c r="F795" s="34" t="s">
        <v>8</v>
      </c>
      <c r="G795" s="39" t="s">
        <v>5</v>
      </c>
    </row>
    <row r="796" spans="1:7" x14ac:dyDescent="0.3">
      <c r="A796" s="34">
        <v>795</v>
      </c>
      <c r="B796" s="34">
        <v>24</v>
      </c>
      <c r="C796" s="34">
        <v>3062</v>
      </c>
      <c r="D796" s="34">
        <v>32</v>
      </c>
      <c r="E796" s="34" t="s">
        <v>3</v>
      </c>
      <c r="F796" s="34" t="s">
        <v>9</v>
      </c>
      <c r="G796" s="39" t="s">
        <v>5</v>
      </c>
    </row>
    <row r="797" spans="1:7" x14ac:dyDescent="0.3">
      <c r="A797" s="34">
        <v>796</v>
      </c>
      <c r="B797" s="34">
        <v>9</v>
      </c>
      <c r="C797" s="34">
        <v>2301</v>
      </c>
      <c r="D797" s="34">
        <v>22</v>
      </c>
      <c r="E797" s="34" t="s">
        <v>6</v>
      </c>
      <c r="F797" s="34" t="s">
        <v>9</v>
      </c>
      <c r="G797" s="39" t="s">
        <v>5</v>
      </c>
    </row>
    <row r="798" spans="1:7" x14ac:dyDescent="0.3">
      <c r="A798" s="34">
        <v>797</v>
      </c>
      <c r="B798" s="34">
        <v>18</v>
      </c>
      <c r="C798" s="34">
        <v>7511</v>
      </c>
      <c r="D798" s="34">
        <v>51</v>
      </c>
      <c r="E798" s="34" t="s">
        <v>3</v>
      </c>
      <c r="F798" s="34" t="s">
        <v>8</v>
      </c>
      <c r="G798" s="39" t="s">
        <v>7</v>
      </c>
    </row>
    <row r="799" spans="1:7" x14ac:dyDescent="0.3">
      <c r="A799" s="34">
        <v>798</v>
      </c>
      <c r="B799" s="34">
        <v>12</v>
      </c>
      <c r="C799" s="34">
        <v>1258</v>
      </c>
      <c r="D799" s="34">
        <v>22</v>
      </c>
      <c r="E799" s="34" t="s">
        <v>6</v>
      </c>
      <c r="F799" s="34" t="s">
        <v>9</v>
      </c>
      <c r="G799" s="39" t="s">
        <v>5</v>
      </c>
    </row>
    <row r="800" spans="1:7" x14ac:dyDescent="0.3">
      <c r="A800" s="34">
        <v>799</v>
      </c>
      <c r="B800" s="34">
        <v>24</v>
      </c>
      <c r="C800" s="34">
        <v>717</v>
      </c>
      <c r="D800" s="34">
        <v>54</v>
      </c>
      <c r="E800" s="34" t="s">
        <v>11</v>
      </c>
      <c r="F800" s="34" t="s">
        <v>4</v>
      </c>
      <c r="G800" s="39" t="s">
        <v>5</v>
      </c>
    </row>
    <row r="801" spans="1:7" x14ac:dyDescent="0.3">
      <c r="A801" s="34">
        <v>800</v>
      </c>
      <c r="B801" s="34">
        <v>9</v>
      </c>
      <c r="C801" s="34">
        <v>1549</v>
      </c>
      <c r="D801" s="34">
        <v>35</v>
      </c>
      <c r="E801" s="34" t="s">
        <v>3</v>
      </c>
      <c r="F801" s="34" t="s">
        <v>4</v>
      </c>
      <c r="G801" s="39" t="s">
        <v>5</v>
      </c>
    </row>
    <row r="802" spans="1:7" x14ac:dyDescent="0.3">
      <c r="A802" s="34">
        <v>801</v>
      </c>
      <c r="B802" s="34">
        <v>24</v>
      </c>
      <c r="C802" s="34">
        <v>1597</v>
      </c>
      <c r="D802" s="34">
        <v>54</v>
      </c>
      <c r="E802" s="34" t="s">
        <v>3</v>
      </c>
      <c r="F802" s="34" t="s">
        <v>8</v>
      </c>
      <c r="G802" s="39" t="s">
        <v>5</v>
      </c>
    </row>
    <row r="803" spans="1:7" x14ac:dyDescent="0.3">
      <c r="A803" s="34">
        <v>802</v>
      </c>
      <c r="B803" s="34">
        <v>18</v>
      </c>
      <c r="C803" s="34">
        <v>1795</v>
      </c>
      <c r="D803" s="34">
        <v>48</v>
      </c>
      <c r="E803" s="34" t="s">
        <v>6</v>
      </c>
      <c r="F803" s="34" t="s">
        <v>9</v>
      </c>
      <c r="G803" s="39" t="s">
        <v>5</v>
      </c>
    </row>
    <row r="804" spans="1:7" x14ac:dyDescent="0.3">
      <c r="A804" s="34">
        <v>803</v>
      </c>
      <c r="B804" s="34">
        <v>20</v>
      </c>
      <c r="C804" s="34">
        <v>4272</v>
      </c>
      <c r="D804" s="34">
        <v>24</v>
      </c>
      <c r="E804" s="34" t="s">
        <v>6</v>
      </c>
      <c r="F804" s="34" t="s">
        <v>4</v>
      </c>
      <c r="G804" s="39" t="s">
        <v>5</v>
      </c>
    </row>
    <row r="805" spans="1:7" x14ac:dyDescent="0.3">
      <c r="A805" s="34">
        <v>804</v>
      </c>
      <c r="B805" s="34">
        <v>12</v>
      </c>
      <c r="C805" s="34">
        <v>976</v>
      </c>
      <c r="D805" s="34">
        <v>35</v>
      </c>
      <c r="E805" s="34" t="s">
        <v>3</v>
      </c>
      <c r="F805" s="34" t="s">
        <v>4</v>
      </c>
      <c r="G805" s="39" t="s">
        <v>5</v>
      </c>
    </row>
    <row r="806" spans="1:7" x14ac:dyDescent="0.3">
      <c r="A806" s="34">
        <v>805</v>
      </c>
      <c r="B806" s="34">
        <v>12</v>
      </c>
      <c r="C806" s="34">
        <v>7472</v>
      </c>
      <c r="D806" s="34">
        <v>24</v>
      </c>
      <c r="E806" s="34" t="s">
        <v>6</v>
      </c>
      <c r="F806" s="34" t="s">
        <v>9</v>
      </c>
      <c r="G806" s="39" t="s">
        <v>5</v>
      </c>
    </row>
    <row r="807" spans="1:7" x14ac:dyDescent="0.3">
      <c r="A807" s="34">
        <v>806</v>
      </c>
      <c r="B807" s="34">
        <v>36</v>
      </c>
      <c r="C807" s="34">
        <v>9271</v>
      </c>
      <c r="D807" s="34">
        <v>24</v>
      </c>
      <c r="E807" s="34" t="s">
        <v>3</v>
      </c>
      <c r="F807" s="34" t="s">
        <v>4</v>
      </c>
      <c r="G807" s="39" t="s">
        <v>7</v>
      </c>
    </row>
    <row r="808" spans="1:7" x14ac:dyDescent="0.3">
      <c r="A808" s="34">
        <v>807</v>
      </c>
      <c r="B808" s="34">
        <v>6</v>
      </c>
      <c r="C808" s="34">
        <v>590</v>
      </c>
      <c r="D808" s="34">
        <v>26</v>
      </c>
      <c r="E808" s="34" t="s">
        <v>11</v>
      </c>
      <c r="F808" s="34" t="s">
        <v>4</v>
      </c>
      <c r="G808" s="39" t="s">
        <v>5</v>
      </c>
    </row>
    <row r="809" spans="1:7" x14ac:dyDescent="0.3">
      <c r="A809" s="34">
        <v>808</v>
      </c>
      <c r="B809" s="34">
        <v>12</v>
      </c>
      <c r="C809" s="34">
        <v>930</v>
      </c>
      <c r="D809" s="34">
        <v>65</v>
      </c>
      <c r="E809" s="34" t="s">
        <v>3</v>
      </c>
      <c r="F809" s="34" t="s">
        <v>4</v>
      </c>
      <c r="G809" s="39" t="s">
        <v>5</v>
      </c>
    </row>
    <row r="810" spans="1:7" x14ac:dyDescent="0.3">
      <c r="A810" s="34">
        <v>809</v>
      </c>
      <c r="B810" s="34">
        <v>42</v>
      </c>
      <c r="C810" s="34">
        <v>9283</v>
      </c>
      <c r="D810" s="34">
        <v>55</v>
      </c>
      <c r="E810" s="34" t="s">
        <v>3</v>
      </c>
      <c r="F810" s="34" t="s">
        <v>8</v>
      </c>
      <c r="G810" s="39" t="s">
        <v>5</v>
      </c>
    </row>
    <row r="811" spans="1:7" x14ac:dyDescent="0.3">
      <c r="A811" s="34">
        <v>810</v>
      </c>
      <c r="B811" s="34">
        <v>15</v>
      </c>
      <c r="C811" s="34">
        <v>1778</v>
      </c>
      <c r="D811" s="34">
        <v>26</v>
      </c>
      <c r="E811" s="34" t="s">
        <v>6</v>
      </c>
      <c r="F811" s="34" t="s">
        <v>9</v>
      </c>
      <c r="G811" s="39" t="s">
        <v>7</v>
      </c>
    </row>
    <row r="812" spans="1:7" x14ac:dyDescent="0.3">
      <c r="A812" s="34">
        <v>811</v>
      </c>
      <c r="B812" s="34">
        <v>8</v>
      </c>
      <c r="C812" s="34">
        <v>907</v>
      </c>
      <c r="D812" s="34">
        <v>26</v>
      </c>
      <c r="E812" s="34" t="s">
        <v>11</v>
      </c>
      <c r="F812" s="34" t="s">
        <v>4</v>
      </c>
      <c r="G812" s="39" t="s">
        <v>5</v>
      </c>
    </row>
    <row r="813" spans="1:7" x14ac:dyDescent="0.3">
      <c r="A813" s="34">
        <v>812</v>
      </c>
      <c r="B813" s="34">
        <v>6</v>
      </c>
      <c r="C813" s="34">
        <v>484</v>
      </c>
      <c r="D813" s="34">
        <v>28</v>
      </c>
      <c r="E813" s="34" t="s">
        <v>11</v>
      </c>
      <c r="F813" s="34" t="s">
        <v>4</v>
      </c>
      <c r="G813" s="39" t="s">
        <v>5</v>
      </c>
    </row>
    <row r="814" spans="1:7" x14ac:dyDescent="0.3">
      <c r="A814" s="34">
        <v>813</v>
      </c>
      <c r="B814" s="34">
        <v>36</v>
      </c>
      <c r="C814" s="34">
        <v>9629</v>
      </c>
      <c r="D814" s="34">
        <v>24</v>
      </c>
      <c r="E814" s="34" t="s">
        <v>3</v>
      </c>
      <c r="F814" s="34" t="s">
        <v>4</v>
      </c>
      <c r="G814" s="39" t="s">
        <v>7</v>
      </c>
    </row>
    <row r="815" spans="1:7" x14ac:dyDescent="0.3">
      <c r="A815" s="34">
        <v>814</v>
      </c>
      <c r="B815" s="34">
        <v>48</v>
      </c>
      <c r="C815" s="34">
        <v>3051</v>
      </c>
      <c r="D815" s="34">
        <v>54</v>
      </c>
      <c r="E815" s="34" t="s">
        <v>3</v>
      </c>
      <c r="F815" s="34" t="s">
        <v>4</v>
      </c>
      <c r="G815" s="39" t="s">
        <v>7</v>
      </c>
    </row>
    <row r="816" spans="1:7" x14ac:dyDescent="0.3">
      <c r="A816" s="34">
        <v>815</v>
      </c>
      <c r="B816" s="34">
        <v>48</v>
      </c>
      <c r="C816" s="34">
        <v>3931</v>
      </c>
      <c r="D816" s="34">
        <v>46</v>
      </c>
      <c r="E816" s="34" t="s">
        <v>3</v>
      </c>
      <c r="F816" s="34" t="s">
        <v>8</v>
      </c>
      <c r="G816" s="39" t="s">
        <v>7</v>
      </c>
    </row>
    <row r="817" spans="1:7" x14ac:dyDescent="0.3">
      <c r="A817" s="34">
        <v>816</v>
      </c>
      <c r="B817" s="34">
        <v>36</v>
      </c>
      <c r="C817" s="34">
        <v>7432</v>
      </c>
      <c r="D817" s="34">
        <v>54</v>
      </c>
      <c r="E817" s="34" t="s">
        <v>6</v>
      </c>
      <c r="F817" s="34" t="s">
        <v>9</v>
      </c>
      <c r="G817" s="39" t="s">
        <v>5</v>
      </c>
    </row>
    <row r="818" spans="1:7" x14ac:dyDescent="0.3">
      <c r="A818" s="34">
        <v>817</v>
      </c>
      <c r="B818" s="34">
        <v>6</v>
      </c>
      <c r="C818" s="34">
        <v>1338</v>
      </c>
      <c r="D818" s="34">
        <v>62</v>
      </c>
      <c r="E818" s="34" t="s">
        <v>10</v>
      </c>
      <c r="F818" s="34" t="s">
        <v>4</v>
      </c>
      <c r="G818" s="39" t="s">
        <v>5</v>
      </c>
    </row>
    <row r="819" spans="1:7" x14ac:dyDescent="0.3">
      <c r="A819" s="34">
        <v>818</v>
      </c>
      <c r="B819" s="34">
        <v>6</v>
      </c>
      <c r="C819" s="34">
        <v>1554</v>
      </c>
      <c r="D819" s="34">
        <v>24</v>
      </c>
      <c r="E819" s="34" t="s">
        <v>6</v>
      </c>
      <c r="F819" s="34" t="s">
        <v>9</v>
      </c>
      <c r="G819" s="39" t="s">
        <v>5</v>
      </c>
    </row>
    <row r="820" spans="1:7" x14ac:dyDescent="0.3">
      <c r="A820" s="34">
        <v>819</v>
      </c>
      <c r="B820" s="34">
        <v>36</v>
      </c>
      <c r="C820" s="34">
        <v>15857</v>
      </c>
      <c r="D820" s="34">
        <v>43</v>
      </c>
      <c r="E820" s="34" t="s">
        <v>10</v>
      </c>
      <c r="F820" s="34" t="s">
        <v>4</v>
      </c>
      <c r="G820" s="39" t="s">
        <v>5</v>
      </c>
    </row>
    <row r="821" spans="1:7" x14ac:dyDescent="0.3">
      <c r="A821" s="34">
        <v>820</v>
      </c>
      <c r="B821" s="34">
        <v>18</v>
      </c>
      <c r="C821" s="34">
        <v>1345</v>
      </c>
      <c r="D821" s="34">
        <v>26</v>
      </c>
      <c r="E821" s="34" t="s">
        <v>11</v>
      </c>
      <c r="F821" s="34" t="s">
        <v>4</v>
      </c>
      <c r="G821" s="39" t="s">
        <v>7</v>
      </c>
    </row>
    <row r="822" spans="1:7" x14ac:dyDescent="0.3">
      <c r="A822" s="34">
        <v>821</v>
      </c>
      <c r="B822" s="34">
        <v>12</v>
      </c>
      <c r="C822" s="34">
        <v>1101</v>
      </c>
      <c r="D822" s="34">
        <v>27</v>
      </c>
      <c r="E822" s="34" t="s">
        <v>11</v>
      </c>
      <c r="F822" s="34" t="s">
        <v>4</v>
      </c>
      <c r="G822" s="39" t="s">
        <v>5</v>
      </c>
    </row>
    <row r="823" spans="1:7" x14ac:dyDescent="0.3">
      <c r="A823" s="34">
        <v>822</v>
      </c>
      <c r="B823" s="34">
        <v>12</v>
      </c>
      <c r="C823" s="34">
        <v>3016</v>
      </c>
      <c r="D823" s="34">
        <v>24</v>
      </c>
      <c r="E823" s="34" t="s">
        <v>11</v>
      </c>
      <c r="F823" s="34" t="s">
        <v>4</v>
      </c>
      <c r="G823" s="39" t="s">
        <v>5</v>
      </c>
    </row>
    <row r="824" spans="1:7" x14ac:dyDescent="0.3">
      <c r="A824" s="34">
        <v>823</v>
      </c>
      <c r="B824" s="34">
        <v>36</v>
      </c>
      <c r="C824" s="34">
        <v>2712</v>
      </c>
      <c r="D824" s="34">
        <v>41</v>
      </c>
      <c r="E824" s="34" t="s">
        <v>3</v>
      </c>
      <c r="F824" s="34" t="s">
        <v>4</v>
      </c>
      <c r="G824" s="39" t="s">
        <v>7</v>
      </c>
    </row>
    <row r="825" spans="1:7" x14ac:dyDescent="0.3">
      <c r="A825" s="34">
        <v>824</v>
      </c>
      <c r="B825" s="34">
        <v>8</v>
      </c>
      <c r="C825" s="34">
        <v>731</v>
      </c>
      <c r="D825" s="34">
        <v>47</v>
      </c>
      <c r="E825" s="34" t="s">
        <v>3</v>
      </c>
      <c r="F825" s="34" t="s">
        <v>4</v>
      </c>
      <c r="G825" s="39" t="s">
        <v>5</v>
      </c>
    </row>
    <row r="826" spans="1:7" x14ac:dyDescent="0.3">
      <c r="A826" s="34">
        <v>825</v>
      </c>
      <c r="B826" s="34">
        <v>18</v>
      </c>
      <c r="C826" s="34">
        <v>3780</v>
      </c>
      <c r="D826" s="34">
        <v>35</v>
      </c>
      <c r="E826" s="34" t="s">
        <v>10</v>
      </c>
      <c r="F826" s="34" t="s">
        <v>4</v>
      </c>
      <c r="G826" s="39" t="s">
        <v>5</v>
      </c>
    </row>
    <row r="827" spans="1:7" x14ac:dyDescent="0.3">
      <c r="A827" s="34">
        <v>826</v>
      </c>
      <c r="B827" s="34">
        <v>21</v>
      </c>
      <c r="C827" s="34">
        <v>1602</v>
      </c>
      <c r="D827" s="34">
        <v>30</v>
      </c>
      <c r="E827" s="34" t="s">
        <v>11</v>
      </c>
      <c r="F827" s="34" t="s">
        <v>4</v>
      </c>
      <c r="G827" s="39" t="s">
        <v>5</v>
      </c>
    </row>
    <row r="828" spans="1:7" x14ac:dyDescent="0.3">
      <c r="A828" s="34">
        <v>827</v>
      </c>
      <c r="B828" s="34">
        <v>18</v>
      </c>
      <c r="C828" s="34">
        <v>3966</v>
      </c>
      <c r="D828" s="34">
        <v>33</v>
      </c>
      <c r="E828" s="34" t="s">
        <v>6</v>
      </c>
      <c r="F828" s="34" t="s">
        <v>9</v>
      </c>
      <c r="G828" s="39" t="s">
        <v>7</v>
      </c>
    </row>
    <row r="829" spans="1:7" x14ac:dyDescent="0.3">
      <c r="A829" s="34">
        <v>828</v>
      </c>
      <c r="B829" s="34">
        <v>18</v>
      </c>
      <c r="C829" s="34">
        <v>4165</v>
      </c>
      <c r="D829" s="34">
        <v>36</v>
      </c>
      <c r="E829" s="34" t="s">
        <v>3</v>
      </c>
      <c r="F829" s="34" t="s">
        <v>4</v>
      </c>
      <c r="G829" s="39" t="s">
        <v>7</v>
      </c>
    </row>
    <row r="830" spans="1:7" x14ac:dyDescent="0.3">
      <c r="A830" s="34">
        <v>829</v>
      </c>
      <c r="B830" s="34">
        <v>36</v>
      </c>
      <c r="C830" s="34">
        <v>8335</v>
      </c>
      <c r="D830" s="34">
        <v>47</v>
      </c>
      <c r="E830" s="34" t="s">
        <v>3</v>
      </c>
      <c r="F830" s="34" t="s">
        <v>8</v>
      </c>
      <c r="G830" s="39" t="s">
        <v>7</v>
      </c>
    </row>
    <row r="831" spans="1:7" x14ac:dyDescent="0.3">
      <c r="A831" s="34">
        <v>830</v>
      </c>
      <c r="B831" s="34">
        <v>48</v>
      </c>
      <c r="C831" s="34">
        <v>6681</v>
      </c>
      <c r="D831" s="34">
        <v>38</v>
      </c>
      <c r="E831" s="34" t="s">
        <v>3</v>
      </c>
      <c r="F831" s="34" t="s">
        <v>8</v>
      </c>
      <c r="G831" s="39" t="s">
        <v>5</v>
      </c>
    </row>
    <row r="832" spans="1:7" x14ac:dyDescent="0.3">
      <c r="A832" s="34">
        <v>831</v>
      </c>
      <c r="B832" s="34">
        <v>24</v>
      </c>
      <c r="C832" s="34">
        <v>2375</v>
      </c>
      <c r="D832" s="34">
        <v>44</v>
      </c>
      <c r="E832" s="34" t="s">
        <v>3</v>
      </c>
      <c r="F832" s="34" t="s">
        <v>4</v>
      </c>
      <c r="G832" s="39" t="s">
        <v>5</v>
      </c>
    </row>
    <row r="833" spans="1:7" x14ac:dyDescent="0.3">
      <c r="A833" s="34">
        <v>832</v>
      </c>
      <c r="B833" s="34">
        <v>18</v>
      </c>
      <c r="C833" s="34">
        <v>1216</v>
      </c>
      <c r="D833" s="34">
        <v>23</v>
      </c>
      <c r="E833" s="34" t="s">
        <v>6</v>
      </c>
      <c r="F833" s="34" t="s">
        <v>9</v>
      </c>
      <c r="G833" s="39" t="s">
        <v>7</v>
      </c>
    </row>
    <row r="834" spans="1:7" x14ac:dyDescent="0.3">
      <c r="A834" s="34">
        <v>833</v>
      </c>
      <c r="B834" s="34">
        <v>45</v>
      </c>
      <c r="C834" s="34">
        <v>11816</v>
      </c>
      <c r="D834" s="34">
        <v>29</v>
      </c>
      <c r="E834" s="34" t="s">
        <v>3</v>
      </c>
      <c r="F834" s="34" t="s">
        <v>9</v>
      </c>
      <c r="G834" s="39" t="s">
        <v>7</v>
      </c>
    </row>
    <row r="835" spans="1:7" x14ac:dyDescent="0.3">
      <c r="A835" s="34">
        <v>834</v>
      </c>
      <c r="B835" s="34">
        <v>24</v>
      </c>
      <c r="C835" s="34">
        <v>5084</v>
      </c>
      <c r="D835" s="34">
        <v>42</v>
      </c>
      <c r="E835" s="34" t="s">
        <v>6</v>
      </c>
      <c r="F835" s="34" t="s">
        <v>4</v>
      </c>
      <c r="G835" s="39" t="s">
        <v>5</v>
      </c>
    </row>
    <row r="836" spans="1:7" x14ac:dyDescent="0.3">
      <c r="A836" s="34">
        <v>835</v>
      </c>
      <c r="B836" s="34">
        <v>15</v>
      </c>
      <c r="C836" s="34">
        <v>2327</v>
      </c>
      <c r="D836" s="34">
        <v>25</v>
      </c>
      <c r="E836" s="34" t="s">
        <v>6</v>
      </c>
      <c r="F836" s="34" t="s">
        <v>4</v>
      </c>
      <c r="G836" s="39" t="s">
        <v>7</v>
      </c>
    </row>
    <row r="837" spans="1:7" x14ac:dyDescent="0.3">
      <c r="A837" s="34">
        <v>836</v>
      </c>
      <c r="B837" s="34">
        <v>12</v>
      </c>
      <c r="C837" s="34">
        <v>1082</v>
      </c>
      <c r="D837" s="34">
        <v>48</v>
      </c>
      <c r="E837" s="34" t="s">
        <v>3</v>
      </c>
      <c r="F837" s="34" t="s">
        <v>4</v>
      </c>
      <c r="G837" s="39" t="s">
        <v>7</v>
      </c>
    </row>
    <row r="838" spans="1:7" x14ac:dyDescent="0.3">
      <c r="A838" s="34">
        <v>837</v>
      </c>
      <c r="B838" s="34">
        <v>12</v>
      </c>
      <c r="C838" s="34">
        <v>886</v>
      </c>
      <c r="D838" s="34">
        <v>21</v>
      </c>
      <c r="E838" s="34" t="s">
        <v>6</v>
      </c>
      <c r="F838" s="34" t="s">
        <v>4</v>
      </c>
      <c r="G838" s="39" t="s">
        <v>5</v>
      </c>
    </row>
    <row r="839" spans="1:7" x14ac:dyDescent="0.3">
      <c r="A839" s="34">
        <v>838</v>
      </c>
      <c r="B839" s="34">
        <v>4</v>
      </c>
      <c r="C839" s="34">
        <v>601</v>
      </c>
      <c r="D839" s="34">
        <v>23</v>
      </c>
      <c r="E839" s="34" t="s">
        <v>6</v>
      </c>
      <c r="F839" s="34" t="s">
        <v>9</v>
      </c>
      <c r="G839" s="39" t="s">
        <v>5</v>
      </c>
    </row>
    <row r="840" spans="1:7" x14ac:dyDescent="0.3">
      <c r="A840" s="34">
        <v>839</v>
      </c>
      <c r="B840" s="34">
        <v>24</v>
      </c>
      <c r="C840" s="34">
        <v>2957</v>
      </c>
      <c r="D840" s="34">
        <v>63</v>
      </c>
      <c r="E840" s="34" t="s">
        <v>3</v>
      </c>
      <c r="F840" s="34" t="s">
        <v>4</v>
      </c>
      <c r="G840" s="39" t="s">
        <v>5</v>
      </c>
    </row>
    <row r="841" spans="1:7" x14ac:dyDescent="0.3">
      <c r="A841" s="34">
        <v>840</v>
      </c>
      <c r="B841" s="34">
        <v>24</v>
      </c>
      <c r="C841" s="34">
        <v>2611</v>
      </c>
      <c r="D841" s="34">
        <v>46</v>
      </c>
      <c r="E841" s="34" t="s">
        <v>11</v>
      </c>
      <c r="F841" s="34" t="s">
        <v>4</v>
      </c>
      <c r="G841" s="39" t="s">
        <v>5</v>
      </c>
    </row>
    <row r="842" spans="1:7" x14ac:dyDescent="0.3">
      <c r="A842" s="34">
        <v>841</v>
      </c>
      <c r="B842" s="34">
        <v>36</v>
      </c>
      <c r="C842" s="34">
        <v>5179</v>
      </c>
      <c r="D842" s="34">
        <v>29</v>
      </c>
      <c r="E842" s="34" t="s">
        <v>3</v>
      </c>
      <c r="F842" s="34" t="s">
        <v>4</v>
      </c>
      <c r="G842" s="39" t="s">
        <v>7</v>
      </c>
    </row>
    <row r="843" spans="1:7" x14ac:dyDescent="0.3">
      <c r="A843" s="34">
        <v>842</v>
      </c>
      <c r="B843" s="34">
        <v>21</v>
      </c>
      <c r="C843" s="34">
        <v>2993</v>
      </c>
      <c r="D843" s="34">
        <v>28</v>
      </c>
      <c r="E843" s="34" t="s">
        <v>3</v>
      </c>
      <c r="F843" s="34" t="s">
        <v>4</v>
      </c>
      <c r="G843" s="39" t="s">
        <v>5</v>
      </c>
    </row>
    <row r="844" spans="1:7" x14ac:dyDescent="0.3">
      <c r="A844" s="34">
        <v>843</v>
      </c>
      <c r="B844" s="34">
        <v>18</v>
      </c>
      <c r="C844" s="34">
        <v>1943</v>
      </c>
      <c r="D844" s="34">
        <v>23</v>
      </c>
      <c r="E844" s="34" t="s">
        <v>6</v>
      </c>
      <c r="F844" s="34" t="s">
        <v>4</v>
      </c>
      <c r="G844" s="39" t="s">
        <v>7</v>
      </c>
    </row>
    <row r="845" spans="1:7" x14ac:dyDescent="0.3">
      <c r="A845" s="34">
        <v>844</v>
      </c>
      <c r="B845" s="34">
        <v>24</v>
      </c>
      <c r="C845" s="34">
        <v>1559</v>
      </c>
      <c r="D845" s="34">
        <v>50</v>
      </c>
      <c r="E845" s="34" t="s">
        <v>3</v>
      </c>
      <c r="F845" s="34" t="s">
        <v>4</v>
      </c>
      <c r="G845" s="39" t="s">
        <v>5</v>
      </c>
    </row>
    <row r="846" spans="1:7" x14ac:dyDescent="0.3">
      <c r="A846" s="34">
        <v>845</v>
      </c>
      <c r="B846" s="34">
        <v>18</v>
      </c>
      <c r="C846" s="34">
        <v>3422</v>
      </c>
      <c r="D846" s="34">
        <v>47</v>
      </c>
      <c r="E846" s="34" t="s">
        <v>3</v>
      </c>
      <c r="F846" s="34" t="s">
        <v>4</v>
      </c>
      <c r="G846" s="39" t="s">
        <v>5</v>
      </c>
    </row>
    <row r="847" spans="1:7" x14ac:dyDescent="0.3">
      <c r="A847" s="34">
        <v>846</v>
      </c>
      <c r="B847" s="34">
        <v>21</v>
      </c>
      <c r="C847" s="34">
        <v>3976</v>
      </c>
      <c r="D847" s="34">
        <v>35</v>
      </c>
      <c r="E847" s="34" t="s">
        <v>3</v>
      </c>
      <c r="F847" s="34" t="s">
        <v>4</v>
      </c>
      <c r="G847" s="39" t="s">
        <v>5</v>
      </c>
    </row>
    <row r="848" spans="1:7" x14ac:dyDescent="0.3">
      <c r="A848" s="34">
        <v>847</v>
      </c>
      <c r="B848" s="34">
        <v>18</v>
      </c>
      <c r="C848" s="34">
        <v>6761</v>
      </c>
      <c r="D848" s="34">
        <v>68</v>
      </c>
      <c r="E848" s="34" t="s">
        <v>3</v>
      </c>
      <c r="F848" s="34" t="s">
        <v>9</v>
      </c>
      <c r="G848" s="39" t="s">
        <v>7</v>
      </c>
    </row>
    <row r="849" spans="1:7" x14ac:dyDescent="0.3">
      <c r="A849" s="34">
        <v>848</v>
      </c>
      <c r="B849" s="34">
        <v>24</v>
      </c>
      <c r="C849" s="34">
        <v>1249</v>
      </c>
      <c r="D849" s="34">
        <v>28</v>
      </c>
      <c r="E849" s="34" t="s">
        <v>11</v>
      </c>
      <c r="F849" s="34" t="s">
        <v>4</v>
      </c>
      <c r="G849" s="39" t="s">
        <v>5</v>
      </c>
    </row>
    <row r="850" spans="1:7" x14ac:dyDescent="0.3">
      <c r="A850" s="34">
        <v>849</v>
      </c>
      <c r="B850" s="34">
        <v>9</v>
      </c>
      <c r="C850" s="34">
        <v>1364</v>
      </c>
      <c r="D850" s="34">
        <v>59</v>
      </c>
      <c r="E850" s="34" t="s">
        <v>3</v>
      </c>
      <c r="F850" s="34" t="s">
        <v>4</v>
      </c>
      <c r="G850" s="39" t="s">
        <v>5</v>
      </c>
    </row>
    <row r="851" spans="1:7" x14ac:dyDescent="0.3">
      <c r="A851" s="34">
        <v>850</v>
      </c>
      <c r="B851" s="34">
        <v>12</v>
      </c>
      <c r="C851" s="34">
        <v>709</v>
      </c>
      <c r="D851" s="34">
        <v>57</v>
      </c>
      <c r="E851" s="34" t="s">
        <v>3</v>
      </c>
      <c r="F851" s="34" t="s">
        <v>4</v>
      </c>
      <c r="G851" s="39" t="s">
        <v>7</v>
      </c>
    </row>
    <row r="852" spans="1:7" x14ac:dyDescent="0.3">
      <c r="A852" s="34">
        <v>851</v>
      </c>
      <c r="B852" s="34">
        <v>20</v>
      </c>
      <c r="C852" s="34">
        <v>2235</v>
      </c>
      <c r="D852" s="34">
        <v>33</v>
      </c>
      <c r="E852" s="34" t="s">
        <v>11</v>
      </c>
      <c r="F852" s="34" t="s">
        <v>9</v>
      </c>
      <c r="G852" s="39" t="s">
        <v>7</v>
      </c>
    </row>
    <row r="853" spans="1:7" x14ac:dyDescent="0.3">
      <c r="A853" s="34">
        <v>852</v>
      </c>
      <c r="B853" s="34">
        <v>24</v>
      </c>
      <c r="C853" s="34">
        <v>4042</v>
      </c>
      <c r="D853" s="34">
        <v>43</v>
      </c>
      <c r="E853" s="34" t="s">
        <v>3</v>
      </c>
      <c r="F853" s="34" t="s">
        <v>4</v>
      </c>
      <c r="G853" s="39" t="s">
        <v>5</v>
      </c>
    </row>
    <row r="854" spans="1:7" x14ac:dyDescent="0.3">
      <c r="A854" s="34">
        <v>853</v>
      </c>
      <c r="B854" s="34">
        <v>15</v>
      </c>
      <c r="C854" s="34">
        <v>1471</v>
      </c>
      <c r="D854" s="34">
        <v>35</v>
      </c>
      <c r="E854" s="34" t="s">
        <v>3</v>
      </c>
      <c r="F854" s="34" t="s">
        <v>8</v>
      </c>
      <c r="G854" s="39" t="s">
        <v>5</v>
      </c>
    </row>
    <row r="855" spans="1:7" x14ac:dyDescent="0.3">
      <c r="A855" s="34">
        <v>854</v>
      </c>
      <c r="B855" s="34">
        <v>18</v>
      </c>
      <c r="C855" s="34">
        <v>1442</v>
      </c>
      <c r="D855" s="34">
        <v>32</v>
      </c>
      <c r="E855" s="34" t="s">
        <v>3</v>
      </c>
      <c r="F855" s="34" t="s">
        <v>8</v>
      </c>
      <c r="G855" s="39" t="s">
        <v>7</v>
      </c>
    </row>
    <row r="856" spans="1:7" x14ac:dyDescent="0.3">
      <c r="A856" s="34">
        <v>855</v>
      </c>
      <c r="B856" s="34">
        <v>36</v>
      </c>
      <c r="C856" s="34">
        <v>10875</v>
      </c>
      <c r="D856" s="34">
        <v>45</v>
      </c>
      <c r="E856" s="34" t="s">
        <v>3</v>
      </c>
      <c r="F856" s="34" t="s">
        <v>4</v>
      </c>
      <c r="G856" s="39" t="s">
        <v>5</v>
      </c>
    </row>
    <row r="857" spans="1:7" x14ac:dyDescent="0.3">
      <c r="A857" s="34">
        <v>856</v>
      </c>
      <c r="B857" s="34">
        <v>24</v>
      </c>
      <c r="C857" s="34">
        <v>1474</v>
      </c>
      <c r="D857" s="34">
        <v>33</v>
      </c>
      <c r="E857" s="34" t="s">
        <v>11</v>
      </c>
      <c r="F857" s="34" t="s">
        <v>4</v>
      </c>
      <c r="G857" s="39" t="s">
        <v>5</v>
      </c>
    </row>
    <row r="858" spans="1:7" x14ac:dyDescent="0.3">
      <c r="A858" s="34">
        <v>857</v>
      </c>
      <c r="B858" s="34">
        <v>10</v>
      </c>
      <c r="C858" s="34">
        <v>894</v>
      </c>
      <c r="D858" s="34">
        <v>40</v>
      </c>
      <c r="E858" s="34" t="s">
        <v>6</v>
      </c>
      <c r="F858" s="34" t="s">
        <v>4</v>
      </c>
      <c r="G858" s="39" t="s">
        <v>5</v>
      </c>
    </row>
    <row r="859" spans="1:7" x14ac:dyDescent="0.3">
      <c r="A859" s="34">
        <v>858</v>
      </c>
      <c r="B859" s="34">
        <v>15</v>
      </c>
      <c r="C859" s="34">
        <v>3343</v>
      </c>
      <c r="D859" s="34">
        <v>28</v>
      </c>
      <c r="E859" s="34" t="s">
        <v>3</v>
      </c>
      <c r="F859" s="34" t="s">
        <v>8</v>
      </c>
      <c r="G859" s="39" t="s">
        <v>5</v>
      </c>
    </row>
    <row r="860" spans="1:7" x14ac:dyDescent="0.3">
      <c r="A860" s="34">
        <v>859</v>
      </c>
      <c r="B860" s="34">
        <v>15</v>
      </c>
      <c r="C860" s="34">
        <v>3959</v>
      </c>
      <c r="D860" s="34">
        <v>29</v>
      </c>
      <c r="E860" s="34" t="s">
        <v>6</v>
      </c>
      <c r="F860" s="34" t="s">
        <v>4</v>
      </c>
      <c r="G860" s="39" t="s">
        <v>7</v>
      </c>
    </row>
    <row r="861" spans="1:7" x14ac:dyDescent="0.3">
      <c r="A861" s="34">
        <v>860</v>
      </c>
      <c r="B861" s="34">
        <v>9</v>
      </c>
      <c r="C861" s="34">
        <v>3577</v>
      </c>
      <c r="D861" s="34">
        <v>26</v>
      </c>
      <c r="E861" s="34" t="s">
        <v>3</v>
      </c>
      <c r="F861" s="34" t="s">
        <v>9</v>
      </c>
      <c r="G861" s="39" t="s">
        <v>5</v>
      </c>
    </row>
    <row r="862" spans="1:7" x14ac:dyDescent="0.3">
      <c r="A862" s="34">
        <v>861</v>
      </c>
      <c r="B862" s="34">
        <v>24</v>
      </c>
      <c r="C862" s="34">
        <v>5804</v>
      </c>
      <c r="D862" s="34">
        <v>27</v>
      </c>
      <c r="E862" s="34" t="s">
        <v>3</v>
      </c>
      <c r="F862" s="34" t="s">
        <v>4</v>
      </c>
      <c r="G862" s="39" t="s">
        <v>5</v>
      </c>
    </row>
    <row r="863" spans="1:7" x14ac:dyDescent="0.3">
      <c r="A863" s="34">
        <v>862</v>
      </c>
      <c r="B863" s="34">
        <v>18</v>
      </c>
      <c r="C863" s="34">
        <v>2169</v>
      </c>
      <c r="D863" s="34">
        <v>28</v>
      </c>
      <c r="E863" s="34" t="s">
        <v>11</v>
      </c>
      <c r="F863" s="34" t="s">
        <v>4</v>
      </c>
      <c r="G863" s="39" t="s">
        <v>7</v>
      </c>
    </row>
    <row r="864" spans="1:7" x14ac:dyDescent="0.3">
      <c r="A864" s="34">
        <v>863</v>
      </c>
      <c r="B864" s="34">
        <v>24</v>
      </c>
      <c r="C864" s="34">
        <v>2439</v>
      </c>
      <c r="D864" s="34">
        <v>35</v>
      </c>
      <c r="E864" s="34" t="s">
        <v>6</v>
      </c>
      <c r="F864" s="34" t="s">
        <v>4</v>
      </c>
      <c r="G864" s="39" t="s">
        <v>7</v>
      </c>
    </row>
    <row r="865" spans="1:7" x14ac:dyDescent="0.3">
      <c r="A865" s="34">
        <v>864</v>
      </c>
      <c r="B865" s="34">
        <v>27</v>
      </c>
      <c r="C865" s="34">
        <v>4526</v>
      </c>
      <c r="D865" s="34">
        <v>32</v>
      </c>
      <c r="E865" s="34" t="s">
        <v>3</v>
      </c>
      <c r="F865" s="34" t="s">
        <v>4</v>
      </c>
      <c r="G865" s="39" t="s">
        <v>5</v>
      </c>
    </row>
    <row r="866" spans="1:7" x14ac:dyDescent="0.3">
      <c r="A866" s="34">
        <v>865</v>
      </c>
      <c r="B866" s="34">
        <v>10</v>
      </c>
      <c r="C866" s="34">
        <v>2210</v>
      </c>
      <c r="D866" s="34">
        <v>25</v>
      </c>
      <c r="E866" s="34" t="s">
        <v>3</v>
      </c>
      <c r="F866" s="34" t="s">
        <v>9</v>
      </c>
      <c r="G866" s="39" t="s">
        <v>7</v>
      </c>
    </row>
    <row r="867" spans="1:7" x14ac:dyDescent="0.3">
      <c r="A867" s="34">
        <v>866</v>
      </c>
      <c r="B867" s="34">
        <v>15</v>
      </c>
      <c r="C867" s="34">
        <v>2221</v>
      </c>
      <c r="D867" s="34">
        <v>20</v>
      </c>
      <c r="E867" s="34" t="s">
        <v>6</v>
      </c>
      <c r="F867" s="34" t="s">
        <v>9</v>
      </c>
      <c r="G867" s="39" t="s">
        <v>5</v>
      </c>
    </row>
    <row r="868" spans="1:7" x14ac:dyDescent="0.3">
      <c r="A868" s="34">
        <v>867</v>
      </c>
      <c r="B868" s="34">
        <v>18</v>
      </c>
      <c r="C868" s="34">
        <v>2389</v>
      </c>
      <c r="D868" s="34">
        <v>27</v>
      </c>
      <c r="E868" s="34" t="s">
        <v>6</v>
      </c>
      <c r="F868" s="34" t="s">
        <v>4</v>
      </c>
      <c r="G868" s="39" t="s">
        <v>5</v>
      </c>
    </row>
    <row r="869" spans="1:7" x14ac:dyDescent="0.3">
      <c r="A869" s="34">
        <v>868</v>
      </c>
      <c r="B869" s="34">
        <v>12</v>
      </c>
      <c r="C869" s="34">
        <v>3331</v>
      </c>
      <c r="D869" s="34">
        <v>42</v>
      </c>
      <c r="E869" s="34" t="s">
        <v>3</v>
      </c>
      <c r="F869" s="34" t="s">
        <v>4</v>
      </c>
      <c r="G869" s="39" t="s">
        <v>5</v>
      </c>
    </row>
    <row r="870" spans="1:7" x14ac:dyDescent="0.3">
      <c r="A870" s="34">
        <v>869</v>
      </c>
      <c r="B870" s="34">
        <v>36</v>
      </c>
      <c r="C870" s="34">
        <v>7409</v>
      </c>
      <c r="D870" s="34">
        <v>37</v>
      </c>
      <c r="E870" s="34" t="s">
        <v>3</v>
      </c>
      <c r="F870" s="34" t="s">
        <v>4</v>
      </c>
      <c r="G870" s="39" t="s">
        <v>5</v>
      </c>
    </row>
    <row r="871" spans="1:7" x14ac:dyDescent="0.3">
      <c r="A871" s="34">
        <v>870</v>
      </c>
      <c r="B871" s="34">
        <v>12</v>
      </c>
      <c r="C871" s="34">
        <v>652</v>
      </c>
      <c r="D871" s="34">
        <v>24</v>
      </c>
      <c r="E871" s="34" t="s">
        <v>6</v>
      </c>
      <c r="F871" s="34" t="s">
        <v>9</v>
      </c>
      <c r="G871" s="39" t="s">
        <v>5</v>
      </c>
    </row>
    <row r="872" spans="1:7" x14ac:dyDescent="0.3">
      <c r="A872" s="34">
        <v>871</v>
      </c>
      <c r="B872" s="34">
        <v>36</v>
      </c>
      <c r="C872" s="34">
        <v>7678</v>
      </c>
      <c r="D872" s="34">
        <v>40</v>
      </c>
      <c r="E872" s="34" t="s">
        <v>6</v>
      </c>
      <c r="F872" s="34" t="s">
        <v>4</v>
      </c>
      <c r="G872" s="39" t="s">
        <v>5</v>
      </c>
    </row>
    <row r="873" spans="1:7" x14ac:dyDescent="0.3">
      <c r="A873" s="34">
        <v>872</v>
      </c>
      <c r="B873" s="34">
        <v>6</v>
      </c>
      <c r="C873" s="34">
        <v>1343</v>
      </c>
      <c r="D873" s="34">
        <v>46</v>
      </c>
      <c r="E873" s="34" t="s">
        <v>3</v>
      </c>
      <c r="F873" s="34" t="s">
        <v>4</v>
      </c>
      <c r="G873" s="39" t="s">
        <v>5</v>
      </c>
    </row>
    <row r="874" spans="1:7" x14ac:dyDescent="0.3">
      <c r="A874" s="34">
        <v>873</v>
      </c>
      <c r="B874" s="34">
        <v>24</v>
      </c>
      <c r="C874" s="34">
        <v>1382</v>
      </c>
      <c r="D874" s="34">
        <v>26</v>
      </c>
      <c r="E874" s="34" t="s">
        <v>3</v>
      </c>
      <c r="F874" s="34" t="s">
        <v>4</v>
      </c>
      <c r="G874" s="39" t="s">
        <v>5</v>
      </c>
    </row>
    <row r="875" spans="1:7" x14ac:dyDescent="0.3">
      <c r="A875" s="34">
        <v>874</v>
      </c>
      <c r="B875" s="34">
        <v>15</v>
      </c>
      <c r="C875" s="34">
        <v>874</v>
      </c>
      <c r="D875" s="34">
        <v>24</v>
      </c>
      <c r="E875" s="34" t="s">
        <v>6</v>
      </c>
      <c r="F875" s="34" t="s">
        <v>4</v>
      </c>
      <c r="G875" s="39" t="s">
        <v>5</v>
      </c>
    </row>
    <row r="876" spans="1:7" x14ac:dyDescent="0.3">
      <c r="A876" s="34">
        <v>875</v>
      </c>
      <c r="B876" s="34">
        <v>12</v>
      </c>
      <c r="C876" s="34">
        <v>3590</v>
      </c>
      <c r="D876" s="34">
        <v>29</v>
      </c>
      <c r="E876" s="34" t="s">
        <v>3</v>
      </c>
      <c r="F876" s="34" t="s">
        <v>4</v>
      </c>
      <c r="G876" s="39" t="s">
        <v>5</v>
      </c>
    </row>
    <row r="877" spans="1:7" x14ac:dyDescent="0.3">
      <c r="A877" s="34">
        <v>876</v>
      </c>
      <c r="B877" s="34">
        <v>11</v>
      </c>
      <c r="C877" s="34">
        <v>1322</v>
      </c>
      <c r="D877" s="34">
        <v>40</v>
      </c>
      <c r="E877" s="34" t="s">
        <v>6</v>
      </c>
      <c r="F877" s="34" t="s">
        <v>4</v>
      </c>
      <c r="G877" s="39" t="s">
        <v>5</v>
      </c>
    </row>
    <row r="878" spans="1:7" x14ac:dyDescent="0.3">
      <c r="A878" s="34">
        <v>877</v>
      </c>
      <c r="B878" s="34">
        <v>18</v>
      </c>
      <c r="C878" s="34">
        <v>1940</v>
      </c>
      <c r="D878" s="34">
        <v>36</v>
      </c>
      <c r="E878" s="34" t="s">
        <v>3</v>
      </c>
      <c r="F878" s="34" t="s">
        <v>8</v>
      </c>
      <c r="G878" s="39" t="s">
        <v>5</v>
      </c>
    </row>
    <row r="879" spans="1:7" x14ac:dyDescent="0.3">
      <c r="A879" s="34">
        <v>878</v>
      </c>
      <c r="B879" s="34">
        <v>36</v>
      </c>
      <c r="C879" s="34">
        <v>3595</v>
      </c>
      <c r="D879" s="34">
        <v>28</v>
      </c>
      <c r="E879" s="34" t="s">
        <v>3</v>
      </c>
      <c r="F879" s="34" t="s">
        <v>4</v>
      </c>
      <c r="G879" s="39" t="s">
        <v>5</v>
      </c>
    </row>
    <row r="880" spans="1:7" x14ac:dyDescent="0.3">
      <c r="A880" s="34">
        <v>879</v>
      </c>
      <c r="B880" s="34">
        <v>9</v>
      </c>
      <c r="C880" s="34">
        <v>1422</v>
      </c>
      <c r="D880" s="34">
        <v>27</v>
      </c>
      <c r="E880" s="34" t="s">
        <v>3</v>
      </c>
      <c r="F880" s="34" t="s">
        <v>8</v>
      </c>
      <c r="G880" s="39" t="s">
        <v>7</v>
      </c>
    </row>
    <row r="881" spans="1:7" x14ac:dyDescent="0.3">
      <c r="A881" s="34">
        <v>880</v>
      </c>
      <c r="B881" s="34">
        <v>30</v>
      </c>
      <c r="C881" s="34">
        <v>6742</v>
      </c>
      <c r="D881" s="34">
        <v>36</v>
      </c>
      <c r="E881" s="34" t="s">
        <v>3</v>
      </c>
      <c r="F881" s="34" t="s">
        <v>4</v>
      </c>
      <c r="G881" s="39" t="s">
        <v>5</v>
      </c>
    </row>
    <row r="882" spans="1:7" x14ac:dyDescent="0.3">
      <c r="A882" s="34">
        <v>881</v>
      </c>
      <c r="B882" s="34">
        <v>24</v>
      </c>
      <c r="C882" s="34">
        <v>7814</v>
      </c>
      <c r="D882" s="34">
        <v>38</v>
      </c>
      <c r="E882" s="34" t="s">
        <v>3</v>
      </c>
      <c r="F882" s="34" t="s">
        <v>4</v>
      </c>
      <c r="G882" s="39" t="s">
        <v>5</v>
      </c>
    </row>
    <row r="883" spans="1:7" x14ac:dyDescent="0.3">
      <c r="A883" s="34">
        <v>882</v>
      </c>
      <c r="B883" s="34">
        <v>24</v>
      </c>
      <c r="C883" s="34">
        <v>9277</v>
      </c>
      <c r="D883" s="34">
        <v>48</v>
      </c>
      <c r="E883" s="34" t="s">
        <v>10</v>
      </c>
      <c r="F883" s="34" t="s">
        <v>8</v>
      </c>
      <c r="G883" s="39" t="s">
        <v>5</v>
      </c>
    </row>
    <row r="884" spans="1:7" x14ac:dyDescent="0.3">
      <c r="A884" s="34">
        <v>883</v>
      </c>
      <c r="B884" s="34">
        <v>30</v>
      </c>
      <c r="C884" s="34">
        <v>2181</v>
      </c>
      <c r="D884" s="34">
        <v>36</v>
      </c>
      <c r="E884" s="34" t="s">
        <v>3</v>
      </c>
      <c r="F884" s="34" t="s">
        <v>4</v>
      </c>
      <c r="G884" s="39" t="s">
        <v>5</v>
      </c>
    </row>
    <row r="885" spans="1:7" x14ac:dyDescent="0.3">
      <c r="A885" s="34">
        <v>884</v>
      </c>
      <c r="B885" s="34">
        <v>18</v>
      </c>
      <c r="C885" s="34">
        <v>1098</v>
      </c>
      <c r="D885" s="34">
        <v>65</v>
      </c>
      <c r="E885" s="34" t="s">
        <v>6</v>
      </c>
      <c r="F885" s="34" t="s">
        <v>4</v>
      </c>
      <c r="G885" s="39" t="s">
        <v>5</v>
      </c>
    </row>
    <row r="886" spans="1:7" x14ac:dyDescent="0.3">
      <c r="A886" s="34">
        <v>885</v>
      </c>
      <c r="B886" s="34">
        <v>24</v>
      </c>
      <c r="C886" s="34">
        <v>4057</v>
      </c>
      <c r="D886" s="34">
        <v>43</v>
      </c>
      <c r="E886" s="34" t="s">
        <v>10</v>
      </c>
      <c r="F886" s="34" t="s">
        <v>4</v>
      </c>
      <c r="G886" s="39" t="s">
        <v>7</v>
      </c>
    </row>
    <row r="887" spans="1:7" x14ac:dyDescent="0.3">
      <c r="A887" s="34">
        <v>886</v>
      </c>
      <c r="B887" s="34">
        <v>12</v>
      </c>
      <c r="C887" s="34">
        <v>795</v>
      </c>
      <c r="D887" s="34">
        <v>53</v>
      </c>
      <c r="E887" s="34" t="s">
        <v>6</v>
      </c>
      <c r="F887" s="34" t="s">
        <v>4</v>
      </c>
      <c r="G887" s="39" t="s">
        <v>7</v>
      </c>
    </row>
    <row r="888" spans="1:7" x14ac:dyDescent="0.3">
      <c r="A888" s="34">
        <v>887</v>
      </c>
      <c r="B888" s="34">
        <v>24</v>
      </c>
      <c r="C888" s="34">
        <v>2825</v>
      </c>
      <c r="D888" s="34">
        <v>34</v>
      </c>
      <c r="E888" s="34" t="s">
        <v>3</v>
      </c>
      <c r="F888" s="34" t="s">
        <v>4</v>
      </c>
      <c r="G888" s="39" t="s">
        <v>5</v>
      </c>
    </row>
    <row r="889" spans="1:7" x14ac:dyDescent="0.3">
      <c r="A889" s="34">
        <v>888</v>
      </c>
      <c r="B889" s="34">
        <v>48</v>
      </c>
      <c r="C889" s="34">
        <v>15672</v>
      </c>
      <c r="D889" s="34">
        <v>23</v>
      </c>
      <c r="E889" s="34" t="s">
        <v>3</v>
      </c>
      <c r="F889" s="34" t="s">
        <v>4</v>
      </c>
      <c r="G889" s="39" t="s">
        <v>7</v>
      </c>
    </row>
    <row r="890" spans="1:7" x14ac:dyDescent="0.3">
      <c r="A890" s="34">
        <v>889</v>
      </c>
      <c r="B890" s="34">
        <v>36</v>
      </c>
      <c r="C890" s="34">
        <v>6614</v>
      </c>
      <c r="D890" s="34">
        <v>34</v>
      </c>
      <c r="E890" s="34" t="s">
        <v>3</v>
      </c>
      <c r="F890" s="34" t="s">
        <v>4</v>
      </c>
      <c r="G890" s="39" t="s">
        <v>5</v>
      </c>
    </row>
    <row r="891" spans="1:7" x14ac:dyDescent="0.3">
      <c r="A891" s="34">
        <v>890</v>
      </c>
      <c r="B891" s="34">
        <v>28</v>
      </c>
      <c r="C891" s="34">
        <v>7824</v>
      </c>
      <c r="D891" s="34">
        <v>40</v>
      </c>
      <c r="E891" s="34" t="s">
        <v>3</v>
      </c>
      <c r="F891" s="34" t="s">
        <v>9</v>
      </c>
      <c r="G891" s="39" t="s">
        <v>5</v>
      </c>
    </row>
    <row r="892" spans="1:7" x14ac:dyDescent="0.3">
      <c r="A892" s="34">
        <v>891</v>
      </c>
      <c r="B892" s="34">
        <v>27</v>
      </c>
      <c r="C892" s="34">
        <v>2442</v>
      </c>
      <c r="D892" s="34">
        <v>43</v>
      </c>
      <c r="E892" s="34" t="s">
        <v>3</v>
      </c>
      <c r="F892" s="34" t="s">
        <v>4</v>
      </c>
      <c r="G892" s="39" t="s">
        <v>5</v>
      </c>
    </row>
    <row r="893" spans="1:7" x14ac:dyDescent="0.3">
      <c r="A893" s="34">
        <v>892</v>
      </c>
      <c r="B893" s="34">
        <v>15</v>
      </c>
      <c r="C893" s="34">
        <v>1829</v>
      </c>
      <c r="D893" s="34">
        <v>46</v>
      </c>
      <c r="E893" s="34" t="s">
        <v>3</v>
      </c>
      <c r="F893" s="34" t="s">
        <v>4</v>
      </c>
      <c r="G893" s="39" t="s">
        <v>5</v>
      </c>
    </row>
    <row r="894" spans="1:7" x14ac:dyDescent="0.3">
      <c r="A894" s="34">
        <v>893</v>
      </c>
      <c r="B894" s="34">
        <v>12</v>
      </c>
      <c r="C894" s="34">
        <v>2171</v>
      </c>
      <c r="D894" s="34">
        <v>38</v>
      </c>
      <c r="E894" s="34" t="s">
        <v>3</v>
      </c>
      <c r="F894" s="34" t="s">
        <v>4</v>
      </c>
      <c r="G894" s="39" t="s">
        <v>5</v>
      </c>
    </row>
    <row r="895" spans="1:7" x14ac:dyDescent="0.3">
      <c r="A895" s="34">
        <v>894</v>
      </c>
      <c r="B895" s="34">
        <v>36</v>
      </c>
      <c r="C895" s="34">
        <v>5800</v>
      </c>
      <c r="D895" s="34">
        <v>34</v>
      </c>
      <c r="E895" s="34" t="s">
        <v>3</v>
      </c>
      <c r="F895" s="34" t="s">
        <v>4</v>
      </c>
      <c r="G895" s="39" t="s">
        <v>5</v>
      </c>
    </row>
    <row r="896" spans="1:7" x14ac:dyDescent="0.3">
      <c r="A896" s="34">
        <v>895</v>
      </c>
      <c r="B896" s="34">
        <v>18</v>
      </c>
      <c r="C896" s="34">
        <v>1169</v>
      </c>
      <c r="D896" s="34">
        <v>29</v>
      </c>
      <c r="E896" s="34" t="s">
        <v>3</v>
      </c>
      <c r="F896" s="34" t="s">
        <v>4</v>
      </c>
      <c r="G896" s="39" t="s">
        <v>5</v>
      </c>
    </row>
    <row r="897" spans="1:7" x14ac:dyDescent="0.3">
      <c r="A897" s="34">
        <v>896</v>
      </c>
      <c r="B897" s="34">
        <v>36</v>
      </c>
      <c r="C897" s="34">
        <v>8947</v>
      </c>
      <c r="D897" s="34">
        <v>31</v>
      </c>
      <c r="E897" s="34" t="s">
        <v>3</v>
      </c>
      <c r="F897" s="34" t="s">
        <v>4</v>
      </c>
      <c r="G897" s="39" t="s">
        <v>5</v>
      </c>
    </row>
    <row r="898" spans="1:7" x14ac:dyDescent="0.3">
      <c r="A898" s="34">
        <v>897</v>
      </c>
      <c r="B898" s="34">
        <v>21</v>
      </c>
      <c r="C898" s="34">
        <v>2606</v>
      </c>
      <c r="D898" s="34">
        <v>28</v>
      </c>
      <c r="E898" s="34" t="s">
        <v>6</v>
      </c>
      <c r="F898" s="34" t="s">
        <v>9</v>
      </c>
      <c r="G898" s="39" t="s">
        <v>5</v>
      </c>
    </row>
    <row r="899" spans="1:7" x14ac:dyDescent="0.3">
      <c r="A899" s="34">
        <v>898</v>
      </c>
      <c r="B899" s="34">
        <v>12</v>
      </c>
      <c r="C899" s="34">
        <v>1592</v>
      </c>
      <c r="D899" s="34">
        <v>35</v>
      </c>
      <c r="E899" s="34" t="s">
        <v>6</v>
      </c>
      <c r="F899" s="34" t="s">
        <v>4</v>
      </c>
      <c r="G899" s="39" t="s">
        <v>5</v>
      </c>
    </row>
    <row r="900" spans="1:7" x14ac:dyDescent="0.3">
      <c r="A900" s="34">
        <v>899</v>
      </c>
      <c r="B900" s="34">
        <v>15</v>
      </c>
      <c r="C900" s="34">
        <v>2186</v>
      </c>
      <c r="D900" s="34">
        <v>33</v>
      </c>
      <c r="E900" s="34" t="s">
        <v>6</v>
      </c>
      <c r="F900" s="34" t="s">
        <v>9</v>
      </c>
      <c r="G900" s="39" t="s">
        <v>5</v>
      </c>
    </row>
    <row r="901" spans="1:7" x14ac:dyDescent="0.3">
      <c r="A901" s="34">
        <v>900</v>
      </c>
      <c r="B901" s="34">
        <v>18</v>
      </c>
      <c r="C901" s="34">
        <v>4153</v>
      </c>
      <c r="D901" s="34">
        <v>42</v>
      </c>
      <c r="E901" s="34" t="s">
        <v>3</v>
      </c>
      <c r="F901" s="34" t="s">
        <v>4</v>
      </c>
      <c r="G901" s="39" t="s">
        <v>7</v>
      </c>
    </row>
    <row r="902" spans="1:7" x14ac:dyDescent="0.3">
      <c r="A902" s="34">
        <v>901</v>
      </c>
      <c r="B902" s="34">
        <v>16</v>
      </c>
      <c r="C902" s="34">
        <v>2625</v>
      </c>
      <c r="D902" s="34">
        <v>43</v>
      </c>
      <c r="E902" s="34" t="s">
        <v>3</v>
      </c>
      <c r="F902" s="34" t="s">
        <v>9</v>
      </c>
      <c r="G902" s="39" t="s">
        <v>7</v>
      </c>
    </row>
    <row r="903" spans="1:7" x14ac:dyDescent="0.3">
      <c r="A903" s="34">
        <v>902</v>
      </c>
      <c r="B903" s="34">
        <v>20</v>
      </c>
      <c r="C903" s="34">
        <v>3485</v>
      </c>
      <c r="D903" s="34">
        <v>44</v>
      </c>
      <c r="E903" s="34" t="s">
        <v>10</v>
      </c>
      <c r="F903" s="34" t="s">
        <v>4</v>
      </c>
      <c r="G903" s="39" t="s">
        <v>5</v>
      </c>
    </row>
    <row r="904" spans="1:7" x14ac:dyDescent="0.3">
      <c r="A904" s="34">
        <v>903</v>
      </c>
      <c r="B904" s="34">
        <v>36</v>
      </c>
      <c r="C904" s="34">
        <v>10477</v>
      </c>
      <c r="D904" s="34">
        <v>42</v>
      </c>
      <c r="E904" s="34" t="s">
        <v>3</v>
      </c>
      <c r="F904" s="34" t="s">
        <v>8</v>
      </c>
      <c r="G904" s="39" t="s">
        <v>5</v>
      </c>
    </row>
    <row r="905" spans="1:7" x14ac:dyDescent="0.3">
      <c r="A905" s="34">
        <v>904</v>
      </c>
      <c r="B905" s="34">
        <v>15</v>
      </c>
      <c r="C905" s="34">
        <v>1386</v>
      </c>
      <c r="D905" s="34">
        <v>40</v>
      </c>
      <c r="E905" s="34" t="s">
        <v>11</v>
      </c>
      <c r="F905" s="34" t="s">
        <v>9</v>
      </c>
      <c r="G905" s="39" t="s">
        <v>5</v>
      </c>
    </row>
    <row r="906" spans="1:7" x14ac:dyDescent="0.3">
      <c r="A906" s="34">
        <v>905</v>
      </c>
      <c r="B906" s="34">
        <v>24</v>
      </c>
      <c r="C906" s="34">
        <v>1278</v>
      </c>
      <c r="D906" s="34">
        <v>36</v>
      </c>
      <c r="E906" s="34" t="s">
        <v>3</v>
      </c>
      <c r="F906" s="34" t="s">
        <v>4</v>
      </c>
      <c r="G906" s="39" t="s">
        <v>5</v>
      </c>
    </row>
    <row r="907" spans="1:7" x14ac:dyDescent="0.3">
      <c r="A907" s="34">
        <v>906</v>
      </c>
      <c r="B907" s="34">
        <v>12</v>
      </c>
      <c r="C907" s="34">
        <v>1107</v>
      </c>
      <c r="D907" s="34">
        <v>20</v>
      </c>
      <c r="E907" s="34" t="s">
        <v>3</v>
      </c>
      <c r="F907" s="34" t="s">
        <v>9</v>
      </c>
      <c r="G907" s="39" t="s">
        <v>5</v>
      </c>
    </row>
    <row r="908" spans="1:7" x14ac:dyDescent="0.3">
      <c r="A908" s="34">
        <v>907</v>
      </c>
      <c r="B908" s="34">
        <v>21</v>
      </c>
      <c r="C908" s="34">
        <v>3763</v>
      </c>
      <c r="D908" s="34">
        <v>24</v>
      </c>
      <c r="E908" s="34" t="s">
        <v>3</v>
      </c>
      <c r="F908" s="34" t="s">
        <v>4</v>
      </c>
      <c r="G908" s="39" t="s">
        <v>5</v>
      </c>
    </row>
    <row r="909" spans="1:7" x14ac:dyDescent="0.3">
      <c r="A909" s="34">
        <v>908</v>
      </c>
      <c r="B909" s="34">
        <v>36</v>
      </c>
      <c r="C909" s="34">
        <v>3711</v>
      </c>
      <c r="D909" s="34">
        <v>27</v>
      </c>
      <c r="E909" s="34" t="s">
        <v>11</v>
      </c>
      <c r="F909" s="34" t="s">
        <v>4</v>
      </c>
      <c r="G909" s="39" t="s">
        <v>5</v>
      </c>
    </row>
    <row r="910" spans="1:7" x14ac:dyDescent="0.3">
      <c r="A910" s="34">
        <v>909</v>
      </c>
      <c r="B910" s="34">
        <v>15</v>
      </c>
      <c r="C910" s="34">
        <v>3594</v>
      </c>
      <c r="D910" s="34">
        <v>46</v>
      </c>
      <c r="E910" s="34" t="s">
        <v>6</v>
      </c>
      <c r="F910" s="34" t="s">
        <v>4</v>
      </c>
      <c r="G910" s="39" t="s">
        <v>5</v>
      </c>
    </row>
    <row r="911" spans="1:7" x14ac:dyDescent="0.3">
      <c r="A911" s="34">
        <v>910</v>
      </c>
      <c r="B911" s="34">
        <v>9</v>
      </c>
      <c r="C911" s="34">
        <v>3195</v>
      </c>
      <c r="D911" s="34">
        <v>33</v>
      </c>
      <c r="E911" s="34" t="s">
        <v>6</v>
      </c>
      <c r="F911" s="34" t="s">
        <v>4</v>
      </c>
      <c r="G911" s="39" t="s">
        <v>5</v>
      </c>
    </row>
    <row r="912" spans="1:7" x14ac:dyDescent="0.3">
      <c r="A912" s="34">
        <v>911</v>
      </c>
      <c r="B912" s="34">
        <v>36</v>
      </c>
      <c r="C912" s="34">
        <v>4454</v>
      </c>
      <c r="D912" s="34">
        <v>34</v>
      </c>
      <c r="E912" s="34" t="s">
        <v>6</v>
      </c>
      <c r="F912" s="34" t="s">
        <v>4</v>
      </c>
      <c r="G912" s="39" t="s">
        <v>5</v>
      </c>
    </row>
    <row r="913" spans="1:7" x14ac:dyDescent="0.3">
      <c r="A913" s="34">
        <v>912</v>
      </c>
      <c r="B913" s="34">
        <v>24</v>
      </c>
      <c r="C913" s="34">
        <v>4736</v>
      </c>
      <c r="D913" s="34">
        <v>25</v>
      </c>
      <c r="E913" s="34" t="s">
        <v>6</v>
      </c>
      <c r="F913" s="34" t="s">
        <v>4</v>
      </c>
      <c r="G913" s="39" t="s">
        <v>7</v>
      </c>
    </row>
    <row r="914" spans="1:7" x14ac:dyDescent="0.3">
      <c r="A914" s="34">
        <v>913</v>
      </c>
      <c r="B914" s="34">
        <v>30</v>
      </c>
      <c r="C914" s="34">
        <v>2991</v>
      </c>
      <c r="D914" s="34">
        <v>25</v>
      </c>
      <c r="E914" s="34" t="s">
        <v>6</v>
      </c>
      <c r="F914" s="34" t="s">
        <v>4</v>
      </c>
      <c r="G914" s="39" t="s">
        <v>5</v>
      </c>
    </row>
    <row r="915" spans="1:7" x14ac:dyDescent="0.3">
      <c r="A915" s="34">
        <v>914</v>
      </c>
      <c r="B915" s="34">
        <v>11</v>
      </c>
      <c r="C915" s="34">
        <v>2142</v>
      </c>
      <c r="D915" s="34">
        <v>28</v>
      </c>
      <c r="E915" s="34" t="s">
        <v>10</v>
      </c>
      <c r="F915" s="34" t="s">
        <v>4</v>
      </c>
      <c r="G915" s="39" t="s">
        <v>5</v>
      </c>
    </row>
    <row r="916" spans="1:7" x14ac:dyDescent="0.3">
      <c r="A916" s="34">
        <v>915</v>
      </c>
      <c r="B916" s="34">
        <v>24</v>
      </c>
      <c r="C916" s="34">
        <v>3161</v>
      </c>
      <c r="D916" s="34">
        <v>31</v>
      </c>
      <c r="E916" s="34" t="s">
        <v>3</v>
      </c>
      <c r="F916" s="34" t="s">
        <v>9</v>
      </c>
      <c r="G916" s="39" t="s">
        <v>7</v>
      </c>
    </row>
    <row r="917" spans="1:7" x14ac:dyDescent="0.3">
      <c r="A917" s="34">
        <v>916</v>
      </c>
      <c r="B917" s="34">
        <v>48</v>
      </c>
      <c r="C917" s="34">
        <v>18424</v>
      </c>
      <c r="D917" s="34">
        <v>32</v>
      </c>
      <c r="E917" s="34" t="s">
        <v>6</v>
      </c>
      <c r="F917" s="34" t="s">
        <v>4</v>
      </c>
      <c r="G917" s="39" t="s">
        <v>7</v>
      </c>
    </row>
    <row r="918" spans="1:7" x14ac:dyDescent="0.3">
      <c r="A918" s="34">
        <v>917</v>
      </c>
      <c r="B918" s="34">
        <v>10</v>
      </c>
      <c r="C918" s="34">
        <v>2848</v>
      </c>
      <c r="D918" s="34">
        <v>32</v>
      </c>
      <c r="E918" s="34" t="s">
        <v>3</v>
      </c>
      <c r="F918" s="34" t="s">
        <v>4</v>
      </c>
      <c r="G918" s="39" t="s">
        <v>5</v>
      </c>
    </row>
    <row r="919" spans="1:7" x14ac:dyDescent="0.3">
      <c r="A919" s="34">
        <v>918</v>
      </c>
      <c r="B919" s="34">
        <v>6</v>
      </c>
      <c r="C919" s="34">
        <v>14896</v>
      </c>
      <c r="D919" s="34">
        <v>68</v>
      </c>
      <c r="E919" s="34" t="s">
        <v>3</v>
      </c>
      <c r="F919" s="34" t="s">
        <v>4</v>
      </c>
      <c r="G919" s="39" t="s">
        <v>7</v>
      </c>
    </row>
    <row r="920" spans="1:7" x14ac:dyDescent="0.3">
      <c r="A920" s="34">
        <v>919</v>
      </c>
      <c r="B920" s="34">
        <v>24</v>
      </c>
      <c r="C920" s="34">
        <v>2359</v>
      </c>
      <c r="D920" s="34">
        <v>33</v>
      </c>
      <c r="E920" s="34" t="s">
        <v>10</v>
      </c>
      <c r="F920" s="34" t="s">
        <v>4</v>
      </c>
      <c r="G920" s="39" t="s">
        <v>7</v>
      </c>
    </row>
    <row r="921" spans="1:7" x14ac:dyDescent="0.3">
      <c r="A921" s="34">
        <v>920</v>
      </c>
      <c r="B921" s="34">
        <v>24</v>
      </c>
      <c r="C921" s="34">
        <v>3345</v>
      </c>
      <c r="D921" s="34">
        <v>39</v>
      </c>
      <c r="E921" s="34" t="s">
        <v>3</v>
      </c>
      <c r="F921" s="34" t="s">
        <v>9</v>
      </c>
      <c r="G921" s="39" t="s">
        <v>7</v>
      </c>
    </row>
    <row r="922" spans="1:7" x14ac:dyDescent="0.3">
      <c r="A922" s="34">
        <v>921</v>
      </c>
      <c r="B922" s="34">
        <v>18</v>
      </c>
      <c r="C922" s="34">
        <v>1817</v>
      </c>
      <c r="D922" s="34">
        <v>28</v>
      </c>
      <c r="E922" s="34" t="s">
        <v>6</v>
      </c>
      <c r="F922" s="34" t="s">
        <v>4</v>
      </c>
      <c r="G922" s="39" t="s">
        <v>5</v>
      </c>
    </row>
    <row r="923" spans="1:7" x14ac:dyDescent="0.3">
      <c r="A923" s="34">
        <v>922</v>
      </c>
      <c r="B923" s="34">
        <v>48</v>
      </c>
      <c r="C923" s="34">
        <v>12749</v>
      </c>
      <c r="D923" s="34">
        <v>37</v>
      </c>
      <c r="E923" s="34" t="s">
        <v>3</v>
      </c>
      <c r="F923" s="34" t="s">
        <v>4</v>
      </c>
      <c r="G923" s="39" t="s">
        <v>5</v>
      </c>
    </row>
    <row r="924" spans="1:7" x14ac:dyDescent="0.3">
      <c r="A924" s="34">
        <v>923</v>
      </c>
      <c r="B924" s="34">
        <v>9</v>
      </c>
      <c r="C924" s="34">
        <v>1366</v>
      </c>
      <c r="D924" s="34">
        <v>22</v>
      </c>
      <c r="E924" s="34" t="s">
        <v>6</v>
      </c>
      <c r="F924" s="34" t="s">
        <v>9</v>
      </c>
      <c r="G924" s="39" t="s">
        <v>7</v>
      </c>
    </row>
    <row r="925" spans="1:7" x14ac:dyDescent="0.3">
      <c r="A925" s="34">
        <v>924</v>
      </c>
      <c r="B925" s="34">
        <v>12</v>
      </c>
      <c r="C925" s="34">
        <v>2002</v>
      </c>
      <c r="D925" s="34">
        <v>30</v>
      </c>
      <c r="E925" s="34" t="s">
        <v>3</v>
      </c>
      <c r="F925" s="34" t="s">
        <v>9</v>
      </c>
      <c r="G925" s="39" t="s">
        <v>5</v>
      </c>
    </row>
    <row r="926" spans="1:7" x14ac:dyDescent="0.3">
      <c r="A926" s="34">
        <v>925</v>
      </c>
      <c r="B926" s="34">
        <v>24</v>
      </c>
      <c r="C926" s="34">
        <v>6872</v>
      </c>
      <c r="D926" s="34">
        <v>55</v>
      </c>
      <c r="E926" s="34" t="s">
        <v>10</v>
      </c>
      <c r="F926" s="34" t="s">
        <v>4</v>
      </c>
      <c r="G926" s="39" t="s">
        <v>7</v>
      </c>
    </row>
    <row r="927" spans="1:7" x14ac:dyDescent="0.3">
      <c r="A927" s="34">
        <v>926</v>
      </c>
      <c r="B927" s="34">
        <v>12</v>
      </c>
      <c r="C927" s="34">
        <v>697</v>
      </c>
      <c r="D927" s="34">
        <v>46</v>
      </c>
      <c r="E927" s="34" t="s">
        <v>3</v>
      </c>
      <c r="F927" s="34" t="s">
        <v>4</v>
      </c>
      <c r="G927" s="39" t="s">
        <v>7</v>
      </c>
    </row>
    <row r="928" spans="1:7" x14ac:dyDescent="0.3">
      <c r="A928" s="34">
        <v>927</v>
      </c>
      <c r="B928" s="34">
        <v>18</v>
      </c>
      <c r="C928" s="34">
        <v>1049</v>
      </c>
      <c r="D928" s="34">
        <v>21</v>
      </c>
      <c r="E928" s="34" t="s">
        <v>6</v>
      </c>
      <c r="F928" s="34" t="s">
        <v>9</v>
      </c>
      <c r="G928" s="39" t="s">
        <v>5</v>
      </c>
    </row>
    <row r="929" spans="1:7" x14ac:dyDescent="0.3">
      <c r="A929" s="34">
        <v>928</v>
      </c>
      <c r="B929" s="34">
        <v>48</v>
      </c>
      <c r="C929" s="34">
        <v>10297</v>
      </c>
      <c r="D929" s="34">
        <v>39</v>
      </c>
      <c r="E929" s="34" t="s">
        <v>3</v>
      </c>
      <c r="F929" s="34" t="s">
        <v>8</v>
      </c>
      <c r="G929" s="39" t="s">
        <v>7</v>
      </c>
    </row>
    <row r="930" spans="1:7" x14ac:dyDescent="0.3">
      <c r="A930" s="34">
        <v>929</v>
      </c>
      <c r="B930" s="34">
        <v>30</v>
      </c>
      <c r="C930" s="34">
        <v>1867</v>
      </c>
      <c r="D930" s="34">
        <v>58</v>
      </c>
      <c r="E930" s="34" t="s">
        <v>3</v>
      </c>
      <c r="F930" s="34" t="s">
        <v>4</v>
      </c>
      <c r="G930" s="39" t="s">
        <v>5</v>
      </c>
    </row>
    <row r="931" spans="1:7" x14ac:dyDescent="0.3">
      <c r="A931" s="34">
        <v>930</v>
      </c>
      <c r="B931" s="34">
        <v>12</v>
      </c>
      <c r="C931" s="34">
        <v>1344</v>
      </c>
      <c r="D931" s="34">
        <v>43</v>
      </c>
      <c r="E931" s="34" t="s">
        <v>3</v>
      </c>
      <c r="F931" s="34" t="s">
        <v>4</v>
      </c>
      <c r="G931" s="39" t="s">
        <v>5</v>
      </c>
    </row>
    <row r="932" spans="1:7" x14ac:dyDescent="0.3">
      <c r="A932" s="34">
        <v>931</v>
      </c>
      <c r="B932" s="34">
        <v>24</v>
      </c>
      <c r="C932" s="34">
        <v>1747</v>
      </c>
      <c r="D932" s="34">
        <v>24</v>
      </c>
      <c r="E932" s="34" t="s">
        <v>3</v>
      </c>
      <c r="F932" s="34" t="s">
        <v>4</v>
      </c>
      <c r="G932" s="39" t="s">
        <v>5</v>
      </c>
    </row>
    <row r="933" spans="1:7" x14ac:dyDescent="0.3">
      <c r="A933" s="34">
        <v>932</v>
      </c>
      <c r="B933" s="34">
        <v>9</v>
      </c>
      <c r="C933" s="34">
        <v>1670</v>
      </c>
      <c r="D933" s="34">
        <v>22</v>
      </c>
      <c r="E933" s="34" t="s">
        <v>6</v>
      </c>
      <c r="F933" s="34" t="s">
        <v>4</v>
      </c>
      <c r="G933" s="39" t="s">
        <v>7</v>
      </c>
    </row>
    <row r="934" spans="1:7" x14ac:dyDescent="0.3">
      <c r="A934" s="34">
        <v>933</v>
      </c>
      <c r="B934" s="34">
        <v>9</v>
      </c>
      <c r="C934" s="34">
        <v>1224</v>
      </c>
      <c r="D934" s="34">
        <v>30</v>
      </c>
      <c r="E934" s="34" t="s">
        <v>3</v>
      </c>
      <c r="F934" s="34" t="s">
        <v>4</v>
      </c>
      <c r="G934" s="39" t="s">
        <v>5</v>
      </c>
    </row>
    <row r="935" spans="1:7" x14ac:dyDescent="0.3">
      <c r="A935" s="34">
        <v>934</v>
      </c>
      <c r="B935" s="34">
        <v>12</v>
      </c>
      <c r="C935" s="34">
        <v>522</v>
      </c>
      <c r="D935" s="34">
        <v>42</v>
      </c>
      <c r="E935" s="34" t="s">
        <v>3</v>
      </c>
      <c r="F935" s="34" t="s">
        <v>4</v>
      </c>
      <c r="G935" s="39" t="s">
        <v>5</v>
      </c>
    </row>
    <row r="936" spans="1:7" x14ac:dyDescent="0.3">
      <c r="A936" s="34">
        <v>935</v>
      </c>
      <c r="B936" s="34">
        <v>12</v>
      </c>
      <c r="C936" s="34">
        <v>1498</v>
      </c>
      <c r="D936" s="34">
        <v>23</v>
      </c>
      <c r="E936" s="34" t="s">
        <v>6</v>
      </c>
      <c r="F936" s="34" t="s">
        <v>4</v>
      </c>
      <c r="G936" s="39" t="s">
        <v>5</v>
      </c>
    </row>
    <row r="937" spans="1:7" x14ac:dyDescent="0.3">
      <c r="A937" s="34">
        <v>936</v>
      </c>
      <c r="B937" s="34">
        <v>30</v>
      </c>
      <c r="C937" s="34">
        <v>1919</v>
      </c>
      <c r="D937" s="34">
        <v>30</v>
      </c>
      <c r="E937" s="34" t="s">
        <v>3</v>
      </c>
      <c r="F937" s="34" t="s">
        <v>4</v>
      </c>
      <c r="G937" s="39" t="s">
        <v>7</v>
      </c>
    </row>
    <row r="938" spans="1:7" x14ac:dyDescent="0.3">
      <c r="A938" s="34">
        <v>937</v>
      </c>
      <c r="B938" s="34">
        <v>9</v>
      </c>
      <c r="C938" s="34">
        <v>745</v>
      </c>
      <c r="D938" s="34">
        <v>28</v>
      </c>
      <c r="E938" s="34" t="s">
        <v>6</v>
      </c>
      <c r="F938" s="34" t="s">
        <v>4</v>
      </c>
      <c r="G938" s="39" t="s">
        <v>7</v>
      </c>
    </row>
    <row r="939" spans="1:7" x14ac:dyDescent="0.3">
      <c r="A939" s="34">
        <v>938</v>
      </c>
      <c r="B939" s="34">
        <v>6</v>
      </c>
      <c r="C939" s="34">
        <v>2063</v>
      </c>
      <c r="D939" s="34">
        <v>30</v>
      </c>
      <c r="E939" s="34" t="s">
        <v>11</v>
      </c>
      <c r="F939" s="34" t="s">
        <v>9</v>
      </c>
      <c r="G939" s="39" t="s">
        <v>5</v>
      </c>
    </row>
    <row r="940" spans="1:7" x14ac:dyDescent="0.3">
      <c r="A940" s="34">
        <v>939</v>
      </c>
      <c r="B940" s="34">
        <v>60</v>
      </c>
      <c r="C940" s="34">
        <v>6288</v>
      </c>
      <c r="D940" s="34">
        <v>42</v>
      </c>
      <c r="E940" s="34" t="s">
        <v>3</v>
      </c>
      <c r="F940" s="34" t="s">
        <v>8</v>
      </c>
      <c r="G940" s="39" t="s">
        <v>7</v>
      </c>
    </row>
    <row r="941" spans="1:7" x14ac:dyDescent="0.3">
      <c r="A941" s="34">
        <v>940</v>
      </c>
      <c r="B941" s="34">
        <v>24</v>
      </c>
      <c r="C941" s="34">
        <v>6842</v>
      </c>
      <c r="D941" s="34">
        <v>46</v>
      </c>
      <c r="E941" s="34" t="s">
        <v>3</v>
      </c>
      <c r="F941" s="34" t="s">
        <v>4</v>
      </c>
      <c r="G941" s="39" t="s">
        <v>5</v>
      </c>
    </row>
    <row r="942" spans="1:7" x14ac:dyDescent="0.3">
      <c r="A942" s="34">
        <v>941</v>
      </c>
      <c r="B942" s="34">
        <v>12</v>
      </c>
      <c r="C942" s="34">
        <v>3527</v>
      </c>
      <c r="D942" s="34">
        <v>45</v>
      </c>
      <c r="E942" s="34" t="s">
        <v>3</v>
      </c>
      <c r="F942" s="34" t="s">
        <v>4</v>
      </c>
      <c r="G942" s="39" t="s">
        <v>5</v>
      </c>
    </row>
    <row r="943" spans="1:7" x14ac:dyDescent="0.3">
      <c r="A943" s="34">
        <v>942</v>
      </c>
      <c r="B943" s="34">
        <v>10</v>
      </c>
      <c r="C943" s="34">
        <v>1546</v>
      </c>
      <c r="D943" s="34">
        <v>31</v>
      </c>
      <c r="E943" s="34" t="s">
        <v>3</v>
      </c>
      <c r="F943" s="34" t="s">
        <v>4</v>
      </c>
      <c r="G943" s="39" t="s">
        <v>5</v>
      </c>
    </row>
    <row r="944" spans="1:7" x14ac:dyDescent="0.3">
      <c r="A944" s="34">
        <v>943</v>
      </c>
      <c r="B944" s="34">
        <v>24</v>
      </c>
      <c r="C944" s="34">
        <v>929</v>
      </c>
      <c r="D944" s="34">
        <v>31</v>
      </c>
      <c r="E944" s="34" t="s">
        <v>3</v>
      </c>
      <c r="F944" s="34" t="s">
        <v>4</v>
      </c>
      <c r="G944" s="39" t="s">
        <v>5</v>
      </c>
    </row>
    <row r="945" spans="1:7" x14ac:dyDescent="0.3">
      <c r="A945" s="34">
        <v>944</v>
      </c>
      <c r="B945" s="34">
        <v>4</v>
      </c>
      <c r="C945" s="34">
        <v>1455</v>
      </c>
      <c r="D945" s="34">
        <v>42</v>
      </c>
      <c r="E945" s="34" t="s">
        <v>3</v>
      </c>
      <c r="F945" s="34" t="s">
        <v>4</v>
      </c>
      <c r="G945" s="39" t="s">
        <v>5</v>
      </c>
    </row>
    <row r="946" spans="1:7" x14ac:dyDescent="0.3">
      <c r="A946" s="34">
        <v>945</v>
      </c>
      <c r="B946" s="34">
        <v>15</v>
      </c>
      <c r="C946" s="34">
        <v>1845</v>
      </c>
      <c r="D946" s="34">
        <v>46</v>
      </c>
      <c r="E946" s="34" t="s">
        <v>6</v>
      </c>
      <c r="F946" s="34" t="s">
        <v>9</v>
      </c>
      <c r="G946" s="39" t="s">
        <v>5</v>
      </c>
    </row>
    <row r="947" spans="1:7" x14ac:dyDescent="0.3">
      <c r="A947" s="34">
        <v>946</v>
      </c>
      <c r="B947" s="34">
        <v>48</v>
      </c>
      <c r="C947" s="34">
        <v>8358</v>
      </c>
      <c r="D947" s="34">
        <v>30</v>
      </c>
      <c r="E947" s="34" t="s">
        <v>6</v>
      </c>
      <c r="F947" s="34" t="s">
        <v>4</v>
      </c>
      <c r="G947" s="39" t="s">
        <v>5</v>
      </c>
    </row>
    <row r="948" spans="1:7" x14ac:dyDescent="0.3">
      <c r="A948" s="34">
        <v>947</v>
      </c>
      <c r="B948" s="34">
        <v>24</v>
      </c>
      <c r="C948" s="34">
        <v>3349</v>
      </c>
      <c r="D948" s="34">
        <v>30</v>
      </c>
      <c r="E948" s="34" t="s">
        <v>3</v>
      </c>
      <c r="F948" s="34" t="s">
        <v>8</v>
      </c>
      <c r="G948" s="39" t="s">
        <v>7</v>
      </c>
    </row>
    <row r="949" spans="1:7" x14ac:dyDescent="0.3">
      <c r="A949" s="34">
        <v>948</v>
      </c>
      <c r="B949" s="34">
        <v>12</v>
      </c>
      <c r="C949" s="34">
        <v>2859</v>
      </c>
      <c r="D949" s="34">
        <v>38</v>
      </c>
      <c r="E949" s="34" t="s">
        <v>3</v>
      </c>
      <c r="F949" s="34" t="s">
        <v>4</v>
      </c>
      <c r="G949" s="39" t="s">
        <v>5</v>
      </c>
    </row>
    <row r="950" spans="1:7" x14ac:dyDescent="0.3">
      <c r="A950" s="34">
        <v>949</v>
      </c>
      <c r="B950" s="34">
        <v>18</v>
      </c>
      <c r="C950" s="34">
        <v>1533</v>
      </c>
      <c r="D950" s="34">
        <v>43</v>
      </c>
      <c r="E950" s="34" t="s">
        <v>11</v>
      </c>
      <c r="F950" s="34" t="s">
        <v>4</v>
      </c>
      <c r="G950" s="39" t="s">
        <v>7</v>
      </c>
    </row>
    <row r="951" spans="1:7" x14ac:dyDescent="0.3">
      <c r="A951" s="34">
        <v>950</v>
      </c>
      <c r="B951" s="34">
        <v>24</v>
      </c>
      <c r="C951" s="34">
        <v>3621</v>
      </c>
      <c r="D951" s="34">
        <v>31</v>
      </c>
      <c r="E951" s="34" t="s">
        <v>3</v>
      </c>
      <c r="F951" s="34" t="s">
        <v>4</v>
      </c>
      <c r="G951" s="39" t="s">
        <v>7</v>
      </c>
    </row>
    <row r="952" spans="1:7" x14ac:dyDescent="0.3">
      <c r="A952" s="34">
        <v>951</v>
      </c>
      <c r="B952" s="34">
        <v>18</v>
      </c>
      <c r="C952" s="34">
        <v>3590</v>
      </c>
      <c r="D952" s="34">
        <v>40</v>
      </c>
      <c r="E952" s="34" t="s">
        <v>11</v>
      </c>
      <c r="F952" s="34" t="s">
        <v>4</v>
      </c>
      <c r="G952" s="39" t="s">
        <v>5</v>
      </c>
    </row>
    <row r="953" spans="1:7" x14ac:dyDescent="0.3">
      <c r="A953" s="34">
        <v>952</v>
      </c>
      <c r="B953" s="34">
        <v>36</v>
      </c>
      <c r="C953" s="34">
        <v>2145</v>
      </c>
      <c r="D953" s="34">
        <v>24</v>
      </c>
      <c r="E953" s="34" t="s">
        <v>3</v>
      </c>
      <c r="F953" s="34" t="s">
        <v>4</v>
      </c>
      <c r="G953" s="39" t="s">
        <v>7</v>
      </c>
    </row>
    <row r="954" spans="1:7" x14ac:dyDescent="0.3">
      <c r="A954" s="34">
        <v>953</v>
      </c>
      <c r="B954" s="34">
        <v>24</v>
      </c>
      <c r="C954" s="34">
        <v>4113</v>
      </c>
      <c r="D954" s="34">
        <v>28</v>
      </c>
      <c r="E954" s="34" t="s">
        <v>6</v>
      </c>
      <c r="F954" s="34" t="s">
        <v>9</v>
      </c>
      <c r="G954" s="39" t="s">
        <v>7</v>
      </c>
    </row>
    <row r="955" spans="1:7" x14ac:dyDescent="0.3">
      <c r="A955" s="34">
        <v>954</v>
      </c>
      <c r="B955" s="34">
        <v>36</v>
      </c>
      <c r="C955" s="34">
        <v>10974</v>
      </c>
      <c r="D955" s="34">
        <v>26</v>
      </c>
      <c r="E955" s="34" t="s">
        <v>6</v>
      </c>
      <c r="F955" s="34" t="s">
        <v>4</v>
      </c>
      <c r="G955" s="39" t="s">
        <v>7</v>
      </c>
    </row>
    <row r="956" spans="1:7" x14ac:dyDescent="0.3">
      <c r="A956" s="34">
        <v>955</v>
      </c>
      <c r="B956" s="34">
        <v>12</v>
      </c>
      <c r="C956" s="34">
        <v>1893</v>
      </c>
      <c r="D956" s="34">
        <v>29</v>
      </c>
      <c r="E956" s="34" t="s">
        <v>6</v>
      </c>
      <c r="F956" s="34" t="s">
        <v>4</v>
      </c>
      <c r="G956" s="39" t="s">
        <v>5</v>
      </c>
    </row>
    <row r="957" spans="1:7" x14ac:dyDescent="0.3">
      <c r="A957" s="34">
        <v>956</v>
      </c>
      <c r="B957" s="34">
        <v>24</v>
      </c>
      <c r="C957" s="34">
        <v>1231</v>
      </c>
      <c r="D957" s="34">
        <v>57</v>
      </c>
      <c r="E957" s="34" t="s">
        <v>6</v>
      </c>
      <c r="F957" s="34" t="s">
        <v>9</v>
      </c>
      <c r="G957" s="39" t="s">
        <v>5</v>
      </c>
    </row>
    <row r="958" spans="1:7" x14ac:dyDescent="0.3">
      <c r="A958" s="34">
        <v>957</v>
      </c>
      <c r="B958" s="34">
        <v>30</v>
      </c>
      <c r="C958" s="34">
        <v>3656</v>
      </c>
      <c r="D958" s="34">
        <v>49</v>
      </c>
      <c r="E958" s="34" t="s">
        <v>3</v>
      </c>
      <c r="F958" s="34" t="s">
        <v>4</v>
      </c>
      <c r="G958" s="39" t="s">
        <v>5</v>
      </c>
    </row>
    <row r="959" spans="1:7" x14ac:dyDescent="0.3">
      <c r="A959" s="34">
        <v>958</v>
      </c>
      <c r="B959" s="34">
        <v>9</v>
      </c>
      <c r="C959" s="34">
        <v>1154</v>
      </c>
      <c r="D959" s="34">
        <v>37</v>
      </c>
      <c r="E959" s="34" t="s">
        <v>3</v>
      </c>
      <c r="F959" s="34" t="s">
        <v>4</v>
      </c>
      <c r="G959" s="39" t="s">
        <v>5</v>
      </c>
    </row>
    <row r="960" spans="1:7" x14ac:dyDescent="0.3">
      <c r="A960" s="34">
        <v>959</v>
      </c>
      <c r="B960" s="34">
        <v>28</v>
      </c>
      <c r="C960" s="34">
        <v>4006</v>
      </c>
      <c r="D960" s="34">
        <v>45</v>
      </c>
      <c r="E960" s="34" t="s">
        <v>3</v>
      </c>
      <c r="F960" s="34" t="s">
        <v>4</v>
      </c>
      <c r="G960" s="39" t="s">
        <v>7</v>
      </c>
    </row>
    <row r="961" spans="1:7" x14ac:dyDescent="0.3">
      <c r="A961" s="34">
        <v>960</v>
      </c>
      <c r="B961" s="34">
        <v>24</v>
      </c>
      <c r="C961" s="34">
        <v>3069</v>
      </c>
      <c r="D961" s="34">
        <v>30</v>
      </c>
      <c r="E961" s="34" t="s">
        <v>3</v>
      </c>
      <c r="F961" s="34" t="s">
        <v>8</v>
      </c>
      <c r="G961" s="39" t="s">
        <v>5</v>
      </c>
    </row>
    <row r="962" spans="1:7" x14ac:dyDescent="0.3">
      <c r="A962" s="34">
        <v>961</v>
      </c>
      <c r="B962" s="34">
        <v>6</v>
      </c>
      <c r="C962" s="34">
        <v>1740</v>
      </c>
      <c r="D962" s="34">
        <v>30</v>
      </c>
      <c r="E962" s="34" t="s">
        <v>11</v>
      </c>
      <c r="F962" s="34" t="s">
        <v>9</v>
      </c>
      <c r="G962" s="39" t="s">
        <v>5</v>
      </c>
    </row>
    <row r="963" spans="1:7" x14ac:dyDescent="0.3">
      <c r="A963" s="34">
        <v>962</v>
      </c>
      <c r="B963" s="34">
        <v>21</v>
      </c>
      <c r="C963" s="34">
        <v>2353</v>
      </c>
      <c r="D963" s="34">
        <v>47</v>
      </c>
      <c r="E963" s="34" t="s">
        <v>10</v>
      </c>
      <c r="F963" s="34" t="s">
        <v>4</v>
      </c>
      <c r="G963" s="39" t="s">
        <v>5</v>
      </c>
    </row>
    <row r="964" spans="1:7" x14ac:dyDescent="0.3">
      <c r="A964" s="34">
        <v>963</v>
      </c>
      <c r="B964" s="34">
        <v>15</v>
      </c>
      <c r="C964" s="34">
        <v>3556</v>
      </c>
      <c r="D964" s="34">
        <v>29</v>
      </c>
      <c r="E964" s="34" t="s">
        <v>3</v>
      </c>
      <c r="F964" s="34" t="s">
        <v>4</v>
      </c>
      <c r="G964" s="39" t="s">
        <v>5</v>
      </c>
    </row>
    <row r="965" spans="1:7" x14ac:dyDescent="0.3">
      <c r="A965" s="34">
        <v>964</v>
      </c>
      <c r="B965" s="34">
        <v>24</v>
      </c>
      <c r="C965" s="34">
        <v>2397</v>
      </c>
      <c r="D965" s="34">
        <v>35</v>
      </c>
      <c r="E965" s="34" t="s">
        <v>3</v>
      </c>
      <c r="F965" s="34" t="s">
        <v>4</v>
      </c>
      <c r="G965" s="39" t="s">
        <v>7</v>
      </c>
    </row>
    <row r="966" spans="1:7" x14ac:dyDescent="0.3">
      <c r="A966" s="34">
        <v>965</v>
      </c>
      <c r="B966" s="34">
        <v>6</v>
      </c>
      <c r="C966" s="34">
        <v>454</v>
      </c>
      <c r="D966" s="34">
        <v>22</v>
      </c>
      <c r="E966" s="34" t="s">
        <v>11</v>
      </c>
      <c r="F966" s="34" t="s">
        <v>4</v>
      </c>
      <c r="G966" s="39" t="s">
        <v>5</v>
      </c>
    </row>
    <row r="967" spans="1:7" x14ac:dyDescent="0.3">
      <c r="A967" s="34">
        <v>966</v>
      </c>
      <c r="B967" s="34">
        <v>30</v>
      </c>
      <c r="C967" s="34">
        <v>1715</v>
      </c>
      <c r="D967" s="34">
        <v>26</v>
      </c>
      <c r="E967" s="34" t="s">
        <v>6</v>
      </c>
      <c r="F967" s="34" t="s">
        <v>4</v>
      </c>
      <c r="G967" s="39" t="s">
        <v>5</v>
      </c>
    </row>
    <row r="968" spans="1:7" x14ac:dyDescent="0.3">
      <c r="A968" s="34">
        <v>967</v>
      </c>
      <c r="B968" s="34">
        <v>27</v>
      </c>
      <c r="C968" s="34">
        <v>2520</v>
      </c>
      <c r="D968" s="34">
        <v>23</v>
      </c>
      <c r="E968" s="34" t="s">
        <v>3</v>
      </c>
      <c r="F968" s="34" t="s">
        <v>4</v>
      </c>
      <c r="G968" s="39" t="s">
        <v>7</v>
      </c>
    </row>
    <row r="969" spans="1:7" x14ac:dyDescent="0.3">
      <c r="A969" s="34">
        <v>968</v>
      </c>
      <c r="B969" s="34">
        <v>15</v>
      </c>
      <c r="C969" s="34">
        <v>3568</v>
      </c>
      <c r="D969" s="34">
        <v>54</v>
      </c>
      <c r="E969" s="34" t="s">
        <v>6</v>
      </c>
      <c r="F969" s="34" t="s">
        <v>9</v>
      </c>
      <c r="G969" s="39" t="s">
        <v>5</v>
      </c>
    </row>
    <row r="970" spans="1:7" x14ac:dyDescent="0.3">
      <c r="A970" s="34">
        <v>969</v>
      </c>
      <c r="B970" s="34">
        <v>42</v>
      </c>
      <c r="C970" s="34">
        <v>7166</v>
      </c>
      <c r="D970" s="34">
        <v>29</v>
      </c>
      <c r="E970" s="34" t="s">
        <v>11</v>
      </c>
      <c r="F970" s="34" t="s">
        <v>9</v>
      </c>
      <c r="G970" s="39" t="s">
        <v>5</v>
      </c>
    </row>
    <row r="971" spans="1:7" x14ac:dyDescent="0.3">
      <c r="A971" s="34">
        <v>970</v>
      </c>
      <c r="B971" s="34">
        <v>11</v>
      </c>
      <c r="C971" s="34">
        <v>3939</v>
      </c>
      <c r="D971" s="34">
        <v>40</v>
      </c>
      <c r="E971" s="34" t="s">
        <v>3</v>
      </c>
      <c r="F971" s="34" t="s">
        <v>4</v>
      </c>
      <c r="G971" s="39" t="s">
        <v>5</v>
      </c>
    </row>
    <row r="972" spans="1:7" x14ac:dyDescent="0.3">
      <c r="A972" s="34">
        <v>971</v>
      </c>
      <c r="B972" s="34">
        <v>15</v>
      </c>
      <c r="C972" s="34">
        <v>1514</v>
      </c>
      <c r="D972" s="34">
        <v>22</v>
      </c>
      <c r="E972" s="34" t="s">
        <v>3</v>
      </c>
      <c r="F972" s="34" t="s">
        <v>4</v>
      </c>
      <c r="G972" s="39" t="s">
        <v>5</v>
      </c>
    </row>
    <row r="973" spans="1:7" x14ac:dyDescent="0.3">
      <c r="A973" s="34">
        <v>972</v>
      </c>
      <c r="B973" s="34">
        <v>24</v>
      </c>
      <c r="C973" s="34">
        <v>7393</v>
      </c>
      <c r="D973" s="34">
        <v>43</v>
      </c>
      <c r="E973" s="34" t="s">
        <v>3</v>
      </c>
      <c r="F973" s="34" t="s">
        <v>4</v>
      </c>
      <c r="G973" s="39" t="s">
        <v>5</v>
      </c>
    </row>
    <row r="974" spans="1:7" x14ac:dyDescent="0.3">
      <c r="A974" s="34">
        <v>973</v>
      </c>
      <c r="B974" s="34">
        <v>24</v>
      </c>
      <c r="C974" s="34">
        <v>1193</v>
      </c>
      <c r="D974" s="34">
        <v>29</v>
      </c>
      <c r="E974" s="34" t="s">
        <v>6</v>
      </c>
      <c r="F974" s="34" t="s">
        <v>9</v>
      </c>
      <c r="G974" s="39" t="s">
        <v>7</v>
      </c>
    </row>
    <row r="975" spans="1:7" x14ac:dyDescent="0.3">
      <c r="A975" s="34">
        <v>974</v>
      </c>
      <c r="B975" s="34">
        <v>60</v>
      </c>
      <c r="C975" s="34">
        <v>7297</v>
      </c>
      <c r="D975" s="34">
        <v>36</v>
      </c>
      <c r="E975" s="34" t="s">
        <v>3</v>
      </c>
      <c r="F975" s="34" t="s">
        <v>9</v>
      </c>
      <c r="G975" s="39" t="s">
        <v>7</v>
      </c>
    </row>
    <row r="976" spans="1:7" x14ac:dyDescent="0.3">
      <c r="A976" s="34">
        <v>975</v>
      </c>
      <c r="B976" s="34">
        <v>30</v>
      </c>
      <c r="C976" s="34">
        <v>2831</v>
      </c>
      <c r="D976" s="34">
        <v>33</v>
      </c>
      <c r="E976" s="34" t="s">
        <v>6</v>
      </c>
      <c r="F976" s="34" t="s">
        <v>4</v>
      </c>
      <c r="G976" s="39" t="s">
        <v>5</v>
      </c>
    </row>
    <row r="977" spans="1:7" x14ac:dyDescent="0.3">
      <c r="A977" s="34">
        <v>976</v>
      </c>
      <c r="B977" s="34">
        <v>24</v>
      </c>
      <c r="C977" s="34">
        <v>1258</v>
      </c>
      <c r="D977" s="34">
        <v>57</v>
      </c>
      <c r="E977" s="34" t="s">
        <v>6</v>
      </c>
      <c r="F977" s="34" t="s">
        <v>4</v>
      </c>
      <c r="G977" s="39" t="s">
        <v>5</v>
      </c>
    </row>
    <row r="978" spans="1:7" x14ac:dyDescent="0.3">
      <c r="A978" s="34">
        <v>977</v>
      </c>
      <c r="B978" s="34">
        <v>6</v>
      </c>
      <c r="C978" s="34">
        <v>753</v>
      </c>
      <c r="D978" s="34">
        <v>64</v>
      </c>
      <c r="E978" s="34" t="s">
        <v>6</v>
      </c>
      <c r="F978" s="34" t="s">
        <v>4</v>
      </c>
      <c r="G978" s="39" t="s">
        <v>5</v>
      </c>
    </row>
    <row r="979" spans="1:7" x14ac:dyDescent="0.3">
      <c r="A979" s="34">
        <v>978</v>
      </c>
      <c r="B979" s="34">
        <v>18</v>
      </c>
      <c r="C979" s="34">
        <v>2427</v>
      </c>
      <c r="D979" s="34">
        <v>42</v>
      </c>
      <c r="E979" s="34" t="s">
        <v>3</v>
      </c>
      <c r="F979" s="34" t="s">
        <v>4</v>
      </c>
      <c r="G979" s="39" t="s">
        <v>5</v>
      </c>
    </row>
    <row r="980" spans="1:7" x14ac:dyDescent="0.3">
      <c r="A980" s="34">
        <v>979</v>
      </c>
      <c r="B980" s="34">
        <v>24</v>
      </c>
      <c r="C980" s="34">
        <v>2538</v>
      </c>
      <c r="D980" s="34">
        <v>47</v>
      </c>
      <c r="E980" s="34" t="s">
        <v>3</v>
      </c>
      <c r="F980" s="34" t="s">
        <v>4</v>
      </c>
      <c r="G980" s="39" t="s">
        <v>7</v>
      </c>
    </row>
    <row r="981" spans="1:7" x14ac:dyDescent="0.3">
      <c r="A981" s="34">
        <v>980</v>
      </c>
      <c r="B981" s="34">
        <v>15</v>
      </c>
      <c r="C981" s="34">
        <v>1264</v>
      </c>
      <c r="D981" s="34">
        <v>25</v>
      </c>
      <c r="E981" s="34" t="s">
        <v>11</v>
      </c>
      <c r="F981" s="34" t="s">
        <v>9</v>
      </c>
      <c r="G981" s="39" t="s">
        <v>7</v>
      </c>
    </row>
    <row r="982" spans="1:7" x14ac:dyDescent="0.3">
      <c r="A982" s="34">
        <v>981</v>
      </c>
      <c r="B982" s="34">
        <v>30</v>
      </c>
      <c r="C982" s="34">
        <v>8386</v>
      </c>
      <c r="D982" s="34">
        <v>49</v>
      </c>
      <c r="E982" s="34" t="s">
        <v>3</v>
      </c>
      <c r="F982" s="34" t="s">
        <v>4</v>
      </c>
      <c r="G982" s="39" t="s">
        <v>7</v>
      </c>
    </row>
    <row r="983" spans="1:7" x14ac:dyDescent="0.3">
      <c r="A983" s="34">
        <v>982</v>
      </c>
      <c r="B983" s="34">
        <v>48</v>
      </c>
      <c r="C983" s="34">
        <v>4844</v>
      </c>
      <c r="D983" s="34">
        <v>33</v>
      </c>
      <c r="E983" s="34" t="s">
        <v>3</v>
      </c>
      <c r="F983" s="34" t="s">
        <v>9</v>
      </c>
      <c r="G983" s="39" t="s">
        <v>7</v>
      </c>
    </row>
    <row r="984" spans="1:7" x14ac:dyDescent="0.3">
      <c r="A984" s="34">
        <v>983</v>
      </c>
      <c r="B984" s="34">
        <v>21</v>
      </c>
      <c r="C984" s="34">
        <v>2923</v>
      </c>
      <c r="D984" s="34">
        <v>28</v>
      </c>
      <c r="E984" s="34" t="s">
        <v>6</v>
      </c>
      <c r="F984" s="34" t="s">
        <v>4</v>
      </c>
      <c r="G984" s="39" t="s">
        <v>5</v>
      </c>
    </row>
    <row r="985" spans="1:7" x14ac:dyDescent="0.3">
      <c r="A985" s="34">
        <v>984</v>
      </c>
      <c r="B985" s="34">
        <v>36</v>
      </c>
      <c r="C985" s="34">
        <v>8229</v>
      </c>
      <c r="D985" s="34">
        <v>26</v>
      </c>
      <c r="E985" s="34" t="s">
        <v>3</v>
      </c>
      <c r="F985" s="34" t="s">
        <v>4</v>
      </c>
      <c r="G985" s="39" t="s">
        <v>7</v>
      </c>
    </row>
    <row r="986" spans="1:7" x14ac:dyDescent="0.3">
      <c r="A986" s="34">
        <v>985</v>
      </c>
      <c r="B986" s="34">
        <v>24</v>
      </c>
      <c r="C986" s="34">
        <v>2028</v>
      </c>
      <c r="D986" s="34">
        <v>30</v>
      </c>
      <c r="E986" s="34" t="s">
        <v>3</v>
      </c>
      <c r="F986" s="34" t="s">
        <v>4</v>
      </c>
      <c r="G986" s="39" t="s">
        <v>5</v>
      </c>
    </row>
    <row r="987" spans="1:7" x14ac:dyDescent="0.3">
      <c r="A987" s="34">
        <v>986</v>
      </c>
      <c r="B987" s="34">
        <v>15</v>
      </c>
      <c r="C987" s="34">
        <v>1433</v>
      </c>
      <c r="D987" s="34">
        <v>25</v>
      </c>
      <c r="E987" s="34" t="s">
        <v>6</v>
      </c>
      <c r="F987" s="34" t="s">
        <v>9</v>
      </c>
      <c r="G987" s="39" t="s">
        <v>5</v>
      </c>
    </row>
    <row r="988" spans="1:7" x14ac:dyDescent="0.3">
      <c r="A988" s="34">
        <v>987</v>
      </c>
      <c r="B988" s="34">
        <v>42</v>
      </c>
      <c r="C988" s="34">
        <v>6289</v>
      </c>
      <c r="D988" s="34">
        <v>33</v>
      </c>
      <c r="E988" s="34" t="s">
        <v>10</v>
      </c>
      <c r="F988" s="34" t="s">
        <v>4</v>
      </c>
      <c r="G988" s="39" t="s">
        <v>5</v>
      </c>
    </row>
    <row r="989" spans="1:7" x14ac:dyDescent="0.3">
      <c r="A989" s="34">
        <v>988</v>
      </c>
      <c r="B989" s="34">
        <v>13</v>
      </c>
      <c r="C989" s="34">
        <v>1409</v>
      </c>
      <c r="D989" s="34">
        <v>64</v>
      </c>
      <c r="E989" s="34" t="s">
        <v>6</v>
      </c>
      <c r="F989" s="34" t="s">
        <v>4</v>
      </c>
      <c r="G989" s="39" t="s">
        <v>5</v>
      </c>
    </row>
    <row r="990" spans="1:7" x14ac:dyDescent="0.3">
      <c r="A990" s="34">
        <v>989</v>
      </c>
      <c r="B990" s="34">
        <v>24</v>
      </c>
      <c r="C990" s="34">
        <v>6579</v>
      </c>
      <c r="D990" s="34">
        <v>29</v>
      </c>
      <c r="E990" s="34" t="s">
        <v>3</v>
      </c>
      <c r="F990" s="34" t="s">
        <v>8</v>
      </c>
      <c r="G990" s="39" t="s">
        <v>5</v>
      </c>
    </row>
    <row r="991" spans="1:7" x14ac:dyDescent="0.3">
      <c r="A991" s="34">
        <v>990</v>
      </c>
      <c r="B991" s="34">
        <v>24</v>
      </c>
      <c r="C991" s="34">
        <v>1743</v>
      </c>
      <c r="D991" s="34">
        <v>48</v>
      </c>
      <c r="E991" s="34" t="s">
        <v>3</v>
      </c>
      <c r="F991" s="34" t="s">
        <v>4</v>
      </c>
      <c r="G991" s="39" t="s">
        <v>5</v>
      </c>
    </row>
    <row r="992" spans="1:7" x14ac:dyDescent="0.3">
      <c r="A992" s="34">
        <v>991</v>
      </c>
      <c r="B992" s="34">
        <v>12</v>
      </c>
      <c r="C992" s="34">
        <v>3565</v>
      </c>
      <c r="D992" s="34">
        <v>37</v>
      </c>
      <c r="E992" s="34" t="s">
        <v>3</v>
      </c>
      <c r="F992" s="34" t="s">
        <v>4</v>
      </c>
      <c r="G992" s="39" t="s">
        <v>5</v>
      </c>
    </row>
    <row r="993" spans="1:7" x14ac:dyDescent="0.3">
      <c r="A993" s="34">
        <v>992</v>
      </c>
      <c r="B993" s="34">
        <v>15</v>
      </c>
      <c r="C993" s="34">
        <v>1569</v>
      </c>
      <c r="D993" s="34">
        <v>34</v>
      </c>
      <c r="E993" s="34" t="s">
        <v>3</v>
      </c>
      <c r="F993" s="34" t="s">
        <v>4</v>
      </c>
      <c r="G993" s="39" t="s">
        <v>5</v>
      </c>
    </row>
    <row r="994" spans="1:7" x14ac:dyDescent="0.3">
      <c r="A994" s="34">
        <v>993</v>
      </c>
      <c r="B994" s="34">
        <v>18</v>
      </c>
      <c r="C994" s="34">
        <v>1936</v>
      </c>
      <c r="D994" s="34">
        <v>23</v>
      </c>
      <c r="E994" s="34" t="s">
        <v>11</v>
      </c>
      <c r="F994" s="34" t="s">
        <v>9</v>
      </c>
      <c r="G994" s="39" t="s">
        <v>5</v>
      </c>
    </row>
    <row r="995" spans="1:7" x14ac:dyDescent="0.3">
      <c r="A995" s="34">
        <v>994</v>
      </c>
      <c r="B995" s="34">
        <v>36</v>
      </c>
      <c r="C995" s="34">
        <v>3959</v>
      </c>
      <c r="D995" s="34">
        <v>30</v>
      </c>
      <c r="E995" s="34" t="s">
        <v>3</v>
      </c>
      <c r="F995" s="34" t="s">
        <v>4</v>
      </c>
      <c r="G995" s="39" t="s">
        <v>5</v>
      </c>
    </row>
    <row r="996" spans="1:7" x14ac:dyDescent="0.3">
      <c r="A996" s="34">
        <v>995</v>
      </c>
      <c r="B996" s="34">
        <v>12</v>
      </c>
      <c r="C996" s="34">
        <v>2390</v>
      </c>
      <c r="D996" s="34">
        <v>50</v>
      </c>
      <c r="E996" s="34" t="s">
        <v>3</v>
      </c>
      <c r="F996" s="34" t="s">
        <v>4</v>
      </c>
      <c r="G996" s="39" t="s">
        <v>5</v>
      </c>
    </row>
    <row r="997" spans="1:7" x14ac:dyDescent="0.3">
      <c r="A997" s="34">
        <v>996</v>
      </c>
      <c r="B997" s="34">
        <v>12</v>
      </c>
      <c r="C997" s="34">
        <v>1736</v>
      </c>
      <c r="D997" s="34">
        <v>31</v>
      </c>
      <c r="E997" s="34" t="s">
        <v>6</v>
      </c>
      <c r="F997" s="34" t="s">
        <v>4</v>
      </c>
      <c r="G997" s="39" t="s">
        <v>5</v>
      </c>
    </row>
    <row r="998" spans="1:7" x14ac:dyDescent="0.3">
      <c r="A998" s="34">
        <v>997</v>
      </c>
      <c r="B998" s="34">
        <v>30</v>
      </c>
      <c r="C998" s="34">
        <v>3857</v>
      </c>
      <c r="D998" s="34">
        <v>40</v>
      </c>
      <c r="E998" s="34" t="s">
        <v>10</v>
      </c>
      <c r="F998" s="34" t="s">
        <v>4</v>
      </c>
      <c r="G998" s="39" t="s">
        <v>5</v>
      </c>
    </row>
    <row r="999" spans="1:7" x14ac:dyDescent="0.3">
      <c r="A999" s="34">
        <v>998</v>
      </c>
      <c r="B999" s="34">
        <v>12</v>
      </c>
      <c r="C999" s="34">
        <v>804</v>
      </c>
      <c r="D999" s="34">
        <v>38</v>
      </c>
      <c r="E999" s="34" t="s">
        <v>3</v>
      </c>
      <c r="F999" s="34" t="s">
        <v>4</v>
      </c>
      <c r="G999" s="39" t="s">
        <v>5</v>
      </c>
    </row>
    <row r="1000" spans="1:7" x14ac:dyDescent="0.3">
      <c r="A1000" s="34">
        <v>999</v>
      </c>
      <c r="B1000" s="34">
        <v>45</v>
      </c>
      <c r="C1000" s="34">
        <v>1845</v>
      </c>
      <c r="D1000" s="34">
        <v>23</v>
      </c>
      <c r="E1000" s="34" t="s">
        <v>3</v>
      </c>
      <c r="F1000" s="34" t="s">
        <v>8</v>
      </c>
      <c r="G1000" s="39" t="s">
        <v>7</v>
      </c>
    </row>
    <row r="1001" spans="1:7" x14ac:dyDescent="0.3">
      <c r="A1001" s="35">
        <v>1000</v>
      </c>
      <c r="B1001" s="35">
        <v>45</v>
      </c>
      <c r="C1001" s="35">
        <v>4576</v>
      </c>
      <c r="D1001" s="35">
        <v>27</v>
      </c>
      <c r="E1001" s="35" t="s">
        <v>3</v>
      </c>
      <c r="F1001" s="35" t="s">
        <v>4</v>
      </c>
      <c r="G1001" s="40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E4DF-647E-4671-9D42-A9E7EB940EE3}">
  <sheetPr>
    <tabColor theme="5" tint="0.59999389629810485"/>
  </sheetPr>
  <dimension ref="A1:M209"/>
  <sheetViews>
    <sheetView zoomScale="175" zoomScaleNormal="175" workbookViewId="0">
      <selection activeCell="B6" sqref="B6"/>
    </sheetView>
  </sheetViews>
  <sheetFormatPr defaultRowHeight="14.4" x14ac:dyDescent="0.3"/>
  <cols>
    <col min="3" max="3" width="12.109375" customWidth="1"/>
    <col min="6" max="6" width="9.88671875" customWidth="1"/>
  </cols>
  <sheetData>
    <row r="1" spans="1:13" ht="15" thickBot="1" x14ac:dyDescent="0.35"/>
    <row r="2" spans="1:13" ht="15" thickBot="1" x14ac:dyDescent="0.35">
      <c r="A2" s="8"/>
      <c r="B2" s="296" t="s">
        <v>196</v>
      </c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8"/>
    </row>
    <row r="3" spans="1:13" ht="15" customHeight="1" x14ac:dyDescent="0.3">
      <c r="A3" s="46"/>
      <c r="B3" s="290" t="s">
        <v>272</v>
      </c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2"/>
    </row>
    <row r="4" spans="1:13" x14ac:dyDescent="0.3">
      <c r="A4" s="46"/>
      <c r="B4" s="290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2"/>
    </row>
    <row r="5" spans="1:13" ht="15" thickBot="1" x14ac:dyDescent="0.35">
      <c r="B5" s="293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5"/>
    </row>
    <row r="6" spans="1:13" x14ac:dyDescent="0.3">
      <c r="B6" s="88"/>
      <c r="C6" s="88"/>
      <c r="D6" s="88"/>
      <c r="E6" s="88"/>
      <c r="F6" s="88"/>
      <c r="G6" s="88"/>
      <c r="H6" s="88"/>
    </row>
    <row r="8" spans="1:13" x14ac:dyDescent="0.3">
      <c r="A8" s="33"/>
      <c r="B8" s="33"/>
      <c r="C8" s="33" t="s">
        <v>23</v>
      </c>
    </row>
    <row r="9" spans="1:13" x14ac:dyDescent="0.3">
      <c r="A9" s="37" t="s">
        <v>13</v>
      </c>
      <c r="B9" s="37" t="s">
        <v>12</v>
      </c>
      <c r="C9" s="37" t="s">
        <v>63</v>
      </c>
      <c r="E9" s="188" t="s">
        <v>133</v>
      </c>
    </row>
    <row r="10" spans="1:13" x14ac:dyDescent="0.3">
      <c r="A10" s="34">
        <v>1</v>
      </c>
      <c r="B10" s="34">
        <v>915</v>
      </c>
      <c r="C10" s="34">
        <f>VLOOKUP(B10,Dane!$A:$F,2,FALSE)</f>
        <v>24</v>
      </c>
      <c r="E10" t="s">
        <v>134</v>
      </c>
    </row>
    <row r="11" spans="1:13" x14ac:dyDescent="0.3">
      <c r="A11" s="34">
        <v>2</v>
      </c>
      <c r="B11" s="34">
        <v>612</v>
      </c>
      <c r="C11" s="34">
        <f>VLOOKUP(B11,Dane!$A:$F,2,FALSE)</f>
        <v>10</v>
      </c>
      <c r="E11" s="31" t="s">
        <v>14</v>
      </c>
      <c r="F11" s="32">
        <v>1000</v>
      </c>
    </row>
    <row r="12" spans="1:13" x14ac:dyDescent="0.3">
      <c r="A12" s="34">
        <v>3</v>
      </c>
      <c r="B12" s="34">
        <v>290</v>
      </c>
      <c r="C12" s="34">
        <f>VLOOKUP(B12,Dane!$A:$F,2,FALSE)</f>
        <v>24</v>
      </c>
      <c r="E12" s="31" t="s">
        <v>16</v>
      </c>
      <c r="F12" s="32">
        <v>200</v>
      </c>
    </row>
    <row r="13" spans="1:13" x14ac:dyDescent="0.3">
      <c r="A13" s="34">
        <v>4</v>
      </c>
      <c r="B13" s="34">
        <v>926</v>
      </c>
      <c r="C13" s="34">
        <f>VLOOKUP(B13,Dane!$A:$F,2,FALSE)</f>
        <v>12</v>
      </c>
      <c r="E13" s="31" t="s">
        <v>20</v>
      </c>
      <c r="F13" s="32">
        <v>2</v>
      </c>
    </row>
    <row r="14" spans="1:13" x14ac:dyDescent="0.3">
      <c r="A14" s="34">
        <v>5</v>
      </c>
      <c r="B14" s="34">
        <v>976</v>
      </c>
      <c r="C14" s="34">
        <f>VLOOKUP(B14,Dane!$A:$F,2,FALSE)</f>
        <v>24</v>
      </c>
      <c r="E14" s="31" t="s">
        <v>17</v>
      </c>
      <c r="F14" s="191">
        <f>_xlfn.VAR.S(C10:C209)</f>
        <v>124.39638190954776</v>
      </c>
    </row>
    <row r="15" spans="1:13" x14ac:dyDescent="0.3">
      <c r="A15" s="34">
        <v>6</v>
      </c>
      <c r="B15" s="34">
        <v>891</v>
      </c>
      <c r="C15" s="34">
        <f>VLOOKUP(B15,Dane!$A:$F,2,FALSE)</f>
        <v>27</v>
      </c>
      <c r="E15" s="31" t="s">
        <v>18</v>
      </c>
      <c r="F15" s="191">
        <f>KURT(C10:C209)+3</f>
        <v>3.7379398164474926</v>
      </c>
    </row>
    <row r="16" spans="1:13" x14ac:dyDescent="0.3">
      <c r="A16" s="34">
        <v>7</v>
      </c>
      <c r="B16" s="34">
        <v>817</v>
      </c>
      <c r="C16" s="34">
        <f>VLOOKUP(B16,Dane!$A:$F,2,FALSE)</f>
        <v>6</v>
      </c>
      <c r="E16" s="31" t="s">
        <v>189</v>
      </c>
      <c r="F16" s="191">
        <f>SQRT((F15-((F12-3)/(F12-1)))/F12)</f>
        <v>0.1172175342622377</v>
      </c>
      <c r="G16" s="1" t="s">
        <v>190</v>
      </c>
    </row>
    <row r="17" spans="1:7" x14ac:dyDescent="0.3">
      <c r="A17" s="34">
        <v>8</v>
      </c>
      <c r="B17" s="34">
        <v>642</v>
      </c>
      <c r="C17" s="34">
        <f>VLOOKUP(B17,Dane!$A:$F,2,FALSE)</f>
        <v>15</v>
      </c>
      <c r="E17" s="31" t="s">
        <v>15</v>
      </c>
      <c r="F17" s="32">
        <f>ROUNDUP(F11/(1+F11*F13^2/(4*F14)),0)</f>
        <v>111</v>
      </c>
      <c r="G17" t="s">
        <v>191</v>
      </c>
    </row>
    <row r="18" spans="1:7" x14ac:dyDescent="0.3">
      <c r="A18" s="34">
        <v>9</v>
      </c>
      <c r="B18" s="34">
        <v>912</v>
      </c>
      <c r="C18" s="34">
        <f>VLOOKUP(B18,Dane!$A:$F,2,FALSE)</f>
        <v>24</v>
      </c>
      <c r="G18" t="s">
        <v>193</v>
      </c>
    </row>
    <row r="19" spans="1:7" x14ac:dyDescent="0.3">
      <c r="A19" s="34">
        <v>10</v>
      </c>
      <c r="B19" s="34">
        <v>106</v>
      </c>
      <c r="C19" s="34">
        <f>VLOOKUP(B19,Dane!$A:$F,2,FALSE)</f>
        <v>24</v>
      </c>
    </row>
    <row r="20" spans="1:7" x14ac:dyDescent="0.3">
      <c r="A20" s="34">
        <v>11</v>
      </c>
      <c r="B20" s="34">
        <v>451</v>
      </c>
      <c r="C20" s="34">
        <f>VLOOKUP(B20,Dane!$A:$F,2,FALSE)</f>
        <v>36</v>
      </c>
      <c r="E20" s="2" t="s">
        <v>69</v>
      </c>
    </row>
    <row r="21" spans="1:7" x14ac:dyDescent="0.3">
      <c r="A21" s="34">
        <v>12</v>
      </c>
      <c r="B21" s="34">
        <v>517</v>
      </c>
      <c r="C21" s="34">
        <f>VLOOKUP(B21,Dane!$A:$F,2,FALSE)</f>
        <v>6</v>
      </c>
      <c r="E21" s="28" t="s">
        <v>15</v>
      </c>
      <c r="F21" s="4">
        <v>200</v>
      </c>
    </row>
    <row r="22" spans="1:7" x14ac:dyDescent="0.3">
      <c r="A22" s="34">
        <v>13</v>
      </c>
      <c r="B22" s="34">
        <v>325</v>
      </c>
      <c r="C22" s="34">
        <f>VLOOKUP(B22,Dane!$A:$F,2,FALSE)</f>
        <v>18</v>
      </c>
      <c r="E22" s="30" t="s">
        <v>61</v>
      </c>
      <c r="F22" s="189">
        <f>AVERAGE(C10:C209)</f>
        <v>21.16</v>
      </c>
    </row>
    <row r="23" spans="1:7" x14ac:dyDescent="0.3">
      <c r="A23" s="34">
        <v>14</v>
      </c>
      <c r="B23" s="34">
        <v>148</v>
      </c>
      <c r="C23" s="34">
        <f>VLOOKUP(B23,Dane!$A:$F,2,FALSE)</f>
        <v>12</v>
      </c>
      <c r="E23" s="28" t="s">
        <v>21</v>
      </c>
      <c r="F23" s="27">
        <f>_xlfn.VAR.S(C10:C209)</f>
        <v>124.39638190954776</v>
      </c>
    </row>
    <row r="24" spans="1:7" x14ac:dyDescent="0.3">
      <c r="A24" s="34">
        <v>15</v>
      </c>
      <c r="B24" s="34">
        <v>633</v>
      </c>
      <c r="C24" s="34">
        <f>VLOOKUP(B24,Dane!$A:$F,2,FALSE)</f>
        <v>15</v>
      </c>
      <c r="E24" s="28" t="str">
        <f>"D"&amp;_xlfn.UNICHAR(770) &amp; "²(ӯ)"</f>
        <v>D̂²(ӯ)</v>
      </c>
      <c r="F24" s="27">
        <f>(1-1/F11)*F23/F21</f>
        <v>0.62135992763819103</v>
      </c>
    </row>
    <row r="25" spans="1:7" x14ac:dyDescent="0.3">
      <c r="A25" s="34">
        <v>16</v>
      </c>
      <c r="B25" s="34">
        <v>503</v>
      </c>
      <c r="C25" s="34">
        <f>VLOOKUP(B25,Dane!$A:$F,2,FALSE)</f>
        <v>9</v>
      </c>
      <c r="E25" s="28" t="str">
        <f>"D"&amp;_xlfn.UNICHAR(770) &amp; "(ӯ)"</f>
        <v>D̂(ӯ)</v>
      </c>
      <c r="F25" s="189">
        <f>SQRT(F24)</f>
        <v>0.78826386929643744</v>
      </c>
    </row>
    <row r="26" spans="1:7" x14ac:dyDescent="0.3">
      <c r="A26" s="34">
        <v>17</v>
      </c>
      <c r="B26" s="34">
        <v>661</v>
      </c>
      <c r="C26" s="34">
        <f>VLOOKUP(B26,Dane!$A:$F,2,FALSE)</f>
        <v>12</v>
      </c>
    </row>
    <row r="27" spans="1:7" x14ac:dyDescent="0.3">
      <c r="A27" s="34">
        <v>18</v>
      </c>
      <c r="B27" s="34">
        <v>410</v>
      </c>
      <c r="C27" s="34">
        <f>VLOOKUP(B27,Dane!$A:$F,2,FALSE)</f>
        <v>12</v>
      </c>
      <c r="E27" t="s">
        <v>245</v>
      </c>
    </row>
    <row r="28" spans="1:7" x14ac:dyDescent="0.3">
      <c r="A28" s="34">
        <v>19</v>
      </c>
      <c r="B28" s="34">
        <v>435</v>
      </c>
      <c r="C28" s="34">
        <f>VLOOKUP(B28,Dane!$A:$F,2,FALSE)</f>
        <v>9</v>
      </c>
    </row>
    <row r="29" spans="1:7" x14ac:dyDescent="0.3">
      <c r="A29" s="34">
        <v>20</v>
      </c>
      <c r="B29" s="34">
        <v>150</v>
      </c>
      <c r="C29" s="34">
        <f>VLOOKUP(B29,Dane!$A:$F,2,FALSE)</f>
        <v>18</v>
      </c>
      <c r="E29" s="2" t="s">
        <v>71</v>
      </c>
    </row>
    <row r="30" spans="1:7" x14ac:dyDescent="0.3">
      <c r="A30" s="34">
        <v>21</v>
      </c>
      <c r="B30" s="34">
        <v>226</v>
      </c>
      <c r="C30" s="34">
        <f>VLOOKUP(B30,Dane!$A:$F,2,FALSE)</f>
        <v>36</v>
      </c>
      <c r="E30" s="29" t="s">
        <v>22</v>
      </c>
      <c r="F30" s="190">
        <f>F22*F11</f>
        <v>21160</v>
      </c>
    </row>
    <row r="31" spans="1:7" x14ac:dyDescent="0.3">
      <c r="A31" s="34">
        <v>22</v>
      </c>
      <c r="B31" s="34">
        <v>783</v>
      </c>
      <c r="C31" s="34">
        <f>VLOOKUP(B31,Dane!$A:$F,2,FALSE)</f>
        <v>12</v>
      </c>
      <c r="E31" s="29" t="str">
        <f>"D"&amp;_xlfn.UNICHAR(770) &amp; "²(ŷ)"</f>
        <v>D̂²(ŷ)</v>
      </c>
      <c r="F31" s="27">
        <f>F24*F11^2</f>
        <v>621359.92763819103</v>
      </c>
    </row>
    <row r="32" spans="1:7" x14ac:dyDescent="0.3">
      <c r="A32" s="34">
        <v>23</v>
      </c>
      <c r="B32" s="34">
        <v>629</v>
      </c>
      <c r="C32" s="34">
        <f>VLOOKUP(B32,Dane!$A:$F,2,FALSE)</f>
        <v>42</v>
      </c>
      <c r="E32" s="29" t="str">
        <f>"D"&amp;_xlfn.UNICHAR(770) &amp; "(ŷ)"</f>
        <v>D̂(ŷ)</v>
      </c>
      <c r="F32" s="189">
        <f>SQRT(F31)</f>
        <v>788.26386929643741</v>
      </c>
    </row>
    <row r="33" spans="1:6" x14ac:dyDescent="0.3">
      <c r="A33" s="34">
        <v>24</v>
      </c>
      <c r="B33" s="34">
        <v>222</v>
      </c>
      <c r="C33" s="34">
        <f>VLOOKUP(B33,Dane!$A:$F,2,FALSE)</f>
        <v>12</v>
      </c>
    </row>
    <row r="34" spans="1:6" x14ac:dyDescent="0.3">
      <c r="A34" s="34">
        <v>25</v>
      </c>
      <c r="B34" s="34">
        <v>357</v>
      </c>
      <c r="C34" s="34">
        <f>VLOOKUP(B34,Dane!$A:$F,2,FALSE)</f>
        <v>12</v>
      </c>
      <c r="E34" t="s">
        <v>247</v>
      </c>
    </row>
    <row r="35" spans="1:6" x14ac:dyDescent="0.3">
      <c r="A35" s="34">
        <v>26</v>
      </c>
      <c r="B35" s="34">
        <v>299</v>
      </c>
      <c r="C35" s="34">
        <f>VLOOKUP(B35,Dane!$A:$F,2,FALSE)</f>
        <v>18</v>
      </c>
    </row>
    <row r="36" spans="1:6" x14ac:dyDescent="0.3">
      <c r="A36" s="34">
        <v>27</v>
      </c>
      <c r="B36" s="34">
        <v>330</v>
      </c>
      <c r="C36" s="34">
        <f>VLOOKUP(B36,Dane!$A:$F,2,FALSE)</f>
        <v>6</v>
      </c>
    </row>
    <row r="37" spans="1:6" x14ac:dyDescent="0.3">
      <c r="A37" s="34">
        <v>28</v>
      </c>
      <c r="B37" s="34">
        <v>946</v>
      </c>
      <c r="C37" s="34">
        <f>VLOOKUP(B37,Dane!$A:$F,2,FALSE)</f>
        <v>48</v>
      </c>
      <c r="E37" s="2" t="s">
        <v>135</v>
      </c>
    </row>
    <row r="38" spans="1:6" x14ac:dyDescent="0.3">
      <c r="A38" s="34">
        <v>29</v>
      </c>
      <c r="B38" s="34">
        <v>246</v>
      </c>
      <c r="C38" s="34">
        <f>VLOOKUP(B38,Dane!$A:$F,2,FALSE)</f>
        <v>24</v>
      </c>
    </row>
    <row r="39" spans="1:6" x14ac:dyDescent="0.3">
      <c r="A39" s="34">
        <v>30</v>
      </c>
      <c r="B39" s="34">
        <v>464</v>
      </c>
      <c r="C39" s="34">
        <f>VLOOKUP(B39,Dane!$A:$F,2,FALSE)</f>
        <v>12</v>
      </c>
      <c r="F39" s="232">
        <f>((1-1/F11)-(1-F21/F11))/(1-F21/F11)</f>
        <v>0.24874999999999994</v>
      </c>
    </row>
    <row r="40" spans="1:6" x14ac:dyDescent="0.3">
      <c r="A40" s="34">
        <v>31</v>
      </c>
      <c r="B40" s="34">
        <v>339</v>
      </c>
      <c r="C40" s="34">
        <f>VLOOKUP(B40,Dane!$A:$F,2,FALSE)</f>
        <v>24</v>
      </c>
    </row>
    <row r="41" spans="1:6" x14ac:dyDescent="0.3">
      <c r="A41" s="34">
        <v>32</v>
      </c>
      <c r="B41" s="34">
        <v>784</v>
      </c>
      <c r="C41" s="34">
        <f>VLOOKUP(B41,Dane!$A:$F,2,FALSE)</f>
        <v>12</v>
      </c>
      <c r="E41" t="s">
        <v>194</v>
      </c>
    </row>
    <row r="42" spans="1:6" x14ac:dyDescent="0.3">
      <c r="A42" s="34">
        <v>33</v>
      </c>
      <c r="B42" s="34">
        <v>726</v>
      </c>
      <c r="C42" s="34">
        <f>VLOOKUP(B42,Dane!$A:$F,2,FALSE)</f>
        <v>6</v>
      </c>
    </row>
    <row r="43" spans="1:6" x14ac:dyDescent="0.3">
      <c r="A43" s="34">
        <v>34</v>
      </c>
      <c r="B43" s="34">
        <v>709</v>
      </c>
      <c r="C43" s="34">
        <f>VLOOKUP(B43,Dane!$A:$F,2,FALSE)</f>
        <v>9</v>
      </c>
    </row>
    <row r="44" spans="1:6" x14ac:dyDescent="0.3">
      <c r="A44" s="34">
        <v>35</v>
      </c>
      <c r="B44" s="34">
        <v>210</v>
      </c>
      <c r="C44" s="34">
        <f>VLOOKUP(B44,Dane!$A:$F,2,FALSE)</f>
        <v>12</v>
      </c>
    </row>
    <row r="45" spans="1:6" x14ac:dyDescent="0.3">
      <c r="A45" s="34">
        <v>36</v>
      </c>
      <c r="B45" s="34">
        <v>132</v>
      </c>
      <c r="C45" s="34">
        <f>VLOOKUP(B45,Dane!$A:$F,2,FALSE)</f>
        <v>36</v>
      </c>
    </row>
    <row r="46" spans="1:6" x14ac:dyDescent="0.3">
      <c r="A46" s="34">
        <v>37</v>
      </c>
      <c r="B46" s="34">
        <v>891</v>
      </c>
      <c r="C46" s="34">
        <f>VLOOKUP(B46,Dane!$A:$F,2,FALSE)</f>
        <v>27</v>
      </c>
    </row>
    <row r="47" spans="1:6" x14ac:dyDescent="0.3">
      <c r="A47" s="34">
        <v>38</v>
      </c>
      <c r="B47" s="34">
        <v>307</v>
      </c>
      <c r="C47" s="34">
        <f>VLOOKUP(B47,Dane!$A:$F,2,FALSE)</f>
        <v>30</v>
      </c>
    </row>
    <row r="48" spans="1:6" x14ac:dyDescent="0.3">
      <c r="A48" s="34">
        <v>39</v>
      </c>
      <c r="B48" s="34">
        <v>191</v>
      </c>
      <c r="C48" s="34">
        <f>VLOOKUP(B48,Dane!$A:$F,2,FALSE)</f>
        <v>24</v>
      </c>
    </row>
    <row r="49" spans="1:3" x14ac:dyDescent="0.3">
      <c r="A49" s="34">
        <v>40</v>
      </c>
      <c r="B49" s="34">
        <v>555</v>
      </c>
      <c r="C49" s="34">
        <f>VLOOKUP(B49,Dane!$A:$F,2,FALSE)</f>
        <v>9</v>
      </c>
    </row>
    <row r="50" spans="1:3" x14ac:dyDescent="0.3">
      <c r="A50" s="34">
        <v>41</v>
      </c>
      <c r="B50" s="34">
        <v>391</v>
      </c>
      <c r="C50" s="34">
        <f>VLOOKUP(B50,Dane!$A:$F,2,FALSE)</f>
        <v>18</v>
      </c>
    </row>
    <row r="51" spans="1:3" x14ac:dyDescent="0.3">
      <c r="A51" s="34">
        <v>42</v>
      </c>
      <c r="B51" s="34">
        <v>325</v>
      </c>
      <c r="C51" s="34">
        <f>VLOOKUP(B51,Dane!$A:$F,2,FALSE)</f>
        <v>18</v>
      </c>
    </row>
    <row r="52" spans="1:3" x14ac:dyDescent="0.3">
      <c r="A52" s="34">
        <v>43</v>
      </c>
      <c r="B52" s="34">
        <v>116</v>
      </c>
      <c r="C52" s="34">
        <f>VLOOKUP(B52,Dane!$A:$F,2,FALSE)</f>
        <v>48</v>
      </c>
    </row>
    <row r="53" spans="1:3" x14ac:dyDescent="0.3">
      <c r="A53" s="34">
        <v>44</v>
      </c>
      <c r="B53" s="34">
        <v>663</v>
      </c>
      <c r="C53" s="34">
        <f>VLOOKUP(B53,Dane!$A:$F,2,FALSE)</f>
        <v>21</v>
      </c>
    </row>
    <row r="54" spans="1:3" x14ac:dyDescent="0.3">
      <c r="A54" s="34">
        <v>45</v>
      </c>
      <c r="B54" s="34">
        <v>540</v>
      </c>
      <c r="C54" s="34">
        <f>VLOOKUP(B54,Dane!$A:$F,2,FALSE)</f>
        <v>18</v>
      </c>
    </row>
    <row r="55" spans="1:3" x14ac:dyDescent="0.3">
      <c r="A55" s="34">
        <v>46</v>
      </c>
      <c r="B55" s="34">
        <v>442</v>
      </c>
      <c r="C55" s="34">
        <f>VLOOKUP(B55,Dane!$A:$F,2,FALSE)</f>
        <v>12</v>
      </c>
    </row>
    <row r="56" spans="1:3" x14ac:dyDescent="0.3">
      <c r="A56" s="34">
        <v>47</v>
      </c>
      <c r="B56" s="34">
        <v>228</v>
      </c>
      <c r="C56" s="34">
        <f>VLOOKUP(B56,Dane!$A:$F,2,FALSE)</f>
        <v>12</v>
      </c>
    </row>
    <row r="57" spans="1:3" x14ac:dyDescent="0.3">
      <c r="A57" s="34">
        <v>48</v>
      </c>
      <c r="B57" s="34">
        <v>884</v>
      </c>
      <c r="C57" s="34">
        <f>VLOOKUP(B57,Dane!$A:$F,2,FALSE)</f>
        <v>18</v>
      </c>
    </row>
    <row r="58" spans="1:3" x14ac:dyDescent="0.3">
      <c r="A58" s="34">
        <v>49</v>
      </c>
      <c r="B58" s="34">
        <v>150</v>
      </c>
      <c r="C58" s="34">
        <f>VLOOKUP(B58,Dane!$A:$F,2,FALSE)</f>
        <v>18</v>
      </c>
    </row>
    <row r="59" spans="1:3" x14ac:dyDescent="0.3">
      <c r="A59" s="34">
        <v>50</v>
      </c>
      <c r="B59" s="34">
        <v>868</v>
      </c>
      <c r="C59" s="34">
        <f>VLOOKUP(B59,Dane!$A:$F,2,FALSE)</f>
        <v>12</v>
      </c>
    </row>
    <row r="60" spans="1:3" x14ac:dyDescent="0.3">
      <c r="A60" s="34">
        <v>51</v>
      </c>
      <c r="B60" s="34">
        <v>951</v>
      </c>
      <c r="C60" s="34">
        <f>VLOOKUP(B60,Dane!$A:$F,2,FALSE)</f>
        <v>18</v>
      </c>
    </row>
    <row r="61" spans="1:3" x14ac:dyDescent="0.3">
      <c r="A61" s="34">
        <v>52</v>
      </c>
      <c r="B61" s="34">
        <v>151</v>
      </c>
      <c r="C61" s="34">
        <f>VLOOKUP(B61,Dane!$A:$F,2,FALSE)</f>
        <v>6</v>
      </c>
    </row>
    <row r="62" spans="1:3" x14ac:dyDescent="0.3">
      <c r="A62" s="34">
        <v>53</v>
      </c>
      <c r="B62" s="34">
        <v>69</v>
      </c>
      <c r="C62" s="34">
        <f>VLOOKUP(B62,Dane!$A:$F,2,FALSE)</f>
        <v>36</v>
      </c>
    </row>
    <row r="63" spans="1:3" x14ac:dyDescent="0.3">
      <c r="A63" s="34">
        <v>54</v>
      </c>
      <c r="B63" s="34">
        <v>692</v>
      </c>
      <c r="C63" s="34">
        <f>VLOOKUP(B63,Dane!$A:$F,2,FALSE)</f>
        <v>15</v>
      </c>
    </row>
    <row r="64" spans="1:3" x14ac:dyDescent="0.3">
      <c r="A64" s="34">
        <v>55</v>
      </c>
      <c r="B64" s="34">
        <v>492</v>
      </c>
      <c r="C64" s="34">
        <f>VLOOKUP(B64,Dane!$A:$F,2,FALSE)</f>
        <v>27</v>
      </c>
    </row>
    <row r="65" spans="1:3" x14ac:dyDescent="0.3">
      <c r="A65" s="34">
        <v>56</v>
      </c>
      <c r="B65" s="34">
        <v>59</v>
      </c>
      <c r="C65" s="34">
        <f>VLOOKUP(B65,Dane!$A:$F,2,FALSE)</f>
        <v>18</v>
      </c>
    </row>
    <row r="66" spans="1:3" x14ac:dyDescent="0.3">
      <c r="A66" s="34">
        <v>57</v>
      </c>
      <c r="B66" s="34">
        <v>920</v>
      </c>
      <c r="C66" s="34">
        <f>VLOOKUP(B66,Dane!$A:$F,2,FALSE)</f>
        <v>24</v>
      </c>
    </row>
    <row r="67" spans="1:3" x14ac:dyDescent="0.3">
      <c r="A67" s="34">
        <v>58</v>
      </c>
      <c r="B67" s="34">
        <v>135</v>
      </c>
      <c r="C67" s="34">
        <f>VLOOKUP(B67,Dane!$A:$F,2,FALSE)</f>
        <v>60</v>
      </c>
    </row>
    <row r="68" spans="1:3" x14ac:dyDescent="0.3">
      <c r="A68" s="34">
        <v>59</v>
      </c>
      <c r="B68" s="34">
        <v>581</v>
      </c>
      <c r="C68" s="34">
        <f>VLOOKUP(B68,Dane!$A:$F,2,FALSE)</f>
        <v>18</v>
      </c>
    </row>
    <row r="69" spans="1:3" x14ac:dyDescent="0.3">
      <c r="A69" s="34">
        <v>60</v>
      </c>
      <c r="B69" s="34">
        <v>275</v>
      </c>
      <c r="C69" s="34">
        <f>VLOOKUP(B69,Dane!$A:$F,2,FALSE)</f>
        <v>30</v>
      </c>
    </row>
    <row r="70" spans="1:3" x14ac:dyDescent="0.3">
      <c r="A70" s="34">
        <v>61</v>
      </c>
      <c r="B70" s="34">
        <v>869</v>
      </c>
      <c r="C70" s="34">
        <f>VLOOKUP(B70,Dane!$A:$F,2,FALSE)</f>
        <v>36</v>
      </c>
    </row>
    <row r="71" spans="1:3" x14ac:dyDescent="0.3">
      <c r="A71" s="34">
        <v>62</v>
      </c>
      <c r="B71" s="34">
        <v>540</v>
      </c>
      <c r="C71" s="34">
        <f>VLOOKUP(B71,Dane!$A:$F,2,FALSE)</f>
        <v>18</v>
      </c>
    </row>
    <row r="72" spans="1:3" x14ac:dyDescent="0.3">
      <c r="A72" s="34">
        <v>63</v>
      </c>
      <c r="B72" s="34">
        <v>982</v>
      </c>
      <c r="C72" s="34">
        <f>VLOOKUP(B72,Dane!$A:$F,2,FALSE)</f>
        <v>48</v>
      </c>
    </row>
    <row r="73" spans="1:3" x14ac:dyDescent="0.3">
      <c r="A73" s="34">
        <v>64</v>
      </c>
      <c r="B73" s="34">
        <v>908</v>
      </c>
      <c r="C73" s="34">
        <f>VLOOKUP(B73,Dane!$A:$F,2,FALSE)</f>
        <v>36</v>
      </c>
    </row>
    <row r="74" spans="1:3" x14ac:dyDescent="0.3">
      <c r="A74" s="34">
        <v>65</v>
      </c>
      <c r="B74" s="34">
        <v>148</v>
      </c>
      <c r="C74" s="34">
        <f>VLOOKUP(B74,Dane!$A:$F,2,FALSE)</f>
        <v>12</v>
      </c>
    </row>
    <row r="75" spans="1:3" x14ac:dyDescent="0.3">
      <c r="A75" s="34">
        <v>66</v>
      </c>
      <c r="B75" s="34">
        <v>173</v>
      </c>
      <c r="C75" s="34">
        <f>VLOOKUP(B75,Dane!$A:$F,2,FALSE)</f>
        <v>24</v>
      </c>
    </row>
    <row r="76" spans="1:3" x14ac:dyDescent="0.3">
      <c r="A76" s="34">
        <v>67</v>
      </c>
      <c r="B76" s="34">
        <v>912</v>
      </c>
      <c r="C76" s="34">
        <f>VLOOKUP(B76,Dane!$A:$F,2,FALSE)</f>
        <v>24</v>
      </c>
    </row>
    <row r="77" spans="1:3" x14ac:dyDescent="0.3">
      <c r="A77" s="34">
        <v>68</v>
      </c>
      <c r="B77" s="34">
        <v>55</v>
      </c>
      <c r="C77" s="34">
        <f>VLOOKUP(B77,Dane!$A:$F,2,FALSE)</f>
        <v>36</v>
      </c>
    </row>
    <row r="78" spans="1:3" x14ac:dyDescent="0.3">
      <c r="A78" s="34">
        <v>69</v>
      </c>
      <c r="B78" s="34">
        <v>154</v>
      </c>
      <c r="C78" s="34">
        <f>VLOOKUP(B78,Dane!$A:$F,2,FALSE)</f>
        <v>24</v>
      </c>
    </row>
    <row r="79" spans="1:3" x14ac:dyDescent="0.3">
      <c r="A79" s="34">
        <v>70</v>
      </c>
      <c r="B79" s="34">
        <v>21</v>
      </c>
      <c r="C79" s="34">
        <f>VLOOKUP(B79,Dane!$A:$F,2,FALSE)</f>
        <v>9</v>
      </c>
    </row>
    <row r="80" spans="1:3" x14ac:dyDescent="0.3">
      <c r="A80" s="34">
        <v>71</v>
      </c>
      <c r="B80" s="34">
        <v>883</v>
      </c>
      <c r="C80" s="34">
        <f>VLOOKUP(B80,Dane!$A:$F,2,FALSE)</f>
        <v>30</v>
      </c>
    </row>
    <row r="81" spans="1:3" x14ac:dyDescent="0.3">
      <c r="A81" s="34">
        <v>72</v>
      </c>
      <c r="B81" s="34">
        <v>640</v>
      </c>
      <c r="C81" s="34">
        <f>VLOOKUP(B81,Dane!$A:$F,2,FALSE)</f>
        <v>42</v>
      </c>
    </row>
    <row r="82" spans="1:3" x14ac:dyDescent="0.3">
      <c r="A82" s="34">
        <v>73</v>
      </c>
      <c r="B82" s="34">
        <v>101</v>
      </c>
      <c r="C82" s="34">
        <f>VLOOKUP(B82,Dane!$A:$F,2,FALSE)</f>
        <v>24</v>
      </c>
    </row>
    <row r="83" spans="1:3" x14ac:dyDescent="0.3">
      <c r="A83" s="34">
        <v>74</v>
      </c>
      <c r="B83" s="34">
        <v>619</v>
      </c>
      <c r="C83" s="34">
        <f>VLOOKUP(B83,Dane!$A:$F,2,FALSE)</f>
        <v>30</v>
      </c>
    </row>
    <row r="84" spans="1:3" x14ac:dyDescent="0.3">
      <c r="A84" s="34">
        <v>75</v>
      </c>
      <c r="B84" s="34">
        <v>961</v>
      </c>
      <c r="C84" s="34">
        <f>VLOOKUP(B84,Dane!$A:$F,2,FALSE)</f>
        <v>6</v>
      </c>
    </row>
    <row r="85" spans="1:3" x14ac:dyDescent="0.3">
      <c r="A85" s="34">
        <v>76</v>
      </c>
      <c r="B85" s="34">
        <v>362</v>
      </c>
      <c r="C85" s="34">
        <f>VLOOKUP(B85,Dane!$A:$F,2,FALSE)</f>
        <v>12</v>
      </c>
    </row>
    <row r="86" spans="1:3" x14ac:dyDescent="0.3">
      <c r="A86" s="34">
        <v>77</v>
      </c>
      <c r="B86" s="34">
        <v>940</v>
      </c>
      <c r="C86" s="34">
        <f>VLOOKUP(B86,Dane!$A:$F,2,FALSE)</f>
        <v>24</v>
      </c>
    </row>
    <row r="87" spans="1:3" x14ac:dyDescent="0.3">
      <c r="A87" s="34">
        <v>78</v>
      </c>
      <c r="B87" s="34">
        <v>708</v>
      </c>
      <c r="C87" s="34">
        <f>VLOOKUP(B87,Dane!$A:$F,2,FALSE)</f>
        <v>12</v>
      </c>
    </row>
    <row r="88" spans="1:3" x14ac:dyDescent="0.3">
      <c r="A88" s="34">
        <v>79</v>
      </c>
      <c r="B88" s="34">
        <v>396</v>
      </c>
      <c r="C88" s="34">
        <f>VLOOKUP(B88,Dane!$A:$F,2,FALSE)</f>
        <v>39</v>
      </c>
    </row>
    <row r="89" spans="1:3" x14ac:dyDescent="0.3">
      <c r="A89" s="34">
        <v>80</v>
      </c>
      <c r="B89" s="34">
        <v>729</v>
      </c>
      <c r="C89" s="34">
        <f>VLOOKUP(B89,Dane!$A:$F,2,FALSE)</f>
        <v>48</v>
      </c>
    </row>
    <row r="90" spans="1:3" x14ac:dyDescent="0.3">
      <c r="A90" s="34">
        <v>81</v>
      </c>
      <c r="B90" s="34">
        <v>592</v>
      </c>
      <c r="C90" s="34">
        <f>VLOOKUP(B90,Dane!$A:$F,2,FALSE)</f>
        <v>24</v>
      </c>
    </row>
    <row r="91" spans="1:3" x14ac:dyDescent="0.3">
      <c r="A91" s="34">
        <v>82</v>
      </c>
      <c r="B91" s="34">
        <v>585</v>
      </c>
      <c r="C91" s="34">
        <f>VLOOKUP(B91,Dane!$A:$F,2,FALSE)</f>
        <v>12</v>
      </c>
    </row>
    <row r="92" spans="1:3" x14ac:dyDescent="0.3">
      <c r="A92" s="34">
        <v>83</v>
      </c>
      <c r="B92" s="34">
        <v>542</v>
      </c>
      <c r="C92" s="34">
        <f>VLOOKUP(B92,Dane!$A:$F,2,FALSE)</f>
        <v>24</v>
      </c>
    </row>
    <row r="93" spans="1:3" x14ac:dyDescent="0.3">
      <c r="A93" s="34">
        <v>84</v>
      </c>
      <c r="B93" s="34">
        <v>690</v>
      </c>
      <c r="C93" s="34">
        <f>VLOOKUP(B93,Dane!$A:$F,2,FALSE)</f>
        <v>12</v>
      </c>
    </row>
    <row r="94" spans="1:3" x14ac:dyDescent="0.3">
      <c r="A94" s="34">
        <v>85</v>
      </c>
      <c r="B94" s="34">
        <v>451</v>
      </c>
      <c r="C94" s="34">
        <f>VLOOKUP(B94,Dane!$A:$F,2,FALSE)</f>
        <v>36</v>
      </c>
    </row>
    <row r="95" spans="1:3" x14ac:dyDescent="0.3">
      <c r="A95" s="34">
        <v>86</v>
      </c>
      <c r="B95" s="34">
        <v>169</v>
      </c>
      <c r="C95" s="34">
        <f>VLOOKUP(B95,Dane!$A:$F,2,FALSE)</f>
        <v>24</v>
      </c>
    </row>
    <row r="96" spans="1:3" x14ac:dyDescent="0.3">
      <c r="A96" s="34">
        <v>87</v>
      </c>
      <c r="B96" s="34">
        <v>652</v>
      </c>
      <c r="C96" s="34">
        <f>VLOOKUP(B96,Dane!$A:$F,2,FALSE)</f>
        <v>12</v>
      </c>
    </row>
    <row r="97" spans="1:3" x14ac:dyDescent="0.3">
      <c r="A97" s="34">
        <v>88</v>
      </c>
      <c r="B97" s="34">
        <v>663</v>
      </c>
      <c r="C97" s="34">
        <f>VLOOKUP(B97,Dane!$A:$F,2,FALSE)</f>
        <v>21</v>
      </c>
    </row>
    <row r="98" spans="1:3" x14ac:dyDescent="0.3">
      <c r="A98" s="34">
        <v>89</v>
      </c>
      <c r="B98" s="34">
        <v>6</v>
      </c>
      <c r="C98" s="34">
        <f>VLOOKUP(B98,Dane!$A:$F,2,FALSE)</f>
        <v>36</v>
      </c>
    </row>
    <row r="99" spans="1:3" x14ac:dyDescent="0.3">
      <c r="A99" s="34">
        <v>90</v>
      </c>
      <c r="B99" s="34">
        <v>326</v>
      </c>
      <c r="C99" s="34">
        <f>VLOOKUP(B99,Dane!$A:$F,2,FALSE)</f>
        <v>8</v>
      </c>
    </row>
    <row r="100" spans="1:3" x14ac:dyDescent="0.3">
      <c r="A100" s="34">
        <v>91</v>
      </c>
      <c r="B100" s="34">
        <v>118</v>
      </c>
      <c r="C100" s="34">
        <f>VLOOKUP(B100,Dane!$A:$F,2,FALSE)</f>
        <v>10</v>
      </c>
    </row>
    <row r="101" spans="1:3" x14ac:dyDescent="0.3">
      <c r="A101" s="34">
        <v>92</v>
      </c>
      <c r="B101" s="34">
        <v>677</v>
      </c>
      <c r="C101" s="34">
        <f>VLOOKUP(B101,Dane!$A:$F,2,FALSE)</f>
        <v>24</v>
      </c>
    </row>
    <row r="102" spans="1:3" x14ac:dyDescent="0.3">
      <c r="A102" s="34">
        <v>93</v>
      </c>
      <c r="B102" s="34">
        <v>639</v>
      </c>
      <c r="C102" s="34">
        <f>VLOOKUP(B102,Dane!$A:$F,2,FALSE)</f>
        <v>12</v>
      </c>
    </row>
    <row r="103" spans="1:3" x14ac:dyDescent="0.3">
      <c r="A103" s="34">
        <v>94</v>
      </c>
      <c r="B103" s="34">
        <v>414</v>
      </c>
      <c r="C103" s="34">
        <f>VLOOKUP(B103,Dane!$A:$F,2,FALSE)</f>
        <v>10</v>
      </c>
    </row>
    <row r="104" spans="1:3" x14ac:dyDescent="0.3">
      <c r="A104" s="34">
        <v>95</v>
      </c>
      <c r="B104" s="34">
        <v>537</v>
      </c>
      <c r="C104" s="34">
        <f>VLOOKUP(B104,Dane!$A:$F,2,FALSE)</f>
        <v>6</v>
      </c>
    </row>
    <row r="105" spans="1:3" x14ac:dyDescent="0.3">
      <c r="A105" s="34">
        <v>96</v>
      </c>
      <c r="B105" s="34">
        <v>299</v>
      </c>
      <c r="C105" s="34">
        <f>VLOOKUP(B105,Dane!$A:$F,2,FALSE)</f>
        <v>18</v>
      </c>
    </row>
    <row r="106" spans="1:3" x14ac:dyDescent="0.3">
      <c r="A106" s="34">
        <v>97</v>
      </c>
      <c r="B106" s="34">
        <v>60</v>
      </c>
      <c r="C106" s="34">
        <f>VLOOKUP(B106,Dane!$A:$F,2,FALSE)</f>
        <v>36</v>
      </c>
    </row>
    <row r="107" spans="1:3" x14ac:dyDescent="0.3">
      <c r="A107" s="34">
        <v>98</v>
      </c>
      <c r="B107" s="34">
        <v>345</v>
      </c>
      <c r="C107" s="34">
        <f>VLOOKUP(B107,Dane!$A:$F,2,FALSE)</f>
        <v>10</v>
      </c>
    </row>
    <row r="108" spans="1:3" x14ac:dyDescent="0.3">
      <c r="A108" s="34">
        <v>99</v>
      </c>
      <c r="B108" s="34">
        <v>272</v>
      </c>
      <c r="C108" s="34">
        <f>VLOOKUP(B108,Dane!$A:$F,2,FALSE)</f>
        <v>12</v>
      </c>
    </row>
    <row r="109" spans="1:3" x14ac:dyDescent="0.3">
      <c r="A109" s="34">
        <v>100</v>
      </c>
      <c r="B109" s="34">
        <v>461</v>
      </c>
      <c r="C109" s="34">
        <f>VLOOKUP(B109,Dane!$A:$F,2,FALSE)</f>
        <v>36</v>
      </c>
    </row>
    <row r="110" spans="1:3" x14ac:dyDescent="0.3">
      <c r="A110" s="34">
        <v>101</v>
      </c>
      <c r="B110" s="34">
        <v>38</v>
      </c>
      <c r="C110" s="34">
        <f>VLOOKUP(B110,Dane!$A:$F,2,FALSE)</f>
        <v>18</v>
      </c>
    </row>
    <row r="111" spans="1:3" x14ac:dyDescent="0.3">
      <c r="A111" s="34">
        <v>102</v>
      </c>
      <c r="B111" s="34">
        <v>861</v>
      </c>
      <c r="C111" s="34">
        <f>VLOOKUP(B111,Dane!$A:$F,2,FALSE)</f>
        <v>24</v>
      </c>
    </row>
    <row r="112" spans="1:3" x14ac:dyDescent="0.3">
      <c r="A112" s="34">
        <v>103</v>
      </c>
      <c r="B112" s="34">
        <v>881</v>
      </c>
      <c r="C112" s="34">
        <f>VLOOKUP(B112,Dane!$A:$F,2,FALSE)</f>
        <v>24</v>
      </c>
    </row>
    <row r="113" spans="1:3" x14ac:dyDescent="0.3">
      <c r="A113" s="34">
        <v>104</v>
      </c>
      <c r="B113" s="34">
        <v>429</v>
      </c>
      <c r="C113" s="34">
        <f>VLOOKUP(B113,Dane!$A:$F,2,FALSE)</f>
        <v>9</v>
      </c>
    </row>
    <row r="114" spans="1:3" x14ac:dyDescent="0.3">
      <c r="A114" s="34">
        <v>105</v>
      </c>
      <c r="B114" s="34">
        <v>836</v>
      </c>
      <c r="C114" s="34">
        <f>VLOOKUP(B114,Dane!$A:$F,2,FALSE)</f>
        <v>12</v>
      </c>
    </row>
    <row r="115" spans="1:3" x14ac:dyDescent="0.3">
      <c r="A115" s="34">
        <v>106</v>
      </c>
      <c r="B115" s="34">
        <v>22</v>
      </c>
      <c r="C115" s="34">
        <f>VLOOKUP(B115,Dane!$A:$F,2,FALSE)</f>
        <v>6</v>
      </c>
    </row>
    <row r="116" spans="1:3" x14ac:dyDescent="0.3">
      <c r="A116" s="34">
        <v>107</v>
      </c>
      <c r="B116" s="34">
        <v>480</v>
      </c>
      <c r="C116" s="34">
        <f>VLOOKUP(B116,Dane!$A:$F,2,FALSE)</f>
        <v>15</v>
      </c>
    </row>
    <row r="117" spans="1:3" x14ac:dyDescent="0.3">
      <c r="A117" s="34">
        <v>108</v>
      </c>
      <c r="B117" s="34">
        <v>960</v>
      </c>
      <c r="C117" s="34">
        <f>VLOOKUP(B117,Dane!$A:$F,2,FALSE)</f>
        <v>24</v>
      </c>
    </row>
    <row r="118" spans="1:3" x14ac:dyDescent="0.3">
      <c r="A118" s="34">
        <v>109</v>
      </c>
      <c r="B118" s="34">
        <v>122</v>
      </c>
      <c r="C118" s="34">
        <f>VLOOKUP(B118,Dane!$A:$F,2,FALSE)</f>
        <v>24</v>
      </c>
    </row>
    <row r="119" spans="1:3" x14ac:dyDescent="0.3">
      <c r="A119" s="34">
        <v>110</v>
      </c>
      <c r="B119" s="34">
        <v>688</v>
      </c>
      <c r="C119" s="34">
        <f>VLOOKUP(B119,Dane!$A:$F,2,FALSE)</f>
        <v>36</v>
      </c>
    </row>
    <row r="120" spans="1:3" x14ac:dyDescent="0.3">
      <c r="A120" s="34">
        <v>111</v>
      </c>
      <c r="B120" s="34">
        <v>942</v>
      </c>
      <c r="C120" s="34">
        <f>VLOOKUP(B120,Dane!$A:$F,2,FALSE)</f>
        <v>10</v>
      </c>
    </row>
    <row r="121" spans="1:3" x14ac:dyDescent="0.3">
      <c r="A121" s="34">
        <v>112</v>
      </c>
      <c r="B121" s="34">
        <v>254</v>
      </c>
      <c r="C121" s="34">
        <f>VLOOKUP(B121,Dane!$A:$F,2,FALSE)</f>
        <v>24</v>
      </c>
    </row>
    <row r="122" spans="1:3" x14ac:dyDescent="0.3">
      <c r="A122" s="34">
        <v>113</v>
      </c>
      <c r="B122" s="34">
        <v>532</v>
      </c>
      <c r="C122" s="34">
        <f>VLOOKUP(B122,Dane!$A:$F,2,FALSE)</f>
        <v>15</v>
      </c>
    </row>
    <row r="123" spans="1:3" x14ac:dyDescent="0.3">
      <c r="A123" s="34">
        <v>114</v>
      </c>
      <c r="B123" s="34">
        <v>79</v>
      </c>
      <c r="C123" s="34">
        <f>VLOOKUP(B123,Dane!$A:$F,2,FALSE)</f>
        <v>54</v>
      </c>
    </row>
    <row r="124" spans="1:3" x14ac:dyDescent="0.3">
      <c r="A124" s="34">
        <v>115</v>
      </c>
      <c r="B124" s="34">
        <v>842</v>
      </c>
      <c r="C124" s="34">
        <f>VLOOKUP(B124,Dane!$A:$F,2,FALSE)</f>
        <v>21</v>
      </c>
    </row>
    <row r="125" spans="1:3" x14ac:dyDescent="0.3">
      <c r="A125" s="34">
        <v>116</v>
      </c>
      <c r="B125" s="34">
        <v>760</v>
      </c>
      <c r="C125" s="34">
        <f>VLOOKUP(B125,Dane!$A:$F,2,FALSE)</f>
        <v>12</v>
      </c>
    </row>
    <row r="126" spans="1:3" x14ac:dyDescent="0.3">
      <c r="A126" s="34">
        <v>117</v>
      </c>
      <c r="B126" s="34">
        <v>864</v>
      </c>
      <c r="C126" s="34">
        <f>VLOOKUP(B126,Dane!$A:$F,2,FALSE)</f>
        <v>27</v>
      </c>
    </row>
    <row r="127" spans="1:3" x14ac:dyDescent="0.3">
      <c r="A127" s="34">
        <v>118</v>
      </c>
      <c r="B127" s="34">
        <v>852</v>
      </c>
      <c r="C127" s="34">
        <f>VLOOKUP(B127,Dane!$A:$F,2,FALSE)</f>
        <v>24</v>
      </c>
    </row>
    <row r="128" spans="1:3" x14ac:dyDescent="0.3">
      <c r="A128" s="34">
        <v>119</v>
      </c>
      <c r="B128" s="34">
        <v>335</v>
      </c>
      <c r="C128" s="34">
        <f>VLOOKUP(B128,Dane!$A:$F,2,FALSE)</f>
        <v>24</v>
      </c>
    </row>
    <row r="129" spans="1:3" x14ac:dyDescent="0.3">
      <c r="A129" s="34">
        <v>120</v>
      </c>
      <c r="B129" s="34">
        <v>920</v>
      </c>
      <c r="C129" s="34">
        <f>VLOOKUP(B129,Dane!$A:$F,2,FALSE)</f>
        <v>24</v>
      </c>
    </row>
    <row r="130" spans="1:3" x14ac:dyDescent="0.3">
      <c r="A130" s="34">
        <v>121</v>
      </c>
      <c r="B130" s="34">
        <v>487</v>
      </c>
      <c r="C130" s="34">
        <f>VLOOKUP(B130,Dane!$A:$F,2,FALSE)</f>
        <v>12</v>
      </c>
    </row>
    <row r="131" spans="1:3" x14ac:dyDescent="0.3">
      <c r="A131" s="34">
        <v>122</v>
      </c>
      <c r="B131" s="34">
        <v>972</v>
      </c>
      <c r="C131" s="34">
        <f>VLOOKUP(B131,Dane!$A:$F,2,FALSE)</f>
        <v>24</v>
      </c>
    </row>
    <row r="132" spans="1:3" x14ac:dyDescent="0.3">
      <c r="A132" s="34">
        <v>123</v>
      </c>
      <c r="B132" s="34">
        <v>129</v>
      </c>
      <c r="C132" s="34">
        <f>VLOOKUP(B132,Dane!$A:$F,2,FALSE)</f>
        <v>12</v>
      </c>
    </row>
    <row r="133" spans="1:3" x14ac:dyDescent="0.3">
      <c r="A133" s="34">
        <v>124</v>
      </c>
      <c r="B133" s="34">
        <v>588</v>
      </c>
      <c r="C133" s="34">
        <f>VLOOKUP(B133,Dane!$A:$F,2,FALSE)</f>
        <v>12</v>
      </c>
    </row>
    <row r="134" spans="1:3" x14ac:dyDescent="0.3">
      <c r="A134" s="34">
        <v>125</v>
      </c>
      <c r="B134" s="34">
        <v>236</v>
      </c>
      <c r="C134" s="34">
        <f>VLOOKUP(B134,Dane!$A:$F,2,FALSE)</f>
        <v>24</v>
      </c>
    </row>
    <row r="135" spans="1:3" x14ac:dyDescent="0.3">
      <c r="A135" s="34">
        <v>126</v>
      </c>
      <c r="B135" s="34">
        <v>55</v>
      </c>
      <c r="C135" s="34">
        <f>VLOOKUP(B135,Dane!$A:$F,2,FALSE)</f>
        <v>36</v>
      </c>
    </row>
    <row r="136" spans="1:3" x14ac:dyDescent="0.3">
      <c r="A136" s="34">
        <v>127</v>
      </c>
      <c r="B136" s="34">
        <v>526</v>
      </c>
      <c r="C136" s="34">
        <f>VLOOKUP(B136,Dane!$A:$F,2,FALSE)</f>
        <v>26</v>
      </c>
    </row>
    <row r="137" spans="1:3" x14ac:dyDescent="0.3">
      <c r="A137" s="34">
        <v>128</v>
      </c>
      <c r="B137" s="34">
        <v>736</v>
      </c>
      <c r="C137" s="34">
        <f>VLOOKUP(B137,Dane!$A:$F,2,FALSE)</f>
        <v>36</v>
      </c>
    </row>
    <row r="138" spans="1:3" x14ac:dyDescent="0.3">
      <c r="A138" s="34">
        <v>129</v>
      </c>
      <c r="B138" s="34">
        <v>885</v>
      </c>
      <c r="C138" s="34">
        <f>VLOOKUP(B138,Dane!$A:$F,2,FALSE)</f>
        <v>24</v>
      </c>
    </row>
    <row r="139" spans="1:3" x14ac:dyDescent="0.3">
      <c r="A139" s="34">
        <v>130</v>
      </c>
      <c r="B139" s="34">
        <v>900</v>
      </c>
      <c r="C139" s="34">
        <f>VLOOKUP(B139,Dane!$A:$F,2,FALSE)</f>
        <v>18</v>
      </c>
    </row>
    <row r="140" spans="1:3" x14ac:dyDescent="0.3">
      <c r="A140" s="34">
        <v>131</v>
      </c>
      <c r="B140" s="34">
        <v>308</v>
      </c>
      <c r="C140" s="34">
        <f>VLOOKUP(B140,Dane!$A:$F,2,FALSE)</f>
        <v>12</v>
      </c>
    </row>
    <row r="141" spans="1:3" x14ac:dyDescent="0.3">
      <c r="A141" s="34">
        <v>132</v>
      </c>
      <c r="B141" s="34">
        <v>143</v>
      </c>
      <c r="C141" s="34">
        <f>VLOOKUP(B141,Dane!$A:$F,2,FALSE)</f>
        <v>27</v>
      </c>
    </row>
    <row r="142" spans="1:3" x14ac:dyDescent="0.3">
      <c r="A142" s="34">
        <v>133</v>
      </c>
      <c r="B142" s="34">
        <v>962</v>
      </c>
      <c r="C142" s="34">
        <f>VLOOKUP(B142,Dane!$A:$F,2,FALSE)</f>
        <v>21</v>
      </c>
    </row>
    <row r="143" spans="1:3" x14ac:dyDescent="0.3">
      <c r="A143" s="34">
        <v>134</v>
      </c>
      <c r="B143" s="34">
        <v>13</v>
      </c>
      <c r="C143" s="34">
        <f>VLOOKUP(B143,Dane!$A:$F,2,FALSE)</f>
        <v>12</v>
      </c>
    </row>
    <row r="144" spans="1:3" x14ac:dyDescent="0.3">
      <c r="A144" s="34">
        <v>135</v>
      </c>
      <c r="B144" s="34">
        <v>680</v>
      </c>
      <c r="C144" s="34">
        <f>VLOOKUP(B144,Dane!$A:$F,2,FALSE)</f>
        <v>18</v>
      </c>
    </row>
    <row r="145" spans="1:3" x14ac:dyDescent="0.3">
      <c r="A145" s="34">
        <v>136</v>
      </c>
      <c r="B145" s="34">
        <v>546</v>
      </c>
      <c r="C145" s="34">
        <f>VLOOKUP(B145,Dane!$A:$F,2,FALSE)</f>
        <v>24</v>
      </c>
    </row>
    <row r="146" spans="1:3" x14ac:dyDescent="0.3">
      <c r="A146" s="34">
        <v>137</v>
      </c>
      <c r="B146" s="34">
        <v>209</v>
      </c>
      <c r="C146" s="34">
        <f>VLOOKUP(B146,Dane!$A:$F,2,FALSE)</f>
        <v>24</v>
      </c>
    </row>
    <row r="147" spans="1:3" x14ac:dyDescent="0.3">
      <c r="A147" s="34">
        <v>138</v>
      </c>
      <c r="B147" s="34">
        <v>671</v>
      </c>
      <c r="C147" s="34">
        <f>VLOOKUP(B147,Dane!$A:$F,2,FALSE)</f>
        <v>24</v>
      </c>
    </row>
    <row r="148" spans="1:3" x14ac:dyDescent="0.3">
      <c r="A148" s="34">
        <v>139</v>
      </c>
      <c r="B148" s="34">
        <v>40</v>
      </c>
      <c r="C148" s="34">
        <f>VLOOKUP(B148,Dane!$A:$F,2,FALSE)</f>
        <v>9</v>
      </c>
    </row>
    <row r="149" spans="1:3" x14ac:dyDescent="0.3">
      <c r="A149" s="34">
        <v>140</v>
      </c>
      <c r="B149" s="34">
        <v>356</v>
      </c>
      <c r="C149" s="34">
        <f>VLOOKUP(B149,Dane!$A:$F,2,FALSE)</f>
        <v>24</v>
      </c>
    </row>
    <row r="150" spans="1:3" x14ac:dyDescent="0.3">
      <c r="A150" s="34">
        <v>141</v>
      </c>
      <c r="B150" s="34">
        <v>937</v>
      </c>
      <c r="C150" s="34">
        <f>VLOOKUP(B150,Dane!$A:$F,2,FALSE)</f>
        <v>9</v>
      </c>
    </row>
    <row r="151" spans="1:3" x14ac:dyDescent="0.3">
      <c r="A151" s="34">
        <v>142</v>
      </c>
      <c r="B151" s="34">
        <v>371</v>
      </c>
      <c r="C151" s="34">
        <f>VLOOKUP(B151,Dane!$A:$F,2,FALSE)</f>
        <v>36</v>
      </c>
    </row>
    <row r="152" spans="1:3" x14ac:dyDescent="0.3">
      <c r="A152" s="34">
        <v>143</v>
      </c>
      <c r="B152" s="34">
        <v>334</v>
      </c>
      <c r="C152" s="34">
        <f>VLOOKUP(B152,Dane!$A:$F,2,FALSE)</f>
        <v>48</v>
      </c>
    </row>
    <row r="153" spans="1:3" x14ac:dyDescent="0.3">
      <c r="A153" s="34">
        <v>144</v>
      </c>
      <c r="B153" s="34">
        <v>668</v>
      </c>
      <c r="C153" s="34">
        <f>VLOOKUP(B153,Dane!$A:$F,2,FALSE)</f>
        <v>48</v>
      </c>
    </row>
    <row r="154" spans="1:3" x14ac:dyDescent="0.3">
      <c r="A154" s="34">
        <v>145</v>
      </c>
      <c r="B154" s="34">
        <v>359</v>
      </c>
      <c r="C154" s="34">
        <f>VLOOKUP(B154,Dane!$A:$F,2,FALSE)</f>
        <v>12</v>
      </c>
    </row>
    <row r="155" spans="1:3" x14ac:dyDescent="0.3">
      <c r="A155" s="34">
        <v>146</v>
      </c>
      <c r="B155" s="34">
        <v>693</v>
      </c>
      <c r="C155" s="34">
        <f>VLOOKUP(B155,Dane!$A:$F,2,FALSE)</f>
        <v>24</v>
      </c>
    </row>
    <row r="156" spans="1:3" x14ac:dyDescent="0.3">
      <c r="A156" s="34">
        <v>147</v>
      </c>
      <c r="B156" s="34">
        <v>443</v>
      </c>
      <c r="C156" s="34">
        <f>VLOOKUP(B156,Dane!$A:$F,2,FALSE)</f>
        <v>20</v>
      </c>
    </row>
    <row r="157" spans="1:3" x14ac:dyDescent="0.3">
      <c r="A157" s="34">
        <v>148</v>
      </c>
      <c r="B157" s="34">
        <v>910</v>
      </c>
      <c r="C157" s="34">
        <f>VLOOKUP(B157,Dane!$A:$F,2,FALSE)</f>
        <v>9</v>
      </c>
    </row>
    <row r="158" spans="1:3" x14ac:dyDescent="0.3">
      <c r="A158" s="34">
        <v>149</v>
      </c>
      <c r="B158" s="34">
        <v>217</v>
      </c>
      <c r="C158" s="34">
        <f>VLOOKUP(B158,Dane!$A:$F,2,FALSE)</f>
        <v>18</v>
      </c>
    </row>
    <row r="159" spans="1:3" x14ac:dyDescent="0.3">
      <c r="A159" s="34">
        <v>150</v>
      </c>
      <c r="B159" s="34">
        <v>314</v>
      </c>
      <c r="C159" s="34">
        <f>VLOOKUP(B159,Dane!$A:$F,2,FALSE)</f>
        <v>12</v>
      </c>
    </row>
    <row r="160" spans="1:3" x14ac:dyDescent="0.3">
      <c r="A160" s="34">
        <v>151</v>
      </c>
      <c r="B160" s="34">
        <v>463</v>
      </c>
      <c r="C160" s="34">
        <f>VLOOKUP(B160,Dane!$A:$F,2,FALSE)</f>
        <v>12</v>
      </c>
    </row>
    <row r="161" spans="1:3" x14ac:dyDescent="0.3">
      <c r="A161" s="34">
        <v>152</v>
      </c>
      <c r="B161" s="34">
        <v>542</v>
      </c>
      <c r="C161" s="34">
        <f>VLOOKUP(B161,Dane!$A:$F,2,FALSE)</f>
        <v>24</v>
      </c>
    </row>
    <row r="162" spans="1:3" x14ac:dyDescent="0.3">
      <c r="A162" s="34">
        <v>153</v>
      </c>
      <c r="B162" s="34">
        <v>783</v>
      </c>
      <c r="C162" s="34">
        <f>VLOOKUP(B162,Dane!$A:$F,2,FALSE)</f>
        <v>12</v>
      </c>
    </row>
    <row r="163" spans="1:3" x14ac:dyDescent="0.3">
      <c r="A163" s="34">
        <v>154</v>
      </c>
      <c r="B163" s="34">
        <v>951</v>
      </c>
      <c r="C163" s="34">
        <f>VLOOKUP(B163,Dane!$A:$F,2,FALSE)</f>
        <v>18</v>
      </c>
    </row>
    <row r="164" spans="1:3" x14ac:dyDescent="0.3">
      <c r="A164" s="34">
        <v>155</v>
      </c>
      <c r="B164" s="34">
        <v>283</v>
      </c>
      <c r="C164" s="34">
        <f>VLOOKUP(B164,Dane!$A:$F,2,FALSE)</f>
        <v>18</v>
      </c>
    </row>
    <row r="165" spans="1:3" x14ac:dyDescent="0.3">
      <c r="A165" s="34">
        <v>156</v>
      </c>
      <c r="B165" s="34">
        <v>239</v>
      </c>
      <c r="C165" s="34">
        <f>VLOOKUP(B165,Dane!$A:$F,2,FALSE)</f>
        <v>12</v>
      </c>
    </row>
    <row r="166" spans="1:3" x14ac:dyDescent="0.3">
      <c r="A166" s="34">
        <v>157</v>
      </c>
      <c r="B166" s="34">
        <v>96</v>
      </c>
      <c r="C166" s="34">
        <f>VLOOKUP(B166,Dane!$A:$F,2,FALSE)</f>
        <v>54</v>
      </c>
    </row>
    <row r="167" spans="1:3" x14ac:dyDescent="0.3">
      <c r="A167" s="34">
        <v>158</v>
      </c>
      <c r="B167" s="34">
        <v>720</v>
      </c>
      <c r="C167" s="34">
        <f>VLOOKUP(B167,Dane!$A:$F,2,FALSE)</f>
        <v>20</v>
      </c>
    </row>
    <row r="168" spans="1:3" x14ac:dyDescent="0.3">
      <c r="A168" s="34">
        <v>159</v>
      </c>
      <c r="B168" s="34">
        <v>834</v>
      </c>
      <c r="C168" s="34">
        <f>VLOOKUP(B168,Dane!$A:$F,2,FALSE)</f>
        <v>24</v>
      </c>
    </row>
    <row r="169" spans="1:3" x14ac:dyDescent="0.3">
      <c r="A169" s="34">
        <v>160</v>
      </c>
      <c r="B169" s="34">
        <v>692</v>
      </c>
      <c r="C169" s="34">
        <f>VLOOKUP(B169,Dane!$A:$F,2,FALSE)</f>
        <v>15</v>
      </c>
    </row>
    <row r="170" spans="1:3" x14ac:dyDescent="0.3">
      <c r="A170" s="34">
        <v>161</v>
      </c>
      <c r="B170" s="34">
        <v>533</v>
      </c>
      <c r="C170" s="34">
        <f>VLOOKUP(B170,Dane!$A:$F,2,FALSE)</f>
        <v>12</v>
      </c>
    </row>
    <row r="171" spans="1:3" x14ac:dyDescent="0.3">
      <c r="A171" s="34">
        <v>162</v>
      </c>
      <c r="B171" s="34">
        <v>662</v>
      </c>
      <c r="C171" s="34">
        <f>VLOOKUP(B171,Dane!$A:$F,2,FALSE)</f>
        <v>12</v>
      </c>
    </row>
    <row r="172" spans="1:3" x14ac:dyDescent="0.3">
      <c r="A172" s="34">
        <v>163</v>
      </c>
      <c r="B172" s="34">
        <v>873</v>
      </c>
      <c r="C172" s="34">
        <f>VLOOKUP(B172,Dane!$A:$F,2,FALSE)</f>
        <v>24</v>
      </c>
    </row>
    <row r="173" spans="1:3" x14ac:dyDescent="0.3">
      <c r="A173" s="34">
        <v>164</v>
      </c>
      <c r="B173" s="34">
        <v>526</v>
      </c>
      <c r="C173" s="34">
        <f>VLOOKUP(B173,Dane!$A:$F,2,FALSE)</f>
        <v>26</v>
      </c>
    </row>
    <row r="174" spans="1:3" x14ac:dyDescent="0.3">
      <c r="A174" s="34">
        <v>165</v>
      </c>
      <c r="B174" s="34">
        <v>868</v>
      </c>
      <c r="C174" s="34">
        <f>VLOOKUP(B174,Dane!$A:$F,2,FALSE)</f>
        <v>12</v>
      </c>
    </row>
    <row r="175" spans="1:3" x14ac:dyDescent="0.3">
      <c r="A175" s="34">
        <v>166</v>
      </c>
      <c r="B175" s="34">
        <v>935</v>
      </c>
      <c r="C175" s="34">
        <f>VLOOKUP(B175,Dane!$A:$F,2,FALSE)</f>
        <v>12</v>
      </c>
    </row>
    <row r="176" spans="1:3" x14ac:dyDescent="0.3">
      <c r="A176" s="34">
        <v>167</v>
      </c>
      <c r="B176" s="34">
        <v>953</v>
      </c>
      <c r="C176" s="34">
        <f>VLOOKUP(B176,Dane!$A:$F,2,FALSE)</f>
        <v>24</v>
      </c>
    </row>
    <row r="177" spans="1:3" x14ac:dyDescent="0.3">
      <c r="A177" s="34">
        <v>168</v>
      </c>
      <c r="B177" s="34">
        <v>53</v>
      </c>
      <c r="C177" s="34">
        <f>VLOOKUP(B177,Dane!$A:$F,2,FALSE)</f>
        <v>12</v>
      </c>
    </row>
    <row r="178" spans="1:3" x14ac:dyDescent="0.3">
      <c r="A178" s="34">
        <v>169</v>
      </c>
      <c r="B178" s="34">
        <v>643</v>
      </c>
      <c r="C178" s="34">
        <f>VLOOKUP(B178,Dane!$A:$F,2,FALSE)</f>
        <v>15</v>
      </c>
    </row>
    <row r="179" spans="1:3" x14ac:dyDescent="0.3">
      <c r="A179" s="34">
        <v>170</v>
      </c>
      <c r="B179" s="34">
        <v>727</v>
      </c>
      <c r="C179" s="34">
        <f>VLOOKUP(B179,Dane!$A:$F,2,FALSE)</f>
        <v>15</v>
      </c>
    </row>
    <row r="180" spans="1:3" x14ac:dyDescent="0.3">
      <c r="A180" s="34">
        <v>171</v>
      </c>
      <c r="B180" s="34">
        <v>800</v>
      </c>
      <c r="C180" s="34">
        <f>VLOOKUP(B180,Dane!$A:$F,2,FALSE)</f>
        <v>9</v>
      </c>
    </row>
    <row r="181" spans="1:3" x14ac:dyDescent="0.3">
      <c r="A181" s="34">
        <v>172</v>
      </c>
      <c r="B181" s="34">
        <v>887</v>
      </c>
      <c r="C181" s="34">
        <f>VLOOKUP(B181,Dane!$A:$F,2,FALSE)</f>
        <v>24</v>
      </c>
    </row>
    <row r="182" spans="1:3" x14ac:dyDescent="0.3">
      <c r="A182" s="34">
        <v>173</v>
      </c>
      <c r="B182" s="34">
        <v>343</v>
      </c>
      <c r="C182" s="34">
        <f>VLOOKUP(B182,Dane!$A:$F,2,FALSE)</f>
        <v>18</v>
      </c>
    </row>
    <row r="183" spans="1:3" x14ac:dyDescent="0.3">
      <c r="A183" s="34">
        <v>174</v>
      </c>
      <c r="B183" s="34">
        <v>385</v>
      </c>
      <c r="C183" s="34">
        <f>VLOOKUP(B183,Dane!$A:$F,2,FALSE)</f>
        <v>30</v>
      </c>
    </row>
    <row r="184" spans="1:3" x14ac:dyDescent="0.3">
      <c r="A184" s="34">
        <v>175</v>
      </c>
      <c r="B184" s="34">
        <v>439</v>
      </c>
      <c r="C184" s="34">
        <f>VLOOKUP(B184,Dane!$A:$F,2,FALSE)</f>
        <v>42</v>
      </c>
    </row>
    <row r="185" spans="1:3" x14ac:dyDescent="0.3">
      <c r="A185" s="34">
        <v>176</v>
      </c>
      <c r="B185" s="34">
        <v>759</v>
      </c>
      <c r="C185" s="34">
        <f>VLOOKUP(B185,Dane!$A:$F,2,FALSE)</f>
        <v>24</v>
      </c>
    </row>
    <row r="186" spans="1:3" x14ac:dyDescent="0.3">
      <c r="A186" s="34">
        <v>177</v>
      </c>
      <c r="B186" s="34">
        <v>196</v>
      </c>
      <c r="C186" s="34">
        <f>VLOOKUP(B186,Dane!$A:$F,2,FALSE)</f>
        <v>9</v>
      </c>
    </row>
    <row r="187" spans="1:3" x14ac:dyDescent="0.3">
      <c r="A187" s="34">
        <v>178</v>
      </c>
      <c r="B187" s="34">
        <v>851</v>
      </c>
      <c r="C187" s="34">
        <f>VLOOKUP(B187,Dane!$A:$F,2,FALSE)</f>
        <v>20</v>
      </c>
    </row>
    <row r="188" spans="1:3" x14ac:dyDescent="0.3">
      <c r="A188" s="34">
        <v>179</v>
      </c>
      <c r="B188" s="34">
        <v>838</v>
      </c>
      <c r="C188" s="34">
        <f>VLOOKUP(B188,Dane!$A:$F,2,FALSE)</f>
        <v>4</v>
      </c>
    </row>
    <row r="189" spans="1:3" x14ac:dyDescent="0.3">
      <c r="A189" s="34">
        <v>180</v>
      </c>
      <c r="B189" s="34">
        <v>1000</v>
      </c>
      <c r="C189" s="34">
        <f>VLOOKUP(B189,Dane!$A:$F,2,FALSE)</f>
        <v>45</v>
      </c>
    </row>
    <row r="190" spans="1:3" x14ac:dyDescent="0.3">
      <c r="A190" s="34">
        <v>181</v>
      </c>
      <c r="B190" s="34">
        <v>260</v>
      </c>
      <c r="C190" s="34">
        <f>VLOOKUP(B190,Dane!$A:$F,2,FALSE)</f>
        <v>11</v>
      </c>
    </row>
    <row r="191" spans="1:3" x14ac:dyDescent="0.3">
      <c r="A191" s="34">
        <v>182</v>
      </c>
      <c r="B191" s="34">
        <v>325</v>
      </c>
      <c r="C191" s="34">
        <f>VLOOKUP(B191,Dane!$A:$F,2,FALSE)</f>
        <v>18</v>
      </c>
    </row>
    <row r="192" spans="1:3" x14ac:dyDescent="0.3">
      <c r="A192" s="34">
        <v>183</v>
      </c>
      <c r="B192" s="34">
        <v>213</v>
      </c>
      <c r="C192" s="34">
        <f>VLOOKUP(B192,Dane!$A:$F,2,FALSE)</f>
        <v>27</v>
      </c>
    </row>
    <row r="193" spans="1:3" x14ac:dyDescent="0.3">
      <c r="A193" s="34">
        <v>184</v>
      </c>
      <c r="B193" s="34">
        <v>677</v>
      </c>
      <c r="C193" s="34">
        <f>VLOOKUP(B193,Dane!$A:$F,2,FALSE)</f>
        <v>24</v>
      </c>
    </row>
    <row r="194" spans="1:3" x14ac:dyDescent="0.3">
      <c r="A194" s="34">
        <v>185</v>
      </c>
      <c r="B194" s="34">
        <v>128</v>
      </c>
      <c r="C194" s="34">
        <f>VLOOKUP(B194,Dane!$A:$F,2,FALSE)</f>
        <v>12</v>
      </c>
    </row>
    <row r="195" spans="1:3" x14ac:dyDescent="0.3">
      <c r="A195" s="34">
        <v>186</v>
      </c>
      <c r="B195" s="34">
        <v>215</v>
      </c>
      <c r="C195" s="34">
        <f>VLOOKUP(B195,Dane!$A:$F,2,FALSE)</f>
        <v>36</v>
      </c>
    </row>
    <row r="196" spans="1:3" x14ac:dyDescent="0.3">
      <c r="A196" s="34">
        <v>187</v>
      </c>
      <c r="B196" s="34">
        <v>688</v>
      </c>
      <c r="C196" s="34">
        <f>VLOOKUP(B196,Dane!$A:$F,2,FALSE)</f>
        <v>36</v>
      </c>
    </row>
    <row r="197" spans="1:3" x14ac:dyDescent="0.3">
      <c r="A197" s="34">
        <v>188</v>
      </c>
      <c r="B197" s="34">
        <v>922</v>
      </c>
      <c r="C197" s="34">
        <f>VLOOKUP(B197,Dane!$A:$F,2,FALSE)</f>
        <v>48</v>
      </c>
    </row>
    <row r="198" spans="1:3" x14ac:dyDescent="0.3">
      <c r="A198" s="34">
        <v>189</v>
      </c>
      <c r="B198" s="34">
        <v>633</v>
      </c>
      <c r="C198" s="34">
        <f>VLOOKUP(B198,Dane!$A:$F,2,FALSE)</f>
        <v>15</v>
      </c>
    </row>
    <row r="199" spans="1:3" x14ac:dyDescent="0.3">
      <c r="A199" s="34">
        <v>190</v>
      </c>
      <c r="B199" s="34">
        <v>576</v>
      </c>
      <c r="C199" s="34">
        <f>VLOOKUP(B199,Dane!$A:$F,2,FALSE)</f>
        <v>15</v>
      </c>
    </row>
    <row r="200" spans="1:3" x14ac:dyDescent="0.3">
      <c r="A200" s="34">
        <v>191</v>
      </c>
      <c r="B200" s="34">
        <v>389</v>
      </c>
      <c r="C200" s="34">
        <f>VLOOKUP(B200,Dane!$A:$F,2,FALSE)</f>
        <v>15</v>
      </c>
    </row>
    <row r="201" spans="1:3" x14ac:dyDescent="0.3">
      <c r="A201" s="34">
        <v>192</v>
      </c>
      <c r="B201" s="34">
        <v>630</v>
      </c>
      <c r="C201" s="34">
        <f>VLOOKUP(B201,Dane!$A:$F,2,FALSE)</f>
        <v>9</v>
      </c>
    </row>
    <row r="202" spans="1:3" x14ac:dyDescent="0.3">
      <c r="A202" s="34">
        <v>193</v>
      </c>
      <c r="B202" s="34">
        <v>261</v>
      </c>
      <c r="C202" s="34">
        <f>VLOOKUP(B202,Dane!$A:$F,2,FALSE)</f>
        <v>12</v>
      </c>
    </row>
    <row r="203" spans="1:3" x14ac:dyDescent="0.3">
      <c r="A203" s="34">
        <v>194</v>
      </c>
      <c r="B203" s="34">
        <v>993</v>
      </c>
      <c r="C203" s="34">
        <f>VLOOKUP(B203,Dane!$A:$F,2,FALSE)</f>
        <v>18</v>
      </c>
    </row>
    <row r="204" spans="1:3" x14ac:dyDescent="0.3">
      <c r="A204" s="34">
        <v>195</v>
      </c>
      <c r="B204" s="34">
        <v>931</v>
      </c>
      <c r="C204" s="34">
        <f>VLOOKUP(B204,Dane!$A:$F,2,FALSE)</f>
        <v>24</v>
      </c>
    </row>
    <row r="205" spans="1:3" x14ac:dyDescent="0.3">
      <c r="A205" s="34">
        <v>196</v>
      </c>
      <c r="B205" s="34">
        <v>80</v>
      </c>
      <c r="C205" s="34">
        <f>VLOOKUP(B205,Dane!$A:$F,2,FALSE)</f>
        <v>30</v>
      </c>
    </row>
    <row r="206" spans="1:3" x14ac:dyDescent="0.3">
      <c r="A206" s="34">
        <v>197</v>
      </c>
      <c r="B206" s="34">
        <v>966</v>
      </c>
      <c r="C206" s="34">
        <f>VLOOKUP(B206,Dane!$A:$F,2,FALSE)</f>
        <v>30</v>
      </c>
    </row>
    <row r="207" spans="1:3" x14ac:dyDescent="0.3">
      <c r="A207" s="34">
        <v>198</v>
      </c>
      <c r="B207" s="34">
        <v>158</v>
      </c>
      <c r="C207" s="34">
        <f>VLOOKUP(B207,Dane!$A:$F,2,FALSE)</f>
        <v>12</v>
      </c>
    </row>
    <row r="208" spans="1:3" x14ac:dyDescent="0.3">
      <c r="A208" s="34">
        <v>199</v>
      </c>
      <c r="B208" s="34">
        <v>271</v>
      </c>
      <c r="C208" s="34">
        <f>VLOOKUP(B208,Dane!$A:$F,2,FALSE)</f>
        <v>18</v>
      </c>
    </row>
    <row r="209" spans="1:3" x14ac:dyDescent="0.3">
      <c r="A209" s="35">
        <v>200</v>
      </c>
      <c r="B209" s="35">
        <v>754</v>
      </c>
      <c r="C209" s="35">
        <f>VLOOKUP(B209,Dane!$A:$F,2,FALSE)</f>
        <v>30</v>
      </c>
    </row>
  </sheetData>
  <mergeCells count="2">
    <mergeCell ref="B3:M5"/>
    <mergeCell ref="B2:M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97CF-1F7A-4535-B6FA-11AD45DF6631}">
  <dimension ref="A1:G1001"/>
  <sheetViews>
    <sheetView zoomScaleNormal="100" workbookViewId="0">
      <selection activeCell="J34" sqref="J34"/>
    </sheetView>
  </sheetViews>
  <sheetFormatPr defaultRowHeight="14.4" x14ac:dyDescent="0.3"/>
  <cols>
    <col min="3" max="3" width="15.33203125" customWidth="1"/>
    <col min="4" max="4" width="16.6640625" customWidth="1"/>
    <col min="5" max="5" width="12.5546875" customWidth="1"/>
    <col min="6" max="6" width="9.109375" style="75"/>
    <col min="7" max="7" width="13" customWidth="1"/>
  </cols>
  <sheetData>
    <row r="1" spans="1:7" x14ac:dyDescent="0.3">
      <c r="A1" s="37" t="s">
        <v>13</v>
      </c>
      <c r="B1" s="37" t="s">
        <v>12</v>
      </c>
      <c r="C1" s="37" t="s">
        <v>63</v>
      </c>
      <c r="D1" s="37" t="s">
        <v>126</v>
      </c>
      <c r="E1" s="37" t="s">
        <v>0</v>
      </c>
      <c r="F1" s="37" t="s">
        <v>42</v>
      </c>
      <c r="G1" s="37" t="s">
        <v>26</v>
      </c>
    </row>
    <row r="2" spans="1:7" x14ac:dyDescent="0.3">
      <c r="A2" s="38">
        <v>1</v>
      </c>
      <c r="B2" s="38">
        <v>608</v>
      </c>
      <c r="C2" s="38">
        <v>36</v>
      </c>
      <c r="D2" s="38">
        <v>2671</v>
      </c>
      <c r="E2" s="38">
        <v>50</v>
      </c>
      <c r="F2" s="34" t="s">
        <v>57</v>
      </c>
      <c r="G2" s="38">
        <v>3.5858300842096513E-3</v>
      </c>
    </row>
    <row r="3" spans="1:7" x14ac:dyDescent="0.3">
      <c r="A3" s="34">
        <v>2</v>
      </c>
      <c r="B3" s="34">
        <v>388</v>
      </c>
      <c r="C3" s="34">
        <v>18</v>
      </c>
      <c r="D3" s="34">
        <v>7374</v>
      </c>
      <c r="E3" s="34">
        <v>40</v>
      </c>
      <c r="F3" s="34" t="s">
        <v>54</v>
      </c>
      <c r="G3" s="34">
        <v>3.5985316423251534E-3</v>
      </c>
    </row>
    <row r="4" spans="1:7" x14ac:dyDescent="0.3">
      <c r="A4" s="34">
        <v>3</v>
      </c>
      <c r="B4" s="34">
        <v>385</v>
      </c>
      <c r="C4" s="34">
        <v>30</v>
      </c>
      <c r="D4" s="34">
        <v>4272</v>
      </c>
      <c r="E4" s="34">
        <v>26</v>
      </c>
      <c r="F4" s="34" t="s">
        <v>54</v>
      </c>
      <c r="G4" s="34">
        <v>3.832724718904168E-3</v>
      </c>
    </row>
    <row r="5" spans="1:7" x14ac:dyDescent="0.3">
      <c r="A5" s="34">
        <v>4</v>
      </c>
      <c r="B5" s="34">
        <v>453</v>
      </c>
      <c r="C5" s="34">
        <v>12</v>
      </c>
      <c r="D5" s="34">
        <v>2759</v>
      </c>
      <c r="E5" s="34">
        <v>34</v>
      </c>
      <c r="F5" s="34" t="s">
        <v>54</v>
      </c>
      <c r="G5" s="34">
        <v>5.836331197279887E-3</v>
      </c>
    </row>
    <row r="6" spans="1:7" x14ac:dyDescent="0.3">
      <c r="A6" s="34">
        <v>5</v>
      </c>
      <c r="B6" s="34">
        <v>169</v>
      </c>
      <c r="C6" s="34">
        <v>24</v>
      </c>
      <c r="D6" s="34">
        <v>3972</v>
      </c>
      <c r="E6" s="34">
        <v>25</v>
      </c>
      <c r="F6" s="34" t="s">
        <v>56</v>
      </c>
      <c r="G6" s="34">
        <v>7.0139726657433288E-3</v>
      </c>
    </row>
    <row r="7" spans="1:7" x14ac:dyDescent="0.3">
      <c r="A7" s="34">
        <v>6</v>
      </c>
      <c r="B7" s="34">
        <v>811</v>
      </c>
      <c r="C7" s="34">
        <v>8</v>
      </c>
      <c r="D7" s="34">
        <v>907</v>
      </c>
      <c r="E7" s="34">
        <v>26</v>
      </c>
      <c r="F7" s="34" t="s">
        <v>54</v>
      </c>
      <c r="G7" s="34">
        <v>9.0634301499046277E-3</v>
      </c>
    </row>
    <row r="8" spans="1:7" x14ac:dyDescent="0.3">
      <c r="A8" s="34">
        <v>7</v>
      </c>
      <c r="B8" s="34">
        <v>564</v>
      </c>
      <c r="C8" s="34">
        <v>36</v>
      </c>
      <c r="D8" s="34">
        <v>12389</v>
      </c>
      <c r="E8" s="34">
        <v>37</v>
      </c>
      <c r="F8" s="34" t="s">
        <v>55</v>
      </c>
      <c r="G8" s="34">
        <v>9.7905631152812589E-3</v>
      </c>
    </row>
    <row r="9" spans="1:7" x14ac:dyDescent="0.3">
      <c r="A9" s="34">
        <v>8</v>
      </c>
      <c r="B9" s="34">
        <v>802</v>
      </c>
      <c r="C9" s="34">
        <v>18</v>
      </c>
      <c r="D9" s="34">
        <v>1795</v>
      </c>
      <c r="E9" s="34">
        <v>48</v>
      </c>
      <c r="F9" s="34" t="s">
        <v>56</v>
      </c>
      <c r="G9" s="34">
        <v>9.9935306393147405E-3</v>
      </c>
    </row>
    <row r="10" spans="1:7" x14ac:dyDescent="0.3">
      <c r="A10" s="34">
        <v>9</v>
      </c>
      <c r="B10" s="34">
        <v>136</v>
      </c>
      <c r="C10" s="34">
        <v>12</v>
      </c>
      <c r="D10" s="34">
        <v>1240</v>
      </c>
      <c r="E10" s="34">
        <v>38</v>
      </c>
      <c r="F10" s="34" t="s">
        <v>56</v>
      </c>
      <c r="G10" s="34">
        <v>1.0088823410967507E-2</v>
      </c>
    </row>
    <row r="11" spans="1:7" x14ac:dyDescent="0.3">
      <c r="A11" s="34">
        <v>10</v>
      </c>
      <c r="B11" s="34">
        <v>597</v>
      </c>
      <c r="C11" s="34">
        <v>24</v>
      </c>
      <c r="D11" s="34">
        <v>1442</v>
      </c>
      <c r="E11" s="34">
        <v>23</v>
      </c>
      <c r="F11" s="34" t="s">
        <v>57</v>
      </c>
      <c r="G11" s="34">
        <v>1.0774678430711004E-2</v>
      </c>
    </row>
    <row r="12" spans="1:7" x14ac:dyDescent="0.3">
      <c r="A12" s="34">
        <v>11</v>
      </c>
      <c r="B12" s="34">
        <v>256</v>
      </c>
      <c r="C12" s="34">
        <v>60</v>
      </c>
      <c r="D12" s="34">
        <v>7418</v>
      </c>
      <c r="E12" s="34">
        <v>27</v>
      </c>
      <c r="F12" s="34" t="s">
        <v>54</v>
      </c>
      <c r="G12" s="34">
        <v>1.0780851779811806E-2</v>
      </c>
    </row>
    <row r="13" spans="1:7" x14ac:dyDescent="0.3">
      <c r="A13" s="34">
        <v>12</v>
      </c>
      <c r="B13" s="34">
        <v>255</v>
      </c>
      <c r="C13" s="34">
        <v>9</v>
      </c>
      <c r="D13" s="34">
        <v>2030</v>
      </c>
      <c r="E13" s="34">
        <v>24</v>
      </c>
      <c r="F13" s="34" t="s">
        <v>54</v>
      </c>
      <c r="G13" s="34">
        <v>1.1428857555804028E-2</v>
      </c>
    </row>
    <row r="14" spans="1:7" x14ac:dyDescent="0.3">
      <c r="A14" s="34">
        <v>13</v>
      </c>
      <c r="B14" s="34">
        <v>421</v>
      </c>
      <c r="C14" s="34">
        <v>15</v>
      </c>
      <c r="D14" s="34">
        <v>3186</v>
      </c>
      <c r="E14" s="34">
        <v>20</v>
      </c>
      <c r="F14" s="34" t="s">
        <v>56</v>
      </c>
      <c r="G14" s="34">
        <v>1.2295428171933631E-2</v>
      </c>
    </row>
    <row r="15" spans="1:7" x14ac:dyDescent="0.3">
      <c r="A15" s="34">
        <v>14</v>
      </c>
      <c r="B15" s="34">
        <v>573</v>
      </c>
      <c r="C15" s="34">
        <v>24</v>
      </c>
      <c r="D15" s="34">
        <v>5433</v>
      </c>
      <c r="E15" s="34">
        <v>26</v>
      </c>
      <c r="F15" s="34" t="s">
        <v>56</v>
      </c>
      <c r="G15" s="34">
        <v>1.3532357131278316E-2</v>
      </c>
    </row>
    <row r="16" spans="1:7" x14ac:dyDescent="0.3">
      <c r="A16" s="34">
        <v>15</v>
      </c>
      <c r="B16" s="34">
        <v>294</v>
      </c>
      <c r="C16" s="34">
        <v>42</v>
      </c>
      <c r="D16" s="34">
        <v>4796</v>
      </c>
      <c r="E16" s="34">
        <v>56</v>
      </c>
      <c r="F16" s="34" t="s">
        <v>54</v>
      </c>
      <c r="G16" s="34">
        <v>1.4318517662603059E-2</v>
      </c>
    </row>
    <row r="17" spans="1:7" x14ac:dyDescent="0.3">
      <c r="A17" s="34">
        <v>16</v>
      </c>
      <c r="B17" s="34">
        <v>17</v>
      </c>
      <c r="C17" s="34">
        <v>24</v>
      </c>
      <c r="D17" s="34">
        <v>2424</v>
      </c>
      <c r="E17" s="34">
        <v>53</v>
      </c>
      <c r="F17" s="34" t="s">
        <v>54</v>
      </c>
      <c r="G17" s="34">
        <v>1.4530962206073417E-2</v>
      </c>
    </row>
    <row r="18" spans="1:7" x14ac:dyDescent="0.3">
      <c r="A18" s="34">
        <v>17</v>
      </c>
      <c r="B18" s="34">
        <v>899</v>
      </c>
      <c r="C18" s="34">
        <v>15</v>
      </c>
      <c r="D18" s="34">
        <v>2186</v>
      </c>
      <c r="E18" s="34">
        <v>33</v>
      </c>
      <c r="F18" s="34" t="s">
        <v>56</v>
      </c>
      <c r="G18" s="34">
        <v>1.6308210116722233E-2</v>
      </c>
    </row>
    <row r="19" spans="1:7" x14ac:dyDescent="0.3">
      <c r="A19" s="34">
        <v>18</v>
      </c>
      <c r="B19" s="34">
        <v>232</v>
      </c>
      <c r="C19" s="34">
        <v>9</v>
      </c>
      <c r="D19" s="34">
        <v>2507</v>
      </c>
      <c r="E19" s="34">
        <v>51</v>
      </c>
      <c r="F19" s="34" t="s">
        <v>54</v>
      </c>
      <c r="G19" s="34">
        <v>1.8305980416462253E-2</v>
      </c>
    </row>
    <row r="20" spans="1:7" x14ac:dyDescent="0.3">
      <c r="A20" s="34">
        <v>19</v>
      </c>
      <c r="B20" s="34">
        <v>948</v>
      </c>
      <c r="C20" s="34">
        <v>12</v>
      </c>
      <c r="D20" s="34">
        <v>2859</v>
      </c>
      <c r="E20" s="34">
        <v>38</v>
      </c>
      <c r="F20" s="34" t="s">
        <v>54</v>
      </c>
      <c r="G20" s="34">
        <v>2.0273634629438098E-2</v>
      </c>
    </row>
    <row r="21" spans="1:7" x14ac:dyDescent="0.3">
      <c r="A21" s="34">
        <v>20</v>
      </c>
      <c r="B21" s="34">
        <v>744</v>
      </c>
      <c r="C21" s="34">
        <v>24</v>
      </c>
      <c r="D21" s="34">
        <v>2483</v>
      </c>
      <c r="E21" s="34">
        <v>22</v>
      </c>
      <c r="F21" s="34" t="s">
        <v>54</v>
      </c>
      <c r="G21" s="34">
        <v>2.0381164799532558E-2</v>
      </c>
    </row>
    <row r="22" spans="1:7" x14ac:dyDescent="0.3">
      <c r="A22" s="34">
        <v>21</v>
      </c>
      <c r="B22" s="34">
        <v>671</v>
      </c>
      <c r="C22" s="34">
        <v>24</v>
      </c>
      <c r="D22" s="34">
        <v>4139</v>
      </c>
      <c r="E22" s="34">
        <v>27</v>
      </c>
      <c r="F22" s="34" t="s">
        <v>54</v>
      </c>
      <c r="G22" s="34">
        <v>2.253608328451262E-2</v>
      </c>
    </row>
    <row r="23" spans="1:7" x14ac:dyDescent="0.3">
      <c r="A23" s="34">
        <v>22</v>
      </c>
      <c r="B23" s="34">
        <v>204</v>
      </c>
      <c r="C23" s="34">
        <v>12</v>
      </c>
      <c r="D23" s="34">
        <v>902</v>
      </c>
      <c r="E23" s="34">
        <v>21</v>
      </c>
      <c r="F23" s="34" t="s">
        <v>55</v>
      </c>
      <c r="G23" s="34">
        <v>2.3384559216499068E-2</v>
      </c>
    </row>
    <row r="24" spans="1:7" x14ac:dyDescent="0.3">
      <c r="A24" s="34">
        <v>23</v>
      </c>
      <c r="B24" s="34">
        <v>718</v>
      </c>
      <c r="C24" s="34">
        <v>18</v>
      </c>
      <c r="D24" s="34">
        <v>1505</v>
      </c>
      <c r="E24" s="34">
        <v>32</v>
      </c>
      <c r="F24" s="34" t="s">
        <v>54</v>
      </c>
      <c r="G24" s="34">
        <v>2.4732790521710846E-2</v>
      </c>
    </row>
    <row r="25" spans="1:7" x14ac:dyDescent="0.3">
      <c r="A25" s="34">
        <v>24</v>
      </c>
      <c r="B25" s="34">
        <v>472</v>
      </c>
      <c r="C25" s="34">
        <v>6</v>
      </c>
      <c r="D25" s="34">
        <v>448</v>
      </c>
      <c r="E25" s="34">
        <v>23</v>
      </c>
      <c r="F25" s="34" t="s">
        <v>57</v>
      </c>
      <c r="G25" s="34">
        <v>2.5952695858391994E-2</v>
      </c>
    </row>
    <row r="26" spans="1:7" x14ac:dyDescent="0.3">
      <c r="A26" s="34">
        <v>25</v>
      </c>
      <c r="B26" s="34">
        <v>940</v>
      </c>
      <c r="C26" s="34">
        <v>24</v>
      </c>
      <c r="D26" s="34">
        <v>6842</v>
      </c>
      <c r="E26" s="34">
        <v>46</v>
      </c>
      <c r="F26" s="34" t="s">
        <v>54</v>
      </c>
      <c r="G26" s="34">
        <v>2.8563274933008698E-2</v>
      </c>
    </row>
    <row r="27" spans="1:7" x14ac:dyDescent="0.3">
      <c r="A27" s="34">
        <v>26</v>
      </c>
      <c r="B27" s="34">
        <v>577</v>
      </c>
      <c r="C27" s="34">
        <v>12</v>
      </c>
      <c r="D27" s="34">
        <v>2930</v>
      </c>
      <c r="E27" s="34">
        <v>27</v>
      </c>
      <c r="F27" s="34" t="s">
        <v>56</v>
      </c>
      <c r="G27" s="34">
        <v>2.9967259729481444E-2</v>
      </c>
    </row>
    <row r="28" spans="1:7" x14ac:dyDescent="0.3">
      <c r="A28" s="34">
        <v>27</v>
      </c>
      <c r="B28" s="34">
        <v>786</v>
      </c>
      <c r="C28" s="34">
        <v>18</v>
      </c>
      <c r="D28" s="34">
        <v>1941</v>
      </c>
      <c r="E28" s="34">
        <v>35</v>
      </c>
      <c r="F28" s="34" t="s">
        <v>54</v>
      </c>
      <c r="G28" s="34">
        <v>3.1161762020200379E-2</v>
      </c>
    </row>
    <row r="29" spans="1:7" x14ac:dyDescent="0.3">
      <c r="A29" s="34">
        <v>28</v>
      </c>
      <c r="B29" s="34">
        <v>274</v>
      </c>
      <c r="C29" s="34">
        <v>48</v>
      </c>
      <c r="D29" s="34">
        <v>3060</v>
      </c>
      <c r="E29" s="34">
        <v>28</v>
      </c>
      <c r="F29" s="34" t="s">
        <v>55</v>
      </c>
      <c r="G29" s="34">
        <v>3.1435210951159531E-2</v>
      </c>
    </row>
    <row r="30" spans="1:7" x14ac:dyDescent="0.3">
      <c r="A30" s="34">
        <v>29</v>
      </c>
      <c r="B30" s="34">
        <v>703</v>
      </c>
      <c r="C30" s="34">
        <v>24</v>
      </c>
      <c r="D30" s="34">
        <v>1377</v>
      </c>
      <c r="E30" s="34">
        <v>47</v>
      </c>
      <c r="F30" s="34" t="s">
        <v>56</v>
      </c>
      <c r="G30" s="34">
        <v>3.1472221237430098E-2</v>
      </c>
    </row>
    <row r="31" spans="1:7" x14ac:dyDescent="0.3">
      <c r="A31" s="34">
        <v>30</v>
      </c>
      <c r="B31" s="34">
        <v>340</v>
      </c>
      <c r="C31" s="34">
        <v>10</v>
      </c>
      <c r="D31" s="34">
        <v>1521</v>
      </c>
      <c r="E31" s="34">
        <v>31</v>
      </c>
      <c r="F31" s="34" t="s">
        <v>54</v>
      </c>
      <c r="G31" s="34">
        <v>3.4117172533239759E-2</v>
      </c>
    </row>
    <row r="32" spans="1:7" x14ac:dyDescent="0.3">
      <c r="A32" s="34">
        <v>31</v>
      </c>
      <c r="B32" s="34">
        <v>322</v>
      </c>
      <c r="C32" s="34">
        <v>24</v>
      </c>
      <c r="D32" s="34">
        <v>1938</v>
      </c>
      <c r="E32" s="34">
        <v>32</v>
      </c>
      <c r="F32" s="34" t="s">
        <v>55</v>
      </c>
      <c r="G32" s="34">
        <v>3.5004204944710793E-2</v>
      </c>
    </row>
    <row r="33" spans="1:7" x14ac:dyDescent="0.3">
      <c r="A33" s="34">
        <v>32</v>
      </c>
      <c r="B33" s="34">
        <v>960</v>
      </c>
      <c r="C33" s="34">
        <v>24</v>
      </c>
      <c r="D33" s="34">
        <v>3069</v>
      </c>
      <c r="E33" s="34">
        <v>30</v>
      </c>
      <c r="F33" s="34" t="s">
        <v>54</v>
      </c>
      <c r="G33" s="34">
        <v>3.7427594065115533E-2</v>
      </c>
    </row>
    <row r="34" spans="1:7" x14ac:dyDescent="0.3">
      <c r="A34" s="34">
        <v>33</v>
      </c>
      <c r="B34" s="34">
        <v>176</v>
      </c>
      <c r="C34" s="34">
        <v>30</v>
      </c>
      <c r="D34" s="34">
        <v>7485</v>
      </c>
      <c r="E34" s="34">
        <v>53</v>
      </c>
      <c r="F34" s="34" t="s">
        <v>57</v>
      </c>
      <c r="G34" s="34">
        <v>4.165244065635143E-2</v>
      </c>
    </row>
    <row r="35" spans="1:7" x14ac:dyDescent="0.3">
      <c r="A35" s="34">
        <v>34</v>
      </c>
      <c r="B35" s="34">
        <v>360</v>
      </c>
      <c r="C35" s="34">
        <v>30</v>
      </c>
      <c r="D35" s="34">
        <v>2406</v>
      </c>
      <c r="E35" s="34">
        <v>23</v>
      </c>
      <c r="F35" s="34" t="s">
        <v>57</v>
      </c>
      <c r="G35" s="34">
        <v>4.3550030888752089E-2</v>
      </c>
    </row>
    <row r="36" spans="1:7" x14ac:dyDescent="0.3">
      <c r="A36" s="34">
        <v>35</v>
      </c>
      <c r="B36" s="34">
        <v>944</v>
      </c>
      <c r="C36" s="34">
        <v>4</v>
      </c>
      <c r="D36" s="34">
        <v>1455</v>
      </c>
      <c r="E36" s="34">
        <v>42</v>
      </c>
      <c r="F36" s="34" t="s">
        <v>54</v>
      </c>
      <c r="G36" s="34">
        <v>4.444992682429949E-2</v>
      </c>
    </row>
    <row r="37" spans="1:7" x14ac:dyDescent="0.3">
      <c r="A37" s="34">
        <v>36</v>
      </c>
      <c r="B37" s="34">
        <v>743</v>
      </c>
      <c r="C37" s="34">
        <v>21</v>
      </c>
      <c r="D37" s="34">
        <v>3160</v>
      </c>
      <c r="E37" s="34">
        <v>41</v>
      </c>
      <c r="F37" s="34" t="s">
        <v>54</v>
      </c>
      <c r="G37" s="34">
        <v>4.6081803070696203E-2</v>
      </c>
    </row>
    <row r="38" spans="1:7" x14ac:dyDescent="0.3">
      <c r="A38" s="34">
        <v>37</v>
      </c>
      <c r="B38" s="34">
        <v>412</v>
      </c>
      <c r="C38" s="34">
        <v>33</v>
      </c>
      <c r="D38" s="34">
        <v>7253</v>
      </c>
      <c r="E38" s="34">
        <v>35</v>
      </c>
      <c r="F38" s="34" t="s">
        <v>54</v>
      </c>
      <c r="G38" s="34">
        <v>4.6261918715655215E-2</v>
      </c>
    </row>
    <row r="39" spans="1:7" x14ac:dyDescent="0.3">
      <c r="A39" s="34">
        <v>38</v>
      </c>
      <c r="B39" s="34">
        <v>224</v>
      </c>
      <c r="C39" s="34">
        <v>24</v>
      </c>
      <c r="D39" s="34">
        <v>2978</v>
      </c>
      <c r="E39" s="34">
        <v>32</v>
      </c>
      <c r="F39" s="34" t="s">
        <v>54</v>
      </c>
      <c r="G39" s="34">
        <v>4.8202992574766124E-2</v>
      </c>
    </row>
    <row r="40" spans="1:7" x14ac:dyDescent="0.3">
      <c r="A40" s="34">
        <v>39</v>
      </c>
      <c r="B40" s="34">
        <v>803</v>
      </c>
      <c r="C40" s="34">
        <v>20</v>
      </c>
      <c r="D40" s="34">
        <v>4272</v>
      </c>
      <c r="E40" s="34">
        <v>24</v>
      </c>
      <c r="F40" s="34" t="s">
        <v>56</v>
      </c>
      <c r="G40" s="34">
        <v>4.8544675698483641E-2</v>
      </c>
    </row>
    <row r="41" spans="1:7" x14ac:dyDescent="0.3">
      <c r="A41" s="34">
        <v>40</v>
      </c>
      <c r="B41" s="34">
        <v>962</v>
      </c>
      <c r="C41" s="34">
        <v>21</v>
      </c>
      <c r="D41" s="34">
        <v>2353</v>
      </c>
      <c r="E41" s="34">
        <v>47</v>
      </c>
      <c r="F41" s="34" t="s">
        <v>54</v>
      </c>
      <c r="G41" s="34">
        <v>5.0034255145480877E-2</v>
      </c>
    </row>
    <row r="42" spans="1:7" x14ac:dyDescent="0.3">
      <c r="A42" s="34">
        <v>41</v>
      </c>
      <c r="B42" s="34">
        <v>654</v>
      </c>
      <c r="C42" s="34">
        <v>36</v>
      </c>
      <c r="D42" s="34">
        <v>8086</v>
      </c>
      <c r="E42" s="34">
        <v>42</v>
      </c>
      <c r="F42" s="34" t="s">
        <v>55</v>
      </c>
      <c r="G42" s="34">
        <v>5.3657912602229518E-2</v>
      </c>
    </row>
    <row r="43" spans="1:7" x14ac:dyDescent="0.3">
      <c r="A43" s="34">
        <v>42</v>
      </c>
      <c r="B43" s="34">
        <v>559</v>
      </c>
      <c r="C43" s="34">
        <v>24</v>
      </c>
      <c r="D43" s="34">
        <v>3552</v>
      </c>
      <c r="E43" s="34">
        <v>27</v>
      </c>
      <c r="F43" s="34" t="s">
        <v>55</v>
      </c>
      <c r="G43" s="34">
        <v>5.409044857130374E-2</v>
      </c>
    </row>
    <row r="44" spans="1:7" x14ac:dyDescent="0.3">
      <c r="A44" s="34">
        <v>43</v>
      </c>
      <c r="B44" s="34">
        <v>747</v>
      </c>
      <c r="C44" s="34">
        <v>15</v>
      </c>
      <c r="D44" s="34">
        <v>2511</v>
      </c>
      <c r="E44" s="34">
        <v>23</v>
      </c>
      <c r="F44" s="34" t="s">
        <v>56</v>
      </c>
      <c r="G44" s="34">
        <v>5.4695438478967739E-2</v>
      </c>
    </row>
    <row r="45" spans="1:7" x14ac:dyDescent="0.3">
      <c r="A45" s="34">
        <v>44</v>
      </c>
      <c r="B45" s="34">
        <v>789</v>
      </c>
      <c r="C45" s="34">
        <v>48</v>
      </c>
      <c r="D45" s="34">
        <v>6224</v>
      </c>
      <c r="E45" s="34">
        <v>50</v>
      </c>
      <c r="F45" s="34" t="s">
        <v>55</v>
      </c>
      <c r="G45" s="34">
        <v>5.5761385039655997E-2</v>
      </c>
    </row>
    <row r="46" spans="1:7" x14ac:dyDescent="0.3">
      <c r="A46" s="34">
        <v>45</v>
      </c>
      <c r="B46" s="34">
        <v>793</v>
      </c>
      <c r="C46" s="34">
        <v>6</v>
      </c>
      <c r="D46" s="34">
        <v>1221</v>
      </c>
      <c r="E46" s="34">
        <v>27</v>
      </c>
      <c r="F46" s="34" t="s">
        <v>54</v>
      </c>
      <c r="G46" s="34">
        <v>5.6366788585405558E-2</v>
      </c>
    </row>
    <row r="47" spans="1:7" x14ac:dyDescent="0.3">
      <c r="A47" s="34">
        <v>46</v>
      </c>
      <c r="B47" s="34">
        <v>846</v>
      </c>
      <c r="C47" s="34">
        <v>21</v>
      </c>
      <c r="D47" s="34">
        <v>3976</v>
      </c>
      <c r="E47" s="34">
        <v>35</v>
      </c>
      <c r="F47" s="34" t="s">
        <v>54</v>
      </c>
      <c r="G47" s="34">
        <v>5.7558175376475118E-2</v>
      </c>
    </row>
    <row r="48" spans="1:7" x14ac:dyDescent="0.3">
      <c r="A48" s="34">
        <v>47</v>
      </c>
      <c r="B48" s="34">
        <v>749</v>
      </c>
      <c r="C48" s="34">
        <v>21</v>
      </c>
      <c r="D48" s="34">
        <v>5248</v>
      </c>
      <c r="E48" s="34">
        <v>26</v>
      </c>
      <c r="F48" s="34" t="s">
        <v>54</v>
      </c>
      <c r="G48" s="34">
        <v>5.8667691366267483E-2</v>
      </c>
    </row>
    <row r="49" spans="1:7" x14ac:dyDescent="0.3">
      <c r="A49" s="34">
        <v>48</v>
      </c>
      <c r="B49" s="34">
        <v>315</v>
      </c>
      <c r="C49" s="34">
        <v>4</v>
      </c>
      <c r="D49" s="34">
        <v>1494</v>
      </c>
      <c r="E49" s="34">
        <v>29</v>
      </c>
      <c r="F49" s="34" t="s">
        <v>54</v>
      </c>
      <c r="G49" s="34">
        <v>5.8844637421808788E-2</v>
      </c>
    </row>
    <row r="50" spans="1:7" x14ac:dyDescent="0.3">
      <c r="A50" s="34">
        <v>49</v>
      </c>
      <c r="B50" s="34">
        <v>650</v>
      </c>
      <c r="C50" s="34">
        <v>12</v>
      </c>
      <c r="D50" s="34">
        <v>684</v>
      </c>
      <c r="E50" s="34">
        <v>40</v>
      </c>
      <c r="F50" s="34" t="s">
        <v>55</v>
      </c>
      <c r="G50" s="34">
        <v>5.8943064533900524E-2</v>
      </c>
    </row>
    <row r="51" spans="1:7" x14ac:dyDescent="0.3">
      <c r="A51" s="34">
        <v>50</v>
      </c>
      <c r="B51" s="34">
        <v>371</v>
      </c>
      <c r="C51" s="34">
        <v>36</v>
      </c>
      <c r="D51" s="34">
        <v>3079</v>
      </c>
      <c r="E51" s="34">
        <v>36</v>
      </c>
      <c r="F51" s="34" t="s">
        <v>54</v>
      </c>
      <c r="G51" s="34">
        <v>5.9338750465657397E-2</v>
      </c>
    </row>
    <row r="52" spans="1:7" x14ac:dyDescent="0.3">
      <c r="A52" s="34">
        <v>51</v>
      </c>
      <c r="B52" s="34">
        <v>277</v>
      </c>
      <c r="C52" s="34">
        <v>18</v>
      </c>
      <c r="D52" s="34">
        <v>2404</v>
      </c>
      <c r="E52" s="34">
        <v>26</v>
      </c>
      <c r="F52" s="34" t="s">
        <v>56</v>
      </c>
      <c r="G52" s="34">
        <v>6.0009862307836781E-2</v>
      </c>
    </row>
    <row r="53" spans="1:7" x14ac:dyDescent="0.3">
      <c r="A53" s="34">
        <v>52</v>
      </c>
      <c r="B53" s="34">
        <v>275</v>
      </c>
      <c r="C53" s="34">
        <v>30</v>
      </c>
      <c r="D53" s="34">
        <v>11998</v>
      </c>
      <c r="E53" s="34">
        <v>34</v>
      </c>
      <c r="F53" s="34" t="s">
        <v>55</v>
      </c>
      <c r="G53" s="34">
        <v>6.0175866174003168E-2</v>
      </c>
    </row>
    <row r="54" spans="1:7" x14ac:dyDescent="0.3">
      <c r="A54" s="34">
        <v>53</v>
      </c>
      <c r="B54" s="34">
        <v>898</v>
      </c>
      <c r="C54" s="34">
        <v>12</v>
      </c>
      <c r="D54" s="34">
        <v>1592</v>
      </c>
      <c r="E54" s="34">
        <v>35</v>
      </c>
      <c r="F54" s="34" t="s">
        <v>56</v>
      </c>
      <c r="G54" s="34">
        <v>6.0515900015077673E-2</v>
      </c>
    </row>
    <row r="55" spans="1:7" x14ac:dyDescent="0.3">
      <c r="A55" s="34">
        <v>54</v>
      </c>
      <c r="B55" s="34">
        <v>934</v>
      </c>
      <c r="C55" s="34">
        <v>12</v>
      </c>
      <c r="D55" s="34">
        <v>522</v>
      </c>
      <c r="E55" s="34">
        <v>42</v>
      </c>
      <c r="F55" s="34" t="s">
        <v>54</v>
      </c>
      <c r="G55" s="34">
        <v>6.0678576663444672E-2</v>
      </c>
    </row>
    <row r="56" spans="1:7" x14ac:dyDescent="0.3">
      <c r="A56" s="34">
        <v>55</v>
      </c>
      <c r="B56" s="34">
        <v>762</v>
      </c>
      <c r="C56" s="34">
        <v>18</v>
      </c>
      <c r="D56" s="34">
        <v>2124</v>
      </c>
      <c r="E56" s="34">
        <v>24</v>
      </c>
      <c r="F56" s="34" t="s">
        <v>57</v>
      </c>
      <c r="G56" s="34">
        <v>6.0773678002462583E-2</v>
      </c>
    </row>
    <row r="57" spans="1:7" x14ac:dyDescent="0.3">
      <c r="A57" s="34">
        <v>56</v>
      </c>
      <c r="B57" s="34">
        <v>278</v>
      </c>
      <c r="C57" s="34">
        <v>12</v>
      </c>
      <c r="D57" s="34">
        <v>1262</v>
      </c>
      <c r="E57" s="34">
        <v>49</v>
      </c>
      <c r="F57" s="34" t="s">
        <v>54</v>
      </c>
      <c r="G57" s="34">
        <v>6.2136001460980528E-2</v>
      </c>
    </row>
    <row r="58" spans="1:7" x14ac:dyDescent="0.3">
      <c r="A58" s="34">
        <v>57</v>
      </c>
      <c r="B58" s="34">
        <v>27</v>
      </c>
      <c r="C58" s="34">
        <v>6</v>
      </c>
      <c r="D58" s="34">
        <v>426</v>
      </c>
      <c r="E58" s="34">
        <v>39</v>
      </c>
      <c r="F58" s="34" t="s">
        <v>54</v>
      </c>
      <c r="G58" s="34">
        <v>6.2460566957396768E-2</v>
      </c>
    </row>
    <row r="59" spans="1:7" x14ac:dyDescent="0.3">
      <c r="A59" s="34">
        <v>58</v>
      </c>
      <c r="B59" s="34">
        <v>327</v>
      </c>
      <c r="C59" s="34">
        <v>12</v>
      </c>
      <c r="D59" s="34">
        <v>5801</v>
      </c>
      <c r="E59" s="34">
        <v>49</v>
      </c>
      <c r="F59" s="34" t="s">
        <v>54</v>
      </c>
      <c r="G59" s="34">
        <v>6.2908328780868605E-2</v>
      </c>
    </row>
    <row r="60" spans="1:7" x14ac:dyDescent="0.3">
      <c r="A60" s="34">
        <v>59</v>
      </c>
      <c r="B60" s="34">
        <v>961</v>
      </c>
      <c r="C60" s="34">
        <v>6</v>
      </c>
      <c r="D60" s="34">
        <v>1740</v>
      </c>
      <c r="E60" s="34">
        <v>30</v>
      </c>
      <c r="F60" s="34" t="s">
        <v>54</v>
      </c>
      <c r="G60" s="34">
        <v>6.34540205948253E-2</v>
      </c>
    </row>
    <row r="61" spans="1:7" x14ac:dyDescent="0.3">
      <c r="A61" s="34">
        <v>60</v>
      </c>
      <c r="B61" s="34">
        <v>118</v>
      </c>
      <c r="C61" s="34">
        <v>10</v>
      </c>
      <c r="D61" s="34">
        <v>2132</v>
      </c>
      <c r="E61" s="34">
        <v>27</v>
      </c>
      <c r="F61" s="34" t="s">
        <v>56</v>
      </c>
      <c r="G61" s="34">
        <v>6.3770004567457295E-2</v>
      </c>
    </row>
    <row r="62" spans="1:7" x14ac:dyDescent="0.3">
      <c r="A62" s="34">
        <v>61</v>
      </c>
      <c r="B62" s="34">
        <v>402</v>
      </c>
      <c r="C62" s="34">
        <v>18</v>
      </c>
      <c r="D62" s="34">
        <v>1887</v>
      </c>
      <c r="E62" s="34">
        <v>28</v>
      </c>
      <c r="F62" s="34" t="s">
        <v>54</v>
      </c>
      <c r="G62" s="34">
        <v>6.3858870073089546E-2</v>
      </c>
    </row>
    <row r="63" spans="1:7" x14ac:dyDescent="0.3">
      <c r="A63" s="34">
        <v>62</v>
      </c>
      <c r="B63" s="34">
        <v>391</v>
      </c>
      <c r="C63" s="34">
        <v>18</v>
      </c>
      <c r="D63" s="34">
        <v>1820</v>
      </c>
      <c r="E63" s="34">
        <v>30</v>
      </c>
      <c r="F63" s="34" t="s">
        <v>54</v>
      </c>
      <c r="G63" s="34">
        <v>6.4908087306999152E-2</v>
      </c>
    </row>
    <row r="64" spans="1:7" x14ac:dyDescent="0.3">
      <c r="A64" s="34">
        <v>63</v>
      </c>
      <c r="B64" s="34">
        <v>95</v>
      </c>
      <c r="C64" s="34">
        <v>12</v>
      </c>
      <c r="D64" s="34">
        <v>1318</v>
      </c>
      <c r="E64" s="34">
        <v>54</v>
      </c>
      <c r="F64" s="34" t="s">
        <v>54</v>
      </c>
      <c r="G64" s="34">
        <v>6.6693446062777051E-2</v>
      </c>
    </row>
    <row r="65" spans="1:7" x14ac:dyDescent="0.3">
      <c r="A65" s="34">
        <v>64</v>
      </c>
      <c r="B65" s="34">
        <v>464</v>
      </c>
      <c r="C65" s="34">
        <v>12</v>
      </c>
      <c r="D65" s="34">
        <v>754</v>
      </c>
      <c r="E65" s="34">
        <v>38</v>
      </c>
      <c r="F65" s="34" t="s">
        <v>54</v>
      </c>
      <c r="G65" s="34">
        <v>6.879925098187889E-2</v>
      </c>
    </row>
    <row r="66" spans="1:7" x14ac:dyDescent="0.3">
      <c r="A66" s="34">
        <v>65</v>
      </c>
      <c r="B66" s="34">
        <v>856</v>
      </c>
      <c r="C66" s="34">
        <v>24</v>
      </c>
      <c r="D66" s="34">
        <v>1474</v>
      </c>
      <c r="E66" s="34">
        <v>33</v>
      </c>
      <c r="F66" s="34" t="s">
        <v>54</v>
      </c>
      <c r="G66" s="34">
        <v>6.973786806878679E-2</v>
      </c>
    </row>
    <row r="67" spans="1:7" x14ac:dyDescent="0.3">
      <c r="A67" s="34">
        <v>66</v>
      </c>
      <c r="B67" s="34">
        <v>343</v>
      </c>
      <c r="C67" s="34">
        <v>18</v>
      </c>
      <c r="D67" s="34">
        <v>3213</v>
      </c>
      <c r="E67" s="34">
        <v>25</v>
      </c>
      <c r="F67" s="34" t="s">
        <v>54</v>
      </c>
      <c r="G67" s="34">
        <v>7.0052601275883641E-2</v>
      </c>
    </row>
    <row r="68" spans="1:7" x14ac:dyDescent="0.3">
      <c r="A68" s="34">
        <v>67</v>
      </c>
      <c r="B68" s="34">
        <v>364</v>
      </c>
      <c r="C68" s="34">
        <v>6</v>
      </c>
      <c r="D68" s="34">
        <v>1766</v>
      </c>
      <c r="E68" s="34">
        <v>21</v>
      </c>
      <c r="F68" s="34" t="s">
        <v>54</v>
      </c>
      <c r="G68" s="34">
        <v>7.0882039440061217E-2</v>
      </c>
    </row>
    <row r="69" spans="1:7" x14ac:dyDescent="0.3">
      <c r="A69" s="34">
        <v>68</v>
      </c>
      <c r="B69" s="34">
        <v>463</v>
      </c>
      <c r="C69" s="34">
        <v>12</v>
      </c>
      <c r="D69" s="34">
        <v>3017</v>
      </c>
      <c r="E69" s="34">
        <v>34</v>
      </c>
      <c r="F69" s="34" t="s">
        <v>56</v>
      </c>
      <c r="G69" s="34">
        <v>7.089432258042172E-2</v>
      </c>
    </row>
    <row r="70" spans="1:7" x14ac:dyDescent="0.3">
      <c r="A70" s="34">
        <v>69</v>
      </c>
      <c r="B70" s="34">
        <v>790</v>
      </c>
      <c r="C70" s="34">
        <v>40</v>
      </c>
      <c r="D70" s="34">
        <v>5998</v>
      </c>
      <c r="E70" s="34">
        <v>27</v>
      </c>
      <c r="F70" s="34" t="s">
        <v>55</v>
      </c>
      <c r="G70" s="34">
        <v>7.0945562238505344E-2</v>
      </c>
    </row>
    <row r="71" spans="1:7" x14ac:dyDescent="0.3">
      <c r="A71" s="34">
        <v>70</v>
      </c>
      <c r="B71" s="34">
        <v>81</v>
      </c>
      <c r="C71" s="34">
        <v>24</v>
      </c>
      <c r="D71" s="34">
        <v>5943</v>
      </c>
      <c r="E71" s="34">
        <v>44</v>
      </c>
      <c r="F71" s="34" t="s">
        <v>57</v>
      </c>
      <c r="G71" s="34">
        <v>7.1650830423418799E-2</v>
      </c>
    </row>
    <row r="72" spans="1:7" x14ac:dyDescent="0.3">
      <c r="A72" s="34">
        <v>71</v>
      </c>
      <c r="B72" s="34">
        <v>735</v>
      </c>
      <c r="C72" s="34">
        <v>4</v>
      </c>
      <c r="D72" s="34">
        <v>3380</v>
      </c>
      <c r="E72" s="34">
        <v>37</v>
      </c>
      <c r="F72" s="34" t="s">
        <v>56</v>
      </c>
      <c r="G72" s="34">
        <v>7.2855240053243397E-2</v>
      </c>
    </row>
    <row r="73" spans="1:7" x14ac:dyDescent="0.3">
      <c r="A73" s="34">
        <v>72</v>
      </c>
      <c r="B73" s="34">
        <v>857</v>
      </c>
      <c r="C73" s="34">
        <v>10</v>
      </c>
      <c r="D73" s="34">
        <v>894</v>
      </c>
      <c r="E73" s="34">
        <v>40</v>
      </c>
      <c r="F73" s="34" t="s">
        <v>56</v>
      </c>
      <c r="G73" s="34">
        <v>7.5201292844618628E-2</v>
      </c>
    </row>
    <row r="74" spans="1:7" x14ac:dyDescent="0.3">
      <c r="A74" s="34">
        <v>73</v>
      </c>
      <c r="B74" s="34">
        <v>855</v>
      </c>
      <c r="C74" s="34">
        <v>36</v>
      </c>
      <c r="D74" s="34">
        <v>10875</v>
      </c>
      <c r="E74" s="34">
        <v>45</v>
      </c>
      <c r="F74" s="34" t="s">
        <v>54</v>
      </c>
      <c r="G74" s="34">
        <v>7.6727094282787678E-2</v>
      </c>
    </row>
    <row r="75" spans="1:7" x14ac:dyDescent="0.3">
      <c r="A75" s="34">
        <v>74</v>
      </c>
      <c r="B75" s="34">
        <v>609</v>
      </c>
      <c r="C75" s="34">
        <v>18</v>
      </c>
      <c r="D75" s="34">
        <v>2051</v>
      </c>
      <c r="E75" s="34">
        <v>33</v>
      </c>
      <c r="F75" s="34" t="s">
        <v>54</v>
      </c>
      <c r="G75" s="34">
        <v>7.7963106873133681E-2</v>
      </c>
    </row>
    <row r="76" spans="1:7" x14ac:dyDescent="0.3">
      <c r="A76" s="34">
        <v>75</v>
      </c>
      <c r="B76" s="34">
        <v>435</v>
      </c>
      <c r="C76" s="34">
        <v>9</v>
      </c>
      <c r="D76" s="34">
        <v>2136</v>
      </c>
      <c r="E76" s="34">
        <v>25</v>
      </c>
      <c r="F76" s="34" t="s">
        <v>54</v>
      </c>
      <c r="G76" s="34">
        <v>7.8727052783577944E-2</v>
      </c>
    </row>
    <row r="77" spans="1:7" x14ac:dyDescent="0.3">
      <c r="A77" s="34">
        <v>76</v>
      </c>
      <c r="B77" s="34">
        <v>742</v>
      </c>
      <c r="C77" s="34">
        <v>10</v>
      </c>
      <c r="D77" s="34">
        <v>1048</v>
      </c>
      <c r="E77" s="34">
        <v>23</v>
      </c>
      <c r="F77" s="34" t="s">
        <v>54</v>
      </c>
      <c r="G77" s="34">
        <v>7.888636583887465E-2</v>
      </c>
    </row>
    <row r="78" spans="1:7" x14ac:dyDescent="0.3">
      <c r="A78" s="34">
        <v>77</v>
      </c>
      <c r="B78" s="34">
        <v>980</v>
      </c>
      <c r="C78" s="34">
        <v>15</v>
      </c>
      <c r="D78" s="34">
        <v>1264</v>
      </c>
      <c r="E78" s="34">
        <v>25</v>
      </c>
      <c r="F78" s="34" t="s">
        <v>55</v>
      </c>
      <c r="G78" s="34">
        <v>7.8919111321996804E-2</v>
      </c>
    </row>
    <row r="79" spans="1:7" x14ac:dyDescent="0.3">
      <c r="A79" s="34">
        <v>78</v>
      </c>
      <c r="B79" s="34">
        <v>139</v>
      </c>
      <c r="C79" s="34">
        <v>15</v>
      </c>
      <c r="D79" s="34">
        <v>2728</v>
      </c>
      <c r="E79" s="34">
        <v>35</v>
      </c>
      <c r="F79" s="34" t="s">
        <v>54</v>
      </c>
      <c r="G79" s="34">
        <v>7.9149771764958521E-2</v>
      </c>
    </row>
    <row r="80" spans="1:7" x14ac:dyDescent="0.3">
      <c r="A80" s="34">
        <v>79</v>
      </c>
      <c r="B80" s="34">
        <v>2</v>
      </c>
      <c r="C80" s="34">
        <v>48</v>
      </c>
      <c r="D80" s="34">
        <v>5951</v>
      </c>
      <c r="E80" s="34">
        <v>22</v>
      </c>
      <c r="F80" s="34" t="s">
        <v>57</v>
      </c>
      <c r="G80" s="34">
        <v>7.9592169655828271E-2</v>
      </c>
    </row>
    <row r="81" spans="1:7" x14ac:dyDescent="0.3">
      <c r="A81" s="34">
        <v>80</v>
      </c>
      <c r="B81" s="34">
        <v>384</v>
      </c>
      <c r="C81" s="34">
        <v>12</v>
      </c>
      <c r="D81" s="34">
        <v>1330</v>
      </c>
      <c r="E81" s="34">
        <v>26</v>
      </c>
      <c r="F81" s="34" t="s">
        <v>54</v>
      </c>
      <c r="G81" s="34">
        <v>7.9671334092736523E-2</v>
      </c>
    </row>
    <row r="82" spans="1:7" x14ac:dyDescent="0.3">
      <c r="A82" s="34">
        <v>81</v>
      </c>
      <c r="B82" s="34">
        <v>741</v>
      </c>
      <c r="C82" s="34">
        <v>24</v>
      </c>
      <c r="D82" s="34">
        <v>2325</v>
      </c>
      <c r="E82" s="34">
        <v>32</v>
      </c>
      <c r="F82" s="34" t="s">
        <v>54</v>
      </c>
      <c r="G82" s="34">
        <v>8.0381387734396514E-2</v>
      </c>
    </row>
    <row r="83" spans="1:7" x14ac:dyDescent="0.3">
      <c r="A83" s="34">
        <v>82</v>
      </c>
      <c r="B83" s="34">
        <v>451</v>
      </c>
      <c r="C83" s="34">
        <v>36</v>
      </c>
      <c r="D83" s="34">
        <v>11054</v>
      </c>
      <c r="E83" s="34">
        <v>30</v>
      </c>
      <c r="F83" s="34" t="s">
        <v>54</v>
      </c>
      <c r="G83" s="34">
        <v>8.100986426550405E-2</v>
      </c>
    </row>
    <row r="84" spans="1:7" x14ac:dyDescent="0.3">
      <c r="A84" s="34">
        <v>83</v>
      </c>
      <c r="B84" s="34">
        <v>681</v>
      </c>
      <c r="C84" s="34">
        <v>6</v>
      </c>
      <c r="D84" s="34">
        <v>1538</v>
      </c>
      <c r="E84" s="34">
        <v>56</v>
      </c>
      <c r="F84" s="34" t="s">
        <v>56</v>
      </c>
      <c r="G84" s="34">
        <v>8.1802434962283566E-2</v>
      </c>
    </row>
    <row r="85" spans="1:7" x14ac:dyDescent="0.3">
      <c r="A85" s="34">
        <v>84</v>
      </c>
      <c r="B85" s="34">
        <v>13</v>
      </c>
      <c r="C85" s="34">
        <v>12</v>
      </c>
      <c r="D85" s="34">
        <v>1567</v>
      </c>
      <c r="E85" s="34">
        <v>22</v>
      </c>
      <c r="F85" s="34" t="s">
        <v>56</v>
      </c>
      <c r="G85" s="34">
        <v>8.1808219779813673E-2</v>
      </c>
    </row>
    <row r="86" spans="1:7" x14ac:dyDescent="0.3">
      <c r="A86" s="34">
        <v>85</v>
      </c>
      <c r="B86" s="34">
        <v>221</v>
      </c>
      <c r="C86" s="34">
        <v>12</v>
      </c>
      <c r="D86" s="34">
        <v>625</v>
      </c>
      <c r="E86" s="34">
        <v>26</v>
      </c>
      <c r="F86" s="34" t="s">
        <v>54</v>
      </c>
      <c r="G86" s="34">
        <v>8.3419139218853022E-2</v>
      </c>
    </row>
    <row r="87" spans="1:7" x14ac:dyDescent="0.3">
      <c r="A87" s="34">
        <v>86</v>
      </c>
      <c r="B87" s="34">
        <v>946</v>
      </c>
      <c r="C87" s="34">
        <v>48</v>
      </c>
      <c r="D87" s="34">
        <v>8358</v>
      </c>
      <c r="E87" s="34">
        <v>30</v>
      </c>
      <c r="F87" s="34" t="s">
        <v>56</v>
      </c>
      <c r="G87" s="34">
        <v>8.4740267822456139E-2</v>
      </c>
    </row>
    <row r="88" spans="1:7" x14ac:dyDescent="0.3">
      <c r="A88" s="34">
        <v>87</v>
      </c>
      <c r="B88" s="34">
        <v>206</v>
      </c>
      <c r="C88" s="34">
        <v>30</v>
      </c>
      <c r="D88" s="34">
        <v>10623</v>
      </c>
      <c r="E88" s="34">
        <v>38</v>
      </c>
      <c r="F88" s="34" t="s">
        <v>54</v>
      </c>
      <c r="G88" s="34">
        <v>8.5907386451505863E-2</v>
      </c>
    </row>
    <row r="89" spans="1:7" x14ac:dyDescent="0.3">
      <c r="A89" s="34">
        <v>88</v>
      </c>
      <c r="B89" s="34">
        <v>684</v>
      </c>
      <c r="C89" s="34">
        <v>24</v>
      </c>
      <c r="D89" s="34">
        <v>5103</v>
      </c>
      <c r="E89" s="34">
        <v>47</v>
      </c>
      <c r="F89" s="34" t="s">
        <v>54</v>
      </c>
      <c r="G89" s="34">
        <v>8.6931393383237743E-2</v>
      </c>
    </row>
    <row r="90" spans="1:7" x14ac:dyDescent="0.3">
      <c r="A90" s="34">
        <v>89</v>
      </c>
      <c r="B90" s="34">
        <v>629</v>
      </c>
      <c r="C90" s="34">
        <v>42</v>
      </c>
      <c r="D90" s="34">
        <v>4042</v>
      </c>
      <c r="E90" s="34">
        <v>36</v>
      </c>
      <c r="F90" s="34" t="s">
        <v>54</v>
      </c>
      <c r="G90" s="34">
        <v>8.7106301618640192E-2</v>
      </c>
    </row>
    <row r="91" spans="1:7" x14ac:dyDescent="0.3">
      <c r="A91" s="34">
        <v>90</v>
      </c>
      <c r="B91" s="34">
        <v>906</v>
      </c>
      <c r="C91" s="34">
        <v>12</v>
      </c>
      <c r="D91" s="34">
        <v>1107</v>
      </c>
      <c r="E91" s="34">
        <v>20</v>
      </c>
      <c r="F91" s="34" t="s">
        <v>54</v>
      </c>
      <c r="G91" s="34">
        <v>8.7657414438490067E-2</v>
      </c>
    </row>
    <row r="92" spans="1:7" x14ac:dyDescent="0.3">
      <c r="A92" s="34">
        <v>91</v>
      </c>
      <c r="B92" s="34">
        <v>776</v>
      </c>
      <c r="C92" s="34">
        <v>24</v>
      </c>
      <c r="D92" s="34">
        <v>1371</v>
      </c>
      <c r="E92" s="34">
        <v>25</v>
      </c>
      <c r="F92" s="34" t="s">
        <v>57</v>
      </c>
      <c r="G92" s="34">
        <v>8.9985675761169226E-2</v>
      </c>
    </row>
    <row r="93" spans="1:7" x14ac:dyDescent="0.3">
      <c r="A93" s="34">
        <v>92</v>
      </c>
      <c r="B93" s="34">
        <v>154</v>
      </c>
      <c r="C93" s="34">
        <v>24</v>
      </c>
      <c r="D93" s="34">
        <v>7758</v>
      </c>
      <c r="E93" s="34">
        <v>29</v>
      </c>
      <c r="F93" s="34" t="s">
        <v>56</v>
      </c>
      <c r="G93" s="34">
        <v>9.0247131528661817E-2</v>
      </c>
    </row>
    <row r="94" spans="1:7" x14ac:dyDescent="0.3">
      <c r="A94" s="34">
        <v>93</v>
      </c>
      <c r="B94" s="34">
        <v>465</v>
      </c>
      <c r="C94" s="34">
        <v>18</v>
      </c>
      <c r="D94" s="34">
        <v>1950</v>
      </c>
      <c r="E94" s="34">
        <v>34</v>
      </c>
      <c r="F94" s="34" t="s">
        <v>54</v>
      </c>
      <c r="G94" s="34">
        <v>9.2211086813411725E-2</v>
      </c>
    </row>
    <row r="95" spans="1:7" x14ac:dyDescent="0.3">
      <c r="A95" s="34">
        <v>94</v>
      </c>
      <c r="B95" s="34">
        <v>501</v>
      </c>
      <c r="C95" s="34">
        <v>24</v>
      </c>
      <c r="D95" s="34">
        <v>3123</v>
      </c>
      <c r="E95" s="34">
        <v>27</v>
      </c>
      <c r="F95" s="34" t="s">
        <v>57</v>
      </c>
      <c r="G95" s="34">
        <v>9.2409819505350765E-2</v>
      </c>
    </row>
    <row r="96" spans="1:7" x14ac:dyDescent="0.3">
      <c r="A96" s="34">
        <v>95</v>
      </c>
      <c r="B96" s="34">
        <v>813</v>
      </c>
      <c r="C96" s="34">
        <v>36</v>
      </c>
      <c r="D96" s="34">
        <v>9629</v>
      </c>
      <c r="E96" s="34">
        <v>24</v>
      </c>
      <c r="F96" s="34" t="s">
        <v>55</v>
      </c>
      <c r="G96" s="34">
        <v>9.5418911704666098E-2</v>
      </c>
    </row>
    <row r="97" spans="1:7" x14ac:dyDescent="0.3">
      <c r="A97" s="34">
        <v>96</v>
      </c>
      <c r="B97" s="34">
        <v>30</v>
      </c>
      <c r="C97" s="34">
        <v>60</v>
      </c>
      <c r="D97" s="34">
        <v>6836</v>
      </c>
      <c r="E97" s="34">
        <v>63</v>
      </c>
      <c r="F97" s="34" t="s">
        <v>55</v>
      </c>
      <c r="G97" s="34">
        <v>9.5575609311970511E-2</v>
      </c>
    </row>
    <row r="98" spans="1:7" x14ac:dyDescent="0.3">
      <c r="A98" s="34">
        <v>97</v>
      </c>
      <c r="B98" s="34">
        <v>120</v>
      </c>
      <c r="C98" s="34">
        <v>12</v>
      </c>
      <c r="D98" s="34">
        <v>2366</v>
      </c>
      <c r="E98" s="34">
        <v>36</v>
      </c>
      <c r="F98" s="34" t="s">
        <v>54</v>
      </c>
      <c r="G98" s="34">
        <v>9.6151242585216234E-2</v>
      </c>
    </row>
    <row r="99" spans="1:7" x14ac:dyDescent="0.3">
      <c r="A99" s="34">
        <v>98</v>
      </c>
      <c r="B99" s="34">
        <v>272</v>
      </c>
      <c r="C99" s="34">
        <v>12</v>
      </c>
      <c r="D99" s="34">
        <v>1402</v>
      </c>
      <c r="E99" s="34">
        <v>37</v>
      </c>
      <c r="F99" s="34" t="s">
        <v>56</v>
      </c>
      <c r="G99" s="34">
        <v>9.6957106351198363E-2</v>
      </c>
    </row>
    <row r="100" spans="1:7" x14ac:dyDescent="0.3">
      <c r="A100" s="34">
        <v>99</v>
      </c>
      <c r="B100" s="34">
        <v>768</v>
      </c>
      <c r="C100" s="34">
        <v>10</v>
      </c>
      <c r="D100" s="34">
        <v>2901</v>
      </c>
      <c r="E100" s="34">
        <v>31</v>
      </c>
      <c r="F100" s="34" t="s">
        <v>56</v>
      </c>
      <c r="G100" s="34">
        <v>9.696670641833105E-2</v>
      </c>
    </row>
    <row r="101" spans="1:7" x14ac:dyDescent="0.3">
      <c r="A101" s="34">
        <v>100</v>
      </c>
      <c r="B101" s="34">
        <v>205</v>
      </c>
      <c r="C101" s="34">
        <v>12</v>
      </c>
      <c r="D101" s="34">
        <v>1495</v>
      </c>
      <c r="E101" s="34">
        <v>38</v>
      </c>
      <c r="F101" s="34" t="s">
        <v>54</v>
      </c>
      <c r="G101" s="34">
        <v>9.7070142945584137E-2</v>
      </c>
    </row>
    <row r="102" spans="1:7" x14ac:dyDescent="0.3">
      <c r="A102" s="34">
        <v>101</v>
      </c>
      <c r="B102" s="34">
        <v>260</v>
      </c>
      <c r="C102" s="34">
        <v>11</v>
      </c>
      <c r="D102" s="34">
        <v>1154</v>
      </c>
      <c r="E102" s="34">
        <v>57</v>
      </c>
      <c r="F102" s="34" t="s">
        <v>56</v>
      </c>
      <c r="G102" s="34">
        <v>9.709279845605101E-2</v>
      </c>
    </row>
    <row r="103" spans="1:7" x14ac:dyDescent="0.3">
      <c r="A103" s="34">
        <v>102</v>
      </c>
      <c r="B103" s="34">
        <v>375</v>
      </c>
      <c r="C103" s="34">
        <v>60</v>
      </c>
      <c r="D103" s="34">
        <v>14782</v>
      </c>
      <c r="E103" s="34">
        <v>60</v>
      </c>
      <c r="F103" s="34" t="s">
        <v>57</v>
      </c>
      <c r="G103" s="34">
        <v>9.8228683813979423E-2</v>
      </c>
    </row>
    <row r="104" spans="1:7" x14ac:dyDescent="0.3">
      <c r="A104" s="34">
        <v>103</v>
      </c>
      <c r="B104" s="34">
        <v>640</v>
      </c>
      <c r="C104" s="34">
        <v>42</v>
      </c>
      <c r="D104" s="34">
        <v>4370</v>
      </c>
      <c r="E104" s="34">
        <v>26</v>
      </c>
      <c r="F104" s="34" t="s">
        <v>55</v>
      </c>
      <c r="G104" s="34">
        <v>9.9980248976444197E-2</v>
      </c>
    </row>
    <row r="105" spans="1:7" x14ac:dyDescent="0.3">
      <c r="A105" s="34">
        <v>104</v>
      </c>
      <c r="B105" s="34">
        <v>508</v>
      </c>
      <c r="C105" s="34">
        <v>15</v>
      </c>
      <c r="D105" s="34">
        <v>6850</v>
      </c>
      <c r="E105" s="34">
        <v>34</v>
      </c>
      <c r="F105" s="34" t="s">
        <v>55</v>
      </c>
      <c r="G105" s="34">
        <v>0.10154694506096751</v>
      </c>
    </row>
    <row r="106" spans="1:7" x14ac:dyDescent="0.3">
      <c r="A106" s="34">
        <v>105</v>
      </c>
      <c r="B106" s="34">
        <v>117</v>
      </c>
      <c r="C106" s="34">
        <v>42</v>
      </c>
      <c r="D106" s="34">
        <v>7174</v>
      </c>
      <c r="E106" s="34">
        <v>30</v>
      </c>
      <c r="F106" s="34" t="s">
        <v>57</v>
      </c>
      <c r="G106" s="34">
        <v>0.10237138431956783</v>
      </c>
    </row>
    <row r="107" spans="1:7" x14ac:dyDescent="0.3">
      <c r="A107" s="34">
        <v>106</v>
      </c>
      <c r="B107" s="34">
        <v>935</v>
      </c>
      <c r="C107" s="34">
        <v>12</v>
      </c>
      <c r="D107" s="34">
        <v>1498</v>
      </c>
      <c r="E107" s="34">
        <v>23</v>
      </c>
      <c r="F107" s="34" t="s">
        <v>56</v>
      </c>
      <c r="G107" s="34">
        <v>0.1025529395000766</v>
      </c>
    </row>
    <row r="108" spans="1:7" x14ac:dyDescent="0.3">
      <c r="A108" s="34">
        <v>107</v>
      </c>
      <c r="B108" s="34">
        <v>976</v>
      </c>
      <c r="C108" s="34">
        <v>24</v>
      </c>
      <c r="D108" s="34">
        <v>1258</v>
      </c>
      <c r="E108" s="34">
        <v>57</v>
      </c>
      <c r="F108" s="34" t="s">
        <v>56</v>
      </c>
      <c r="G108" s="34">
        <v>0.10257421037505465</v>
      </c>
    </row>
    <row r="109" spans="1:7" x14ac:dyDescent="0.3">
      <c r="A109" s="34">
        <v>108</v>
      </c>
      <c r="B109" s="34">
        <v>258</v>
      </c>
      <c r="C109" s="34">
        <v>12</v>
      </c>
      <c r="D109" s="34">
        <v>2149</v>
      </c>
      <c r="E109" s="34">
        <v>29</v>
      </c>
      <c r="F109" s="34" t="s">
        <v>55</v>
      </c>
      <c r="G109" s="34">
        <v>0.10389469024570275</v>
      </c>
    </row>
    <row r="110" spans="1:7" x14ac:dyDescent="0.3">
      <c r="A110" s="34">
        <v>109</v>
      </c>
      <c r="B110" s="34">
        <v>452</v>
      </c>
      <c r="C110" s="34">
        <v>6</v>
      </c>
      <c r="D110" s="34">
        <v>518</v>
      </c>
      <c r="E110" s="34">
        <v>29</v>
      </c>
      <c r="F110" s="34" t="s">
        <v>56</v>
      </c>
      <c r="G110" s="34">
        <v>0.10681588736082548</v>
      </c>
    </row>
    <row r="111" spans="1:7" x14ac:dyDescent="0.3">
      <c r="A111" s="34">
        <v>110</v>
      </c>
      <c r="B111" s="34">
        <v>47</v>
      </c>
      <c r="C111" s="34">
        <v>36</v>
      </c>
      <c r="D111" s="34">
        <v>2299</v>
      </c>
      <c r="E111" s="34">
        <v>39</v>
      </c>
      <c r="F111" s="34" t="s">
        <v>54</v>
      </c>
      <c r="G111" s="34">
        <v>0.10790604534286474</v>
      </c>
    </row>
    <row r="112" spans="1:7" x14ac:dyDescent="0.3">
      <c r="A112" s="34">
        <v>111</v>
      </c>
      <c r="B112" s="34">
        <v>920</v>
      </c>
      <c r="C112" s="34">
        <v>24</v>
      </c>
      <c r="D112" s="34">
        <v>3345</v>
      </c>
      <c r="E112" s="34">
        <v>39</v>
      </c>
      <c r="F112" s="34" t="s">
        <v>55</v>
      </c>
      <c r="G112" s="34">
        <v>0.10826692332524945</v>
      </c>
    </row>
    <row r="113" spans="1:7" x14ac:dyDescent="0.3">
      <c r="A113" s="34">
        <v>112</v>
      </c>
      <c r="B113" s="34">
        <v>972</v>
      </c>
      <c r="C113" s="34">
        <v>24</v>
      </c>
      <c r="D113" s="34">
        <v>7393</v>
      </c>
      <c r="E113" s="34">
        <v>43</v>
      </c>
      <c r="F113" s="34" t="s">
        <v>54</v>
      </c>
      <c r="G113" s="34">
        <v>0.10999179355527744</v>
      </c>
    </row>
    <row r="114" spans="1:7" x14ac:dyDescent="0.3">
      <c r="A114" s="34">
        <v>113</v>
      </c>
      <c r="B114" s="34">
        <v>74</v>
      </c>
      <c r="C114" s="34">
        <v>42</v>
      </c>
      <c r="D114" s="34">
        <v>5954</v>
      </c>
      <c r="E114" s="34">
        <v>41</v>
      </c>
      <c r="F114" s="34" t="s">
        <v>56</v>
      </c>
      <c r="G114" s="34">
        <v>0.11028082118143467</v>
      </c>
    </row>
    <row r="115" spans="1:7" x14ac:dyDescent="0.3">
      <c r="A115" s="34">
        <v>114</v>
      </c>
      <c r="B115" s="34">
        <v>862</v>
      </c>
      <c r="C115" s="34">
        <v>18</v>
      </c>
      <c r="D115" s="34">
        <v>2169</v>
      </c>
      <c r="E115" s="34">
        <v>28</v>
      </c>
      <c r="F115" s="34" t="s">
        <v>55</v>
      </c>
      <c r="G115" s="34">
        <v>0.11054173883008578</v>
      </c>
    </row>
    <row r="116" spans="1:7" x14ac:dyDescent="0.3">
      <c r="A116" s="34">
        <v>115</v>
      </c>
      <c r="B116" s="34">
        <v>675</v>
      </c>
      <c r="C116" s="34">
        <v>21</v>
      </c>
      <c r="D116" s="34">
        <v>2580</v>
      </c>
      <c r="E116" s="34">
        <v>41</v>
      </c>
      <c r="F116" s="34" t="s">
        <v>55</v>
      </c>
      <c r="G116" s="34">
        <v>0.11181163940431449</v>
      </c>
    </row>
    <row r="117" spans="1:7" x14ac:dyDescent="0.3">
      <c r="A117" s="34">
        <v>116</v>
      </c>
      <c r="B117" s="34">
        <v>325</v>
      </c>
      <c r="C117" s="34">
        <v>18</v>
      </c>
      <c r="D117" s="34">
        <v>1028</v>
      </c>
      <c r="E117" s="34">
        <v>36</v>
      </c>
      <c r="F117" s="34" t="s">
        <v>56</v>
      </c>
      <c r="G117" s="34">
        <v>0.11243624859207346</v>
      </c>
    </row>
    <row r="118" spans="1:7" x14ac:dyDescent="0.3">
      <c r="A118" s="34">
        <v>117</v>
      </c>
      <c r="B118" s="34">
        <v>595</v>
      </c>
      <c r="C118" s="34">
        <v>24</v>
      </c>
      <c r="D118" s="34">
        <v>1358</v>
      </c>
      <c r="E118" s="34">
        <v>40</v>
      </c>
      <c r="F118" s="34" t="s">
        <v>55</v>
      </c>
      <c r="G118" s="34">
        <v>0.11353145281269106</v>
      </c>
    </row>
    <row r="119" spans="1:7" x14ac:dyDescent="0.3">
      <c r="A119" s="34">
        <v>118</v>
      </c>
      <c r="B119" s="34">
        <v>162</v>
      </c>
      <c r="C119" s="34">
        <v>18</v>
      </c>
      <c r="D119" s="34">
        <v>1055</v>
      </c>
      <c r="E119" s="34">
        <v>30</v>
      </c>
      <c r="F119" s="34" t="s">
        <v>56</v>
      </c>
      <c r="G119" s="34">
        <v>0.11361458628704368</v>
      </c>
    </row>
    <row r="120" spans="1:7" x14ac:dyDescent="0.3">
      <c r="A120" s="34">
        <v>119</v>
      </c>
      <c r="B120" s="34">
        <v>424</v>
      </c>
      <c r="C120" s="34">
        <v>21</v>
      </c>
      <c r="D120" s="34">
        <v>1591</v>
      </c>
      <c r="E120" s="34">
        <v>34</v>
      </c>
      <c r="F120" s="34" t="s">
        <v>54</v>
      </c>
      <c r="G120" s="34">
        <v>0.11365503370749341</v>
      </c>
    </row>
    <row r="121" spans="1:7" x14ac:dyDescent="0.3">
      <c r="A121" s="34">
        <v>120</v>
      </c>
      <c r="B121" s="34">
        <v>506</v>
      </c>
      <c r="C121" s="34">
        <v>10</v>
      </c>
      <c r="D121" s="34">
        <v>1309</v>
      </c>
      <c r="E121" s="34">
        <v>27</v>
      </c>
      <c r="F121" s="34" t="s">
        <v>55</v>
      </c>
      <c r="G121" s="34">
        <v>0.11401586190390756</v>
      </c>
    </row>
    <row r="122" spans="1:7" x14ac:dyDescent="0.3">
      <c r="A122" s="34">
        <v>121</v>
      </c>
      <c r="B122" s="34">
        <v>119</v>
      </c>
      <c r="C122" s="34">
        <v>33</v>
      </c>
      <c r="D122" s="34">
        <v>4281</v>
      </c>
      <c r="E122" s="34">
        <v>23</v>
      </c>
      <c r="F122" s="34" t="s">
        <v>57</v>
      </c>
      <c r="G122" s="34">
        <v>0.11518581623456736</v>
      </c>
    </row>
    <row r="123" spans="1:7" x14ac:dyDescent="0.3">
      <c r="A123" s="34">
        <v>122</v>
      </c>
      <c r="B123" s="34">
        <v>760</v>
      </c>
      <c r="C123" s="34">
        <v>12</v>
      </c>
      <c r="D123" s="34">
        <v>691</v>
      </c>
      <c r="E123" s="34">
        <v>35</v>
      </c>
      <c r="F123" s="34" t="s">
        <v>55</v>
      </c>
      <c r="G123" s="34">
        <v>0.11605275649075586</v>
      </c>
    </row>
    <row r="124" spans="1:7" x14ac:dyDescent="0.3">
      <c r="A124" s="34">
        <v>123</v>
      </c>
      <c r="B124" s="34">
        <v>226</v>
      </c>
      <c r="C124" s="34">
        <v>36</v>
      </c>
      <c r="D124" s="34">
        <v>2613</v>
      </c>
      <c r="E124" s="34">
        <v>27</v>
      </c>
      <c r="F124" s="34" t="s">
        <v>54</v>
      </c>
      <c r="G124" s="34">
        <v>0.11658468303357483</v>
      </c>
    </row>
    <row r="125" spans="1:7" x14ac:dyDescent="0.3">
      <c r="A125" s="34">
        <v>124</v>
      </c>
      <c r="B125" s="34">
        <v>493</v>
      </c>
      <c r="C125" s="34">
        <v>6</v>
      </c>
      <c r="D125" s="34">
        <v>1237</v>
      </c>
      <c r="E125" s="34">
        <v>27</v>
      </c>
      <c r="F125" s="34" t="s">
        <v>56</v>
      </c>
      <c r="G125" s="34">
        <v>0.11746856701327912</v>
      </c>
    </row>
    <row r="126" spans="1:7" x14ac:dyDescent="0.3">
      <c r="A126" s="34">
        <v>125</v>
      </c>
      <c r="B126" s="34">
        <v>819</v>
      </c>
      <c r="C126" s="34">
        <v>36</v>
      </c>
      <c r="D126" s="34">
        <v>15857</v>
      </c>
      <c r="E126" s="34">
        <v>43</v>
      </c>
      <c r="F126" s="34" t="s">
        <v>54</v>
      </c>
      <c r="G126" s="34">
        <v>0.11775179349482368</v>
      </c>
    </row>
    <row r="127" spans="1:7" x14ac:dyDescent="0.3">
      <c r="A127" s="34">
        <v>126</v>
      </c>
      <c r="B127" s="34">
        <v>619</v>
      </c>
      <c r="C127" s="34">
        <v>30</v>
      </c>
      <c r="D127" s="34">
        <v>3441</v>
      </c>
      <c r="E127" s="34">
        <v>21</v>
      </c>
      <c r="F127" s="34" t="s">
        <v>57</v>
      </c>
      <c r="G127" s="34">
        <v>0.11799150832181826</v>
      </c>
    </row>
    <row r="128" spans="1:7" x14ac:dyDescent="0.3">
      <c r="A128" s="34">
        <v>127</v>
      </c>
      <c r="B128" s="34">
        <v>34</v>
      </c>
      <c r="C128" s="34">
        <v>12</v>
      </c>
      <c r="D128" s="34">
        <v>1264</v>
      </c>
      <c r="E128" s="34">
        <v>57</v>
      </c>
      <c r="F128" s="34" t="s">
        <v>54</v>
      </c>
      <c r="G128" s="34">
        <v>0.11923300248655111</v>
      </c>
    </row>
    <row r="129" spans="1:7" x14ac:dyDescent="0.3">
      <c r="A129" s="34">
        <v>128</v>
      </c>
      <c r="B129" s="34">
        <v>227</v>
      </c>
      <c r="C129" s="34">
        <v>48</v>
      </c>
      <c r="D129" s="34">
        <v>10961</v>
      </c>
      <c r="E129" s="34">
        <v>27</v>
      </c>
      <c r="F129" s="34" t="s">
        <v>55</v>
      </c>
      <c r="G129" s="34">
        <v>0.12121588599462507</v>
      </c>
    </row>
    <row r="130" spans="1:7" x14ac:dyDescent="0.3">
      <c r="A130" s="34">
        <v>129</v>
      </c>
      <c r="B130" s="34">
        <v>319</v>
      </c>
      <c r="C130" s="34">
        <v>12</v>
      </c>
      <c r="D130" s="34">
        <v>701</v>
      </c>
      <c r="E130" s="34">
        <v>32</v>
      </c>
      <c r="F130" s="34" t="s">
        <v>54</v>
      </c>
      <c r="G130" s="34">
        <v>0.12222531736896824</v>
      </c>
    </row>
    <row r="131" spans="1:7" x14ac:dyDescent="0.3">
      <c r="A131" s="34">
        <v>130</v>
      </c>
      <c r="B131" s="34">
        <v>155</v>
      </c>
      <c r="C131" s="34">
        <v>24</v>
      </c>
      <c r="D131" s="34">
        <v>6967</v>
      </c>
      <c r="E131" s="34">
        <v>36</v>
      </c>
      <c r="F131" s="34" t="s">
        <v>54</v>
      </c>
      <c r="G131" s="34">
        <v>0.12374407390912046</v>
      </c>
    </row>
    <row r="132" spans="1:7" x14ac:dyDescent="0.3">
      <c r="A132" s="34">
        <v>131</v>
      </c>
      <c r="B132" s="34">
        <v>673</v>
      </c>
      <c r="C132" s="34">
        <v>60</v>
      </c>
      <c r="D132" s="34">
        <v>10366</v>
      </c>
      <c r="E132" s="34">
        <v>42</v>
      </c>
      <c r="F132" s="34" t="s">
        <v>54</v>
      </c>
      <c r="G132" s="34">
        <v>0.12413351968756903</v>
      </c>
    </row>
    <row r="133" spans="1:7" x14ac:dyDescent="0.3">
      <c r="A133" s="34">
        <v>132</v>
      </c>
      <c r="B133" s="34">
        <v>194</v>
      </c>
      <c r="C133" s="34">
        <v>6</v>
      </c>
      <c r="D133" s="34">
        <v>2108</v>
      </c>
      <c r="E133" s="34">
        <v>29</v>
      </c>
      <c r="F133" s="34" t="s">
        <v>54</v>
      </c>
      <c r="G133" s="34">
        <v>0.12506941776492275</v>
      </c>
    </row>
    <row r="134" spans="1:7" x14ac:dyDescent="0.3">
      <c r="A134" s="34">
        <v>133</v>
      </c>
      <c r="B134" s="34">
        <v>436</v>
      </c>
      <c r="C134" s="34">
        <v>12</v>
      </c>
      <c r="D134" s="34">
        <v>1484</v>
      </c>
      <c r="E134" s="34">
        <v>25</v>
      </c>
      <c r="F134" s="34" t="s">
        <v>55</v>
      </c>
      <c r="G134" s="34">
        <v>0.12608153028355462</v>
      </c>
    </row>
    <row r="135" spans="1:7" x14ac:dyDescent="0.3">
      <c r="A135" s="34">
        <v>134</v>
      </c>
      <c r="B135" s="34">
        <v>304</v>
      </c>
      <c r="C135" s="34">
        <v>10</v>
      </c>
      <c r="D135" s="34">
        <v>1038</v>
      </c>
      <c r="E135" s="34">
        <v>49</v>
      </c>
      <c r="F135" s="34" t="s">
        <v>54</v>
      </c>
      <c r="G135" s="34">
        <v>0.1263489903595677</v>
      </c>
    </row>
    <row r="136" spans="1:7" x14ac:dyDescent="0.3">
      <c r="A136" s="34">
        <v>135</v>
      </c>
      <c r="B136" s="34">
        <v>439</v>
      </c>
      <c r="C136" s="34">
        <v>42</v>
      </c>
      <c r="D136" s="34">
        <v>3394</v>
      </c>
      <c r="E136" s="34">
        <v>65</v>
      </c>
      <c r="F136" s="34" t="s">
        <v>54</v>
      </c>
      <c r="G136" s="34">
        <v>0.12648366330125627</v>
      </c>
    </row>
    <row r="137" spans="1:7" x14ac:dyDescent="0.3">
      <c r="A137" s="34">
        <v>136</v>
      </c>
      <c r="B137" s="34">
        <v>499</v>
      </c>
      <c r="C137" s="34">
        <v>18</v>
      </c>
      <c r="D137" s="34">
        <v>1301</v>
      </c>
      <c r="E137" s="34">
        <v>32</v>
      </c>
      <c r="F137" s="34" t="s">
        <v>54</v>
      </c>
      <c r="G137" s="34">
        <v>0.12741856217673309</v>
      </c>
    </row>
    <row r="138" spans="1:7" x14ac:dyDescent="0.3">
      <c r="A138" s="34">
        <v>137</v>
      </c>
      <c r="B138" s="34">
        <v>708</v>
      </c>
      <c r="C138" s="34">
        <v>12</v>
      </c>
      <c r="D138" s="34">
        <v>2969</v>
      </c>
      <c r="E138" s="34">
        <v>25</v>
      </c>
      <c r="F138" s="34" t="s">
        <v>57</v>
      </c>
      <c r="G138" s="34">
        <v>0.1278500978338365</v>
      </c>
    </row>
    <row r="139" spans="1:7" x14ac:dyDescent="0.3">
      <c r="A139" s="34">
        <v>138</v>
      </c>
      <c r="B139" s="34">
        <v>778</v>
      </c>
      <c r="C139" s="34">
        <v>18</v>
      </c>
      <c r="D139" s="34">
        <v>3509</v>
      </c>
      <c r="E139" s="34">
        <v>25</v>
      </c>
      <c r="F139" s="34" t="s">
        <v>56</v>
      </c>
      <c r="G139" s="34">
        <v>0.13000481664828811</v>
      </c>
    </row>
    <row r="140" spans="1:7" x14ac:dyDescent="0.3">
      <c r="A140" s="34">
        <v>139</v>
      </c>
      <c r="B140" s="34">
        <v>914</v>
      </c>
      <c r="C140" s="34">
        <v>11</v>
      </c>
      <c r="D140" s="34">
        <v>2142</v>
      </c>
      <c r="E140" s="34">
        <v>28</v>
      </c>
      <c r="F140" s="34" t="s">
        <v>54</v>
      </c>
      <c r="G140" s="34">
        <v>0.13169050298639506</v>
      </c>
    </row>
    <row r="141" spans="1:7" x14ac:dyDescent="0.3">
      <c r="A141" s="34">
        <v>140</v>
      </c>
      <c r="B141" s="34">
        <v>585</v>
      </c>
      <c r="C141" s="34">
        <v>12</v>
      </c>
      <c r="D141" s="34">
        <v>2133</v>
      </c>
      <c r="E141" s="34">
        <v>52</v>
      </c>
      <c r="F141" s="34" t="s">
        <v>56</v>
      </c>
      <c r="G141" s="34">
        <v>0.13243933811448971</v>
      </c>
    </row>
    <row r="142" spans="1:7" x14ac:dyDescent="0.3">
      <c r="A142" s="34">
        <v>141</v>
      </c>
      <c r="B142" s="34">
        <v>565</v>
      </c>
      <c r="C142" s="34">
        <v>24</v>
      </c>
      <c r="D142" s="34">
        <v>4712</v>
      </c>
      <c r="E142" s="34">
        <v>37</v>
      </c>
      <c r="F142" s="34" t="s">
        <v>54</v>
      </c>
      <c r="G142" s="34">
        <v>0.13252685794213726</v>
      </c>
    </row>
    <row r="143" spans="1:7" x14ac:dyDescent="0.3">
      <c r="A143" s="34">
        <v>142</v>
      </c>
      <c r="B143" s="34">
        <v>8</v>
      </c>
      <c r="C143" s="34">
        <v>36</v>
      </c>
      <c r="D143" s="34">
        <v>6948</v>
      </c>
      <c r="E143" s="34">
        <v>35</v>
      </c>
      <c r="F143" s="34" t="s">
        <v>54</v>
      </c>
      <c r="G143" s="34">
        <v>0.13482893541979668</v>
      </c>
    </row>
    <row r="144" spans="1:7" x14ac:dyDescent="0.3">
      <c r="A144" s="34">
        <v>143</v>
      </c>
      <c r="B144" s="34">
        <v>832</v>
      </c>
      <c r="C144" s="34">
        <v>18</v>
      </c>
      <c r="D144" s="34">
        <v>1216</v>
      </c>
      <c r="E144" s="34">
        <v>23</v>
      </c>
      <c r="F144" s="34" t="s">
        <v>57</v>
      </c>
      <c r="G144" s="34">
        <v>0.1356439228980626</v>
      </c>
    </row>
    <row r="145" spans="1:7" x14ac:dyDescent="0.3">
      <c r="A145" s="34">
        <v>144</v>
      </c>
      <c r="B145" s="34">
        <v>584</v>
      </c>
      <c r="C145" s="34">
        <v>36</v>
      </c>
      <c r="D145" s="34">
        <v>2384</v>
      </c>
      <c r="E145" s="34">
        <v>33</v>
      </c>
      <c r="F145" s="34" t="s">
        <v>55</v>
      </c>
      <c r="G145" s="34">
        <v>0.13878961279379609</v>
      </c>
    </row>
    <row r="146" spans="1:7" x14ac:dyDescent="0.3">
      <c r="A146" s="34">
        <v>145</v>
      </c>
      <c r="B146" s="34">
        <v>689</v>
      </c>
      <c r="C146" s="34">
        <v>9</v>
      </c>
      <c r="D146" s="34">
        <v>2753</v>
      </c>
      <c r="E146" s="34">
        <v>35</v>
      </c>
      <c r="F146" s="34" t="s">
        <v>54</v>
      </c>
      <c r="G146" s="34">
        <v>0.13902300453544536</v>
      </c>
    </row>
    <row r="147" spans="1:7" x14ac:dyDescent="0.3">
      <c r="A147" s="34">
        <v>146</v>
      </c>
      <c r="B147" s="34">
        <v>909</v>
      </c>
      <c r="C147" s="34">
        <v>15</v>
      </c>
      <c r="D147" s="34">
        <v>3594</v>
      </c>
      <c r="E147" s="34">
        <v>46</v>
      </c>
      <c r="F147" s="34" t="s">
        <v>56</v>
      </c>
      <c r="G147" s="34">
        <v>0.14280823007403065</v>
      </c>
    </row>
    <row r="148" spans="1:7" x14ac:dyDescent="0.3">
      <c r="A148" s="34">
        <v>147</v>
      </c>
      <c r="B148" s="34">
        <v>31</v>
      </c>
      <c r="C148" s="34">
        <v>18</v>
      </c>
      <c r="D148" s="34">
        <v>1913</v>
      </c>
      <c r="E148" s="34">
        <v>36</v>
      </c>
      <c r="F148" s="34" t="s">
        <v>54</v>
      </c>
      <c r="G148" s="34">
        <v>0.14319106260224246</v>
      </c>
    </row>
    <row r="149" spans="1:7" x14ac:dyDescent="0.3">
      <c r="A149" s="34">
        <v>148</v>
      </c>
      <c r="B149" s="34">
        <v>590</v>
      </c>
      <c r="C149" s="34">
        <v>12</v>
      </c>
      <c r="D149" s="34">
        <v>2246</v>
      </c>
      <c r="E149" s="34">
        <v>60</v>
      </c>
      <c r="F149" s="34" t="s">
        <v>55</v>
      </c>
      <c r="G149" s="34">
        <v>0.14528665854850942</v>
      </c>
    </row>
    <row r="150" spans="1:7" x14ac:dyDescent="0.3">
      <c r="A150" s="34">
        <v>149</v>
      </c>
      <c r="B150" s="34">
        <v>848</v>
      </c>
      <c r="C150" s="34">
        <v>24</v>
      </c>
      <c r="D150" s="34">
        <v>1249</v>
      </c>
      <c r="E150" s="34">
        <v>28</v>
      </c>
      <c r="F150" s="34" t="s">
        <v>54</v>
      </c>
      <c r="G150" s="34">
        <v>0.1483737543125454</v>
      </c>
    </row>
    <row r="151" spans="1:7" x14ac:dyDescent="0.3">
      <c r="A151" s="34">
        <v>150</v>
      </c>
      <c r="B151" s="34">
        <v>137</v>
      </c>
      <c r="C151" s="34">
        <v>27</v>
      </c>
      <c r="D151" s="34">
        <v>8613</v>
      </c>
      <c r="E151" s="34">
        <v>27</v>
      </c>
      <c r="F151" s="34" t="s">
        <v>54</v>
      </c>
      <c r="G151" s="34">
        <v>0.14902389013446016</v>
      </c>
    </row>
    <row r="152" spans="1:7" x14ac:dyDescent="0.3">
      <c r="A152" s="34">
        <v>151</v>
      </c>
      <c r="B152" s="34">
        <v>106</v>
      </c>
      <c r="C152" s="34">
        <v>24</v>
      </c>
      <c r="D152" s="34">
        <v>11938</v>
      </c>
      <c r="E152" s="34">
        <v>39</v>
      </c>
      <c r="F152" s="34" t="s">
        <v>55</v>
      </c>
      <c r="G152" s="34">
        <v>0.14944981879934238</v>
      </c>
    </row>
    <row r="153" spans="1:7" x14ac:dyDescent="0.3">
      <c r="A153" s="34">
        <v>152</v>
      </c>
      <c r="B153" s="34">
        <v>248</v>
      </c>
      <c r="C153" s="34">
        <v>6</v>
      </c>
      <c r="D153" s="34">
        <v>1204</v>
      </c>
      <c r="E153" s="34">
        <v>35</v>
      </c>
      <c r="F153" s="34" t="s">
        <v>54</v>
      </c>
      <c r="G153" s="34">
        <v>0.15014870258766022</v>
      </c>
    </row>
    <row r="154" spans="1:7" x14ac:dyDescent="0.3">
      <c r="A154" s="34">
        <v>153</v>
      </c>
      <c r="B154" s="34">
        <v>276</v>
      </c>
      <c r="C154" s="34">
        <v>9</v>
      </c>
      <c r="D154" s="34">
        <v>2697</v>
      </c>
      <c r="E154" s="34">
        <v>32</v>
      </c>
      <c r="F154" s="34" t="s">
        <v>54</v>
      </c>
      <c r="G154" s="34">
        <v>0.15125252034223402</v>
      </c>
    </row>
    <row r="155" spans="1:7" x14ac:dyDescent="0.3">
      <c r="A155" s="34">
        <v>154</v>
      </c>
      <c r="B155" s="34">
        <v>664</v>
      </c>
      <c r="C155" s="34">
        <v>6</v>
      </c>
      <c r="D155" s="34">
        <v>1050</v>
      </c>
      <c r="E155" s="34">
        <v>35</v>
      </c>
      <c r="F155" s="34" t="s">
        <v>54</v>
      </c>
      <c r="G155" s="34">
        <v>0.151728803042817</v>
      </c>
    </row>
    <row r="156" spans="1:7" x14ac:dyDescent="0.3">
      <c r="A156" s="34">
        <v>155</v>
      </c>
      <c r="B156" s="34">
        <v>850</v>
      </c>
      <c r="C156" s="34">
        <v>12</v>
      </c>
      <c r="D156" s="34">
        <v>709</v>
      </c>
      <c r="E156" s="34">
        <v>57</v>
      </c>
      <c r="F156" s="34" t="s">
        <v>55</v>
      </c>
      <c r="G156" s="34">
        <v>0.15228401646179646</v>
      </c>
    </row>
    <row r="157" spans="1:7" x14ac:dyDescent="0.3">
      <c r="A157" s="34">
        <v>156</v>
      </c>
      <c r="B157" s="34">
        <v>644</v>
      </c>
      <c r="C157" s="34">
        <v>24</v>
      </c>
      <c r="D157" s="34">
        <v>1851</v>
      </c>
      <c r="E157" s="34">
        <v>33</v>
      </c>
      <c r="F157" s="34" t="s">
        <v>54</v>
      </c>
      <c r="G157" s="34">
        <v>0.15246955357133196</v>
      </c>
    </row>
    <row r="158" spans="1:7" x14ac:dyDescent="0.3">
      <c r="A158" s="34">
        <v>157</v>
      </c>
      <c r="B158" s="34">
        <v>40</v>
      </c>
      <c r="C158" s="34">
        <v>9</v>
      </c>
      <c r="D158" s="34">
        <v>458</v>
      </c>
      <c r="E158" s="34">
        <v>24</v>
      </c>
      <c r="F158" s="34" t="s">
        <v>54</v>
      </c>
      <c r="G158" s="34">
        <v>0.15263527335622507</v>
      </c>
    </row>
    <row r="159" spans="1:7" x14ac:dyDescent="0.3">
      <c r="A159" s="34">
        <v>158</v>
      </c>
      <c r="B159" s="34">
        <v>46</v>
      </c>
      <c r="C159" s="34">
        <v>11</v>
      </c>
      <c r="D159" s="34">
        <v>1393</v>
      </c>
      <c r="E159" s="34">
        <v>35</v>
      </c>
      <c r="F159" s="34" t="s">
        <v>56</v>
      </c>
      <c r="G159" s="34">
        <v>0.15413647869819869</v>
      </c>
    </row>
    <row r="160" spans="1:7" x14ac:dyDescent="0.3">
      <c r="A160" s="34">
        <v>159</v>
      </c>
      <c r="B160" s="34">
        <v>76</v>
      </c>
      <c r="C160" s="34">
        <v>12</v>
      </c>
      <c r="D160" s="34">
        <v>1526</v>
      </c>
      <c r="E160" s="34">
        <v>66</v>
      </c>
      <c r="F160" s="34" t="s">
        <v>54</v>
      </c>
      <c r="G160" s="34">
        <v>0.15426247239413671</v>
      </c>
    </row>
    <row r="161" spans="1:7" x14ac:dyDescent="0.3">
      <c r="A161" s="34">
        <v>160</v>
      </c>
      <c r="B161" s="34">
        <v>889</v>
      </c>
      <c r="C161" s="34">
        <v>36</v>
      </c>
      <c r="D161" s="34">
        <v>6614</v>
      </c>
      <c r="E161" s="34">
        <v>34</v>
      </c>
      <c r="F161" s="34" t="s">
        <v>54</v>
      </c>
      <c r="G161" s="34">
        <v>0.15489191132840419</v>
      </c>
    </row>
    <row r="162" spans="1:7" x14ac:dyDescent="0.3">
      <c r="A162" s="34">
        <v>161</v>
      </c>
      <c r="B162" s="34">
        <v>523</v>
      </c>
      <c r="C162" s="34">
        <v>48</v>
      </c>
      <c r="D162" s="34">
        <v>7119</v>
      </c>
      <c r="E162" s="34">
        <v>53</v>
      </c>
      <c r="F162" s="34" t="s">
        <v>55</v>
      </c>
      <c r="G162" s="34">
        <v>0.15491868810240617</v>
      </c>
    </row>
    <row r="163" spans="1:7" x14ac:dyDescent="0.3">
      <c r="A163" s="34">
        <v>162</v>
      </c>
      <c r="B163" s="34">
        <v>730</v>
      </c>
      <c r="C163" s="34">
        <v>24</v>
      </c>
      <c r="D163" s="34">
        <v>1275</v>
      </c>
      <c r="E163" s="34">
        <v>36</v>
      </c>
      <c r="F163" s="34" t="s">
        <v>54</v>
      </c>
      <c r="G163" s="34">
        <v>0.1551510536941334</v>
      </c>
    </row>
    <row r="164" spans="1:7" x14ac:dyDescent="0.3">
      <c r="A164" s="34">
        <v>163</v>
      </c>
      <c r="B164" s="34">
        <v>303</v>
      </c>
      <c r="C164" s="34">
        <v>24</v>
      </c>
      <c r="D164" s="34">
        <v>1344</v>
      </c>
      <c r="E164" s="34">
        <v>37</v>
      </c>
      <c r="F164" s="34" t="s">
        <v>55</v>
      </c>
      <c r="G164" s="34">
        <v>0.15715475561998482</v>
      </c>
    </row>
    <row r="165" spans="1:7" x14ac:dyDescent="0.3">
      <c r="A165" s="34">
        <v>164</v>
      </c>
      <c r="B165" s="34">
        <v>696</v>
      </c>
      <c r="C165" s="34">
        <v>6</v>
      </c>
      <c r="D165" s="34">
        <v>1236</v>
      </c>
      <c r="E165" s="34">
        <v>50</v>
      </c>
      <c r="F165" s="34" t="s">
        <v>54</v>
      </c>
      <c r="G165" s="34">
        <v>0.15770040656452611</v>
      </c>
    </row>
    <row r="166" spans="1:7" x14ac:dyDescent="0.3">
      <c r="A166" s="34">
        <v>165</v>
      </c>
      <c r="B166" s="34">
        <v>26</v>
      </c>
      <c r="C166" s="34">
        <v>6</v>
      </c>
      <c r="D166" s="34">
        <v>1374</v>
      </c>
      <c r="E166" s="34">
        <v>36</v>
      </c>
      <c r="F166" s="34" t="s">
        <v>54</v>
      </c>
      <c r="G166" s="34">
        <v>0.15905145147511734</v>
      </c>
    </row>
    <row r="167" spans="1:7" x14ac:dyDescent="0.3">
      <c r="A167" s="34">
        <v>166</v>
      </c>
      <c r="B167" s="34">
        <v>659</v>
      </c>
      <c r="C167" s="34">
        <v>30</v>
      </c>
      <c r="D167" s="34">
        <v>4221</v>
      </c>
      <c r="E167" s="34">
        <v>28</v>
      </c>
      <c r="F167" s="34" t="s">
        <v>56</v>
      </c>
      <c r="G167" s="34">
        <v>0.15946526353841073</v>
      </c>
    </row>
    <row r="168" spans="1:7" x14ac:dyDescent="0.3">
      <c r="A168" s="34">
        <v>167</v>
      </c>
      <c r="B168" s="34">
        <v>170</v>
      </c>
      <c r="C168" s="34">
        <v>24</v>
      </c>
      <c r="D168" s="34">
        <v>1935</v>
      </c>
      <c r="E168" s="34">
        <v>31</v>
      </c>
      <c r="F168" s="34" t="s">
        <v>55</v>
      </c>
      <c r="G168" s="34">
        <v>0.16022378585502806</v>
      </c>
    </row>
    <row r="169" spans="1:7" x14ac:dyDescent="0.3">
      <c r="A169" s="34">
        <v>168</v>
      </c>
      <c r="B169" s="34">
        <v>872</v>
      </c>
      <c r="C169" s="34">
        <v>6</v>
      </c>
      <c r="D169" s="34">
        <v>1343</v>
      </c>
      <c r="E169" s="34">
        <v>46</v>
      </c>
      <c r="F169" s="34" t="s">
        <v>54</v>
      </c>
      <c r="G169" s="34">
        <v>0.16191107943130967</v>
      </c>
    </row>
    <row r="170" spans="1:7" x14ac:dyDescent="0.3">
      <c r="A170" s="34">
        <v>169</v>
      </c>
      <c r="B170" s="34">
        <v>347</v>
      </c>
      <c r="C170" s="34">
        <v>13</v>
      </c>
      <c r="D170" s="34">
        <v>882</v>
      </c>
      <c r="E170" s="34">
        <v>23</v>
      </c>
      <c r="F170" s="34" t="s">
        <v>54</v>
      </c>
      <c r="G170" s="34">
        <v>0.16236992473217327</v>
      </c>
    </row>
    <row r="171" spans="1:7" x14ac:dyDescent="0.3">
      <c r="A171" s="34">
        <v>170</v>
      </c>
      <c r="B171" s="34">
        <v>928</v>
      </c>
      <c r="C171" s="34">
        <v>48</v>
      </c>
      <c r="D171" s="34">
        <v>10297</v>
      </c>
      <c r="E171" s="34">
        <v>39</v>
      </c>
      <c r="F171" s="34" t="s">
        <v>55</v>
      </c>
      <c r="G171" s="34">
        <v>0.16258744667186564</v>
      </c>
    </row>
    <row r="172" spans="1:7" x14ac:dyDescent="0.3">
      <c r="A172" s="34">
        <v>171</v>
      </c>
      <c r="B172" s="34">
        <v>403</v>
      </c>
      <c r="C172" s="34">
        <v>24</v>
      </c>
      <c r="D172" s="34">
        <v>8648</v>
      </c>
      <c r="E172" s="34">
        <v>27</v>
      </c>
      <c r="F172" s="34" t="s">
        <v>55</v>
      </c>
      <c r="G172" s="34">
        <v>0.16262125887979051</v>
      </c>
    </row>
    <row r="173" spans="1:7" x14ac:dyDescent="0.3">
      <c r="A173" s="34">
        <v>172</v>
      </c>
      <c r="B173" s="34">
        <v>368</v>
      </c>
      <c r="C173" s="34">
        <v>18</v>
      </c>
      <c r="D173" s="34">
        <v>3650</v>
      </c>
      <c r="E173" s="34">
        <v>22</v>
      </c>
      <c r="F173" s="34" t="s">
        <v>56</v>
      </c>
      <c r="G173" s="34">
        <v>0.1644700322222018</v>
      </c>
    </row>
    <row r="174" spans="1:7" x14ac:dyDescent="0.3">
      <c r="A174" s="34">
        <v>173</v>
      </c>
      <c r="B174" s="34">
        <v>172</v>
      </c>
      <c r="C174" s="34">
        <v>12</v>
      </c>
      <c r="D174" s="34">
        <v>763</v>
      </c>
      <c r="E174" s="34">
        <v>26</v>
      </c>
      <c r="F174" s="34" t="s">
        <v>56</v>
      </c>
      <c r="G174" s="34">
        <v>0.16623086559398859</v>
      </c>
    </row>
    <row r="175" spans="1:7" x14ac:dyDescent="0.3">
      <c r="A175" s="34">
        <v>174</v>
      </c>
      <c r="B175" s="34">
        <v>300</v>
      </c>
      <c r="C175" s="34">
        <v>21</v>
      </c>
      <c r="D175" s="34">
        <v>2745</v>
      </c>
      <c r="E175" s="34">
        <v>32</v>
      </c>
      <c r="F175" s="34" t="s">
        <v>54</v>
      </c>
      <c r="G175" s="34">
        <v>0.16678532836304216</v>
      </c>
    </row>
    <row r="176" spans="1:7" x14ac:dyDescent="0.3">
      <c r="A176" s="34">
        <v>175</v>
      </c>
      <c r="B176" s="34">
        <v>882</v>
      </c>
      <c r="C176" s="34">
        <v>24</v>
      </c>
      <c r="D176" s="34">
        <v>9277</v>
      </c>
      <c r="E176" s="34">
        <v>48</v>
      </c>
      <c r="F176" s="34" t="s">
        <v>54</v>
      </c>
      <c r="G176" s="34">
        <v>0.16703275211133095</v>
      </c>
    </row>
    <row r="177" spans="1:7" x14ac:dyDescent="0.3">
      <c r="A177" s="34">
        <v>176</v>
      </c>
      <c r="B177" s="34">
        <v>396</v>
      </c>
      <c r="C177" s="34">
        <v>39</v>
      </c>
      <c r="D177" s="34">
        <v>11760</v>
      </c>
      <c r="E177" s="34">
        <v>32</v>
      </c>
      <c r="F177" s="34" t="s">
        <v>54</v>
      </c>
      <c r="G177" s="34">
        <v>0.16736110349996891</v>
      </c>
    </row>
    <row r="178" spans="1:7" x14ac:dyDescent="0.3">
      <c r="A178" s="34">
        <v>177</v>
      </c>
      <c r="B178" s="34">
        <v>171</v>
      </c>
      <c r="C178" s="34">
        <v>15</v>
      </c>
      <c r="D178" s="34">
        <v>950</v>
      </c>
      <c r="E178" s="34">
        <v>33</v>
      </c>
      <c r="F178" s="34" t="s">
        <v>55</v>
      </c>
      <c r="G178" s="34">
        <v>0.16757099215162763</v>
      </c>
    </row>
    <row r="179" spans="1:7" x14ac:dyDescent="0.3">
      <c r="A179" s="34">
        <v>178</v>
      </c>
      <c r="B179" s="34">
        <v>841</v>
      </c>
      <c r="C179" s="34">
        <v>36</v>
      </c>
      <c r="D179" s="34">
        <v>5179</v>
      </c>
      <c r="E179" s="34">
        <v>29</v>
      </c>
      <c r="F179" s="34" t="s">
        <v>55</v>
      </c>
      <c r="G179" s="34">
        <v>0.16905414902514515</v>
      </c>
    </row>
    <row r="180" spans="1:7" x14ac:dyDescent="0.3">
      <c r="A180" s="34">
        <v>179</v>
      </c>
      <c r="B180" s="34">
        <v>330</v>
      </c>
      <c r="C180" s="34">
        <v>6</v>
      </c>
      <c r="D180" s="34">
        <v>1068</v>
      </c>
      <c r="E180" s="34">
        <v>28</v>
      </c>
      <c r="F180" s="34" t="s">
        <v>54</v>
      </c>
      <c r="G180" s="34">
        <v>0.1705086003177525</v>
      </c>
    </row>
    <row r="181" spans="1:7" x14ac:dyDescent="0.3">
      <c r="A181" s="34">
        <v>180</v>
      </c>
      <c r="B181" s="34">
        <v>704</v>
      </c>
      <c r="C181" s="34">
        <v>30</v>
      </c>
      <c r="D181" s="34">
        <v>2503</v>
      </c>
      <c r="E181" s="34">
        <v>41</v>
      </c>
      <c r="F181" s="34" t="s">
        <v>54</v>
      </c>
      <c r="G181" s="34">
        <v>0.17080245184974985</v>
      </c>
    </row>
    <row r="182" spans="1:7" x14ac:dyDescent="0.3">
      <c r="A182" s="34">
        <v>181</v>
      </c>
      <c r="B182" s="34">
        <v>627</v>
      </c>
      <c r="C182" s="34">
        <v>6</v>
      </c>
      <c r="D182" s="34">
        <v>2116</v>
      </c>
      <c r="E182" s="34">
        <v>41</v>
      </c>
      <c r="F182" s="34" t="s">
        <v>54</v>
      </c>
      <c r="G182" s="34">
        <v>0.17132905270016363</v>
      </c>
    </row>
    <row r="183" spans="1:7" x14ac:dyDescent="0.3">
      <c r="A183" s="34">
        <v>182</v>
      </c>
      <c r="B183" s="34">
        <v>428</v>
      </c>
      <c r="C183" s="34">
        <v>18</v>
      </c>
      <c r="D183" s="34">
        <v>1149</v>
      </c>
      <c r="E183" s="34">
        <v>46</v>
      </c>
      <c r="F183" s="34" t="s">
        <v>54</v>
      </c>
      <c r="G183" s="34">
        <v>0.17580831426656329</v>
      </c>
    </row>
    <row r="184" spans="1:7" x14ac:dyDescent="0.3">
      <c r="A184" s="34">
        <v>183</v>
      </c>
      <c r="B184" s="34">
        <v>874</v>
      </c>
      <c r="C184" s="34">
        <v>15</v>
      </c>
      <c r="D184" s="34">
        <v>874</v>
      </c>
      <c r="E184" s="34">
        <v>24</v>
      </c>
      <c r="F184" s="34" t="s">
        <v>56</v>
      </c>
      <c r="G184" s="34">
        <v>0.17744774283311293</v>
      </c>
    </row>
    <row r="185" spans="1:7" x14ac:dyDescent="0.3">
      <c r="A185" s="34">
        <v>184</v>
      </c>
      <c r="B185" s="34">
        <v>145</v>
      </c>
      <c r="C185" s="34">
        <v>21</v>
      </c>
      <c r="D185" s="34">
        <v>2288</v>
      </c>
      <c r="E185" s="34">
        <v>23</v>
      </c>
      <c r="F185" s="34" t="s">
        <v>56</v>
      </c>
      <c r="G185" s="34">
        <v>0.17839213209664651</v>
      </c>
    </row>
    <row r="186" spans="1:7" x14ac:dyDescent="0.3">
      <c r="A186" s="34">
        <v>185</v>
      </c>
      <c r="B186" s="34">
        <v>519</v>
      </c>
      <c r="C186" s="34">
        <v>6</v>
      </c>
      <c r="D186" s="34">
        <v>1203</v>
      </c>
      <c r="E186" s="34">
        <v>43</v>
      </c>
      <c r="F186" s="34" t="s">
        <v>54</v>
      </c>
      <c r="G186" s="34">
        <v>0.17882750078997489</v>
      </c>
    </row>
    <row r="187" spans="1:7" x14ac:dyDescent="0.3">
      <c r="A187" s="34">
        <v>186</v>
      </c>
      <c r="B187" s="34">
        <v>531</v>
      </c>
      <c r="C187" s="34">
        <v>36</v>
      </c>
      <c r="D187" s="34">
        <v>2273</v>
      </c>
      <c r="E187" s="34">
        <v>32</v>
      </c>
      <c r="F187" s="34" t="s">
        <v>54</v>
      </c>
      <c r="G187" s="34">
        <v>0.17956474939288314</v>
      </c>
    </row>
    <row r="188" spans="1:7" x14ac:dyDescent="0.3">
      <c r="A188" s="34">
        <v>187</v>
      </c>
      <c r="B188" s="34">
        <v>579</v>
      </c>
      <c r="C188" s="34">
        <v>36</v>
      </c>
      <c r="D188" s="34">
        <v>2820</v>
      </c>
      <c r="E188" s="34">
        <v>27</v>
      </c>
      <c r="F188" s="34" t="s">
        <v>55</v>
      </c>
      <c r="G188" s="34">
        <v>0.18023547858248978</v>
      </c>
    </row>
    <row r="189" spans="1:7" x14ac:dyDescent="0.3">
      <c r="A189" s="34">
        <v>188</v>
      </c>
      <c r="B189" s="34">
        <v>932</v>
      </c>
      <c r="C189" s="34">
        <v>9</v>
      </c>
      <c r="D189" s="34">
        <v>1670</v>
      </c>
      <c r="E189" s="34">
        <v>22</v>
      </c>
      <c r="F189" s="34" t="s">
        <v>57</v>
      </c>
      <c r="G189" s="34">
        <v>0.18042402843169114</v>
      </c>
    </row>
    <row r="190" spans="1:7" x14ac:dyDescent="0.3">
      <c r="A190" s="34">
        <v>189</v>
      </c>
      <c r="B190" s="34">
        <v>861</v>
      </c>
      <c r="C190" s="34">
        <v>24</v>
      </c>
      <c r="D190" s="34">
        <v>5804</v>
      </c>
      <c r="E190" s="34">
        <v>27</v>
      </c>
      <c r="F190" s="34" t="s">
        <v>54</v>
      </c>
      <c r="G190" s="34">
        <v>0.18104716396380749</v>
      </c>
    </row>
    <row r="191" spans="1:7" x14ac:dyDescent="0.3">
      <c r="A191" s="34">
        <v>190</v>
      </c>
      <c r="B191" s="34">
        <v>604</v>
      </c>
      <c r="C191" s="34">
        <v>36</v>
      </c>
      <c r="D191" s="34">
        <v>3349</v>
      </c>
      <c r="E191" s="34">
        <v>28</v>
      </c>
      <c r="F191" s="34" t="s">
        <v>57</v>
      </c>
      <c r="G191" s="34">
        <v>0.18245730786637659</v>
      </c>
    </row>
    <row r="192" spans="1:7" x14ac:dyDescent="0.3">
      <c r="A192" s="34">
        <v>191</v>
      </c>
      <c r="B192" s="34">
        <v>80</v>
      </c>
      <c r="C192" s="34">
        <v>30</v>
      </c>
      <c r="D192" s="34">
        <v>3832</v>
      </c>
      <c r="E192" s="34">
        <v>22</v>
      </c>
      <c r="F192" s="34" t="s">
        <v>54</v>
      </c>
      <c r="G192" s="34">
        <v>0.18381544638834579</v>
      </c>
    </row>
    <row r="193" spans="1:7" x14ac:dyDescent="0.3">
      <c r="A193" s="34">
        <v>192</v>
      </c>
      <c r="B193" s="34">
        <v>676</v>
      </c>
      <c r="C193" s="34">
        <v>30</v>
      </c>
      <c r="D193" s="34">
        <v>4530</v>
      </c>
      <c r="E193" s="34">
        <v>26</v>
      </c>
      <c r="F193" s="34" t="s">
        <v>56</v>
      </c>
      <c r="G193" s="34">
        <v>0.18419045179011961</v>
      </c>
    </row>
    <row r="194" spans="1:7" x14ac:dyDescent="0.3">
      <c r="A194" s="34">
        <v>193</v>
      </c>
      <c r="B194" s="34">
        <v>864</v>
      </c>
      <c r="C194" s="34">
        <v>27</v>
      </c>
      <c r="D194" s="34">
        <v>4526</v>
      </c>
      <c r="E194" s="34">
        <v>32</v>
      </c>
      <c r="F194" s="34" t="s">
        <v>54</v>
      </c>
      <c r="G194" s="34">
        <v>0.18817720575295216</v>
      </c>
    </row>
    <row r="195" spans="1:7" x14ac:dyDescent="0.3">
      <c r="A195" s="34">
        <v>194</v>
      </c>
      <c r="B195" s="34">
        <v>758</v>
      </c>
      <c r="C195" s="34">
        <v>15</v>
      </c>
      <c r="D195" s="34">
        <v>1271</v>
      </c>
      <c r="E195" s="34">
        <v>39</v>
      </c>
      <c r="F195" s="34" t="s">
        <v>55</v>
      </c>
      <c r="G195" s="34">
        <v>0.18930972225762577</v>
      </c>
    </row>
    <row r="196" spans="1:7" x14ac:dyDescent="0.3">
      <c r="A196" s="34">
        <v>195</v>
      </c>
      <c r="B196" s="34">
        <v>369</v>
      </c>
      <c r="C196" s="34">
        <v>36</v>
      </c>
      <c r="D196" s="34">
        <v>3446</v>
      </c>
      <c r="E196" s="34">
        <v>42</v>
      </c>
      <c r="F196" s="34" t="s">
        <v>55</v>
      </c>
      <c r="G196" s="34">
        <v>0.19017789593136569</v>
      </c>
    </row>
    <row r="197" spans="1:7" x14ac:dyDescent="0.3">
      <c r="A197" s="34">
        <v>196</v>
      </c>
      <c r="B197" s="34">
        <v>200</v>
      </c>
      <c r="C197" s="34">
        <v>18</v>
      </c>
      <c r="D197" s="34">
        <v>4297</v>
      </c>
      <c r="E197" s="34">
        <v>40</v>
      </c>
      <c r="F197" s="34" t="s">
        <v>55</v>
      </c>
      <c r="G197" s="34">
        <v>0.19078011676225082</v>
      </c>
    </row>
    <row r="198" spans="1:7" x14ac:dyDescent="0.3">
      <c r="A198" s="34">
        <v>197</v>
      </c>
      <c r="B198" s="34">
        <v>240</v>
      </c>
      <c r="C198" s="34">
        <v>30</v>
      </c>
      <c r="D198" s="34">
        <v>2522</v>
      </c>
      <c r="E198" s="34">
        <v>39</v>
      </c>
      <c r="F198" s="34" t="s">
        <v>54</v>
      </c>
      <c r="G198" s="34">
        <v>0.19277764070461256</v>
      </c>
    </row>
    <row r="199" spans="1:7" x14ac:dyDescent="0.3">
      <c r="A199" s="34">
        <v>198</v>
      </c>
      <c r="B199" s="34">
        <v>822</v>
      </c>
      <c r="C199" s="34">
        <v>12</v>
      </c>
      <c r="D199" s="34">
        <v>3016</v>
      </c>
      <c r="E199" s="34">
        <v>24</v>
      </c>
      <c r="F199" s="34" t="s">
        <v>54</v>
      </c>
      <c r="G199" s="34">
        <v>0.19392188566878266</v>
      </c>
    </row>
    <row r="200" spans="1:7" x14ac:dyDescent="0.3">
      <c r="A200" s="34">
        <v>199</v>
      </c>
      <c r="B200" s="34">
        <v>295</v>
      </c>
      <c r="C200" s="34">
        <v>48</v>
      </c>
      <c r="D200" s="34">
        <v>7629</v>
      </c>
      <c r="E200" s="34">
        <v>46</v>
      </c>
      <c r="F200" s="34" t="s">
        <v>54</v>
      </c>
      <c r="G200" s="34">
        <v>0.1940212086298716</v>
      </c>
    </row>
    <row r="201" spans="1:7" x14ac:dyDescent="0.3">
      <c r="A201" s="34">
        <v>200</v>
      </c>
      <c r="B201" s="34">
        <v>751</v>
      </c>
      <c r="C201" s="34">
        <v>6</v>
      </c>
      <c r="D201" s="34">
        <v>428</v>
      </c>
      <c r="E201" s="34">
        <v>49</v>
      </c>
      <c r="F201" s="34" t="s">
        <v>56</v>
      </c>
      <c r="G201" s="34">
        <v>0.19470634481055848</v>
      </c>
    </row>
    <row r="202" spans="1:7" x14ac:dyDescent="0.3">
      <c r="A202" s="34">
        <v>201</v>
      </c>
      <c r="B202" s="34">
        <v>296</v>
      </c>
      <c r="C202" s="34">
        <v>48</v>
      </c>
      <c r="D202" s="34">
        <v>9960</v>
      </c>
      <c r="E202" s="34">
        <v>26</v>
      </c>
      <c r="F202" s="34" t="s">
        <v>57</v>
      </c>
      <c r="G202" s="34">
        <v>0.19551294689609966</v>
      </c>
    </row>
    <row r="203" spans="1:7" x14ac:dyDescent="0.3">
      <c r="A203" s="34">
        <v>202</v>
      </c>
      <c r="B203" s="34">
        <v>728</v>
      </c>
      <c r="C203" s="34">
        <v>18</v>
      </c>
      <c r="D203" s="34">
        <v>1882</v>
      </c>
      <c r="E203" s="34">
        <v>25</v>
      </c>
      <c r="F203" s="34" t="s">
        <v>57</v>
      </c>
      <c r="G203" s="34">
        <v>0.19936880059059681</v>
      </c>
    </row>
    <row r="204" spans="1:7" x14ac:dyDescent="0.3">
      <c r="A204" s="34">
        <v>203</v>
      </c>
      <c r="B204" s="34">
        <v>878</v>
      </c>
      <c r="C204" s="34">
        <v>36</v>
      </c>
      <c r="D204" s="34">
        <v>3595</v>
      </c>
      <c r="E204" s="34">
        <v>28</v>
      </c>
      <c r="F204" s="34" t="s">
        <v>54</v>
      </c>
      <c r="G204" s="34">
        <v>0.20291679390979722</v>
      </c>
    </row>
    <row r="205" spans="1:7" x14ac:dyDescent="0.3">
      <c r="A205" s="34">
        <v>204</v>
      </c>
      <c r="B205" s="34">
        <v>804</v>
      </c>
      <c r="C205" s="34">
        <v>12</v>
      </c>
      <c r="D205" s="34">
        <v>976</v>
      </c>
      <c r="E205" s="34">
        <v>35</v>
      </c>
      <c r="F205" s="34" t="s">
        <v>54</v>
      </c>
      <c r="G205" s="34">
        <v>0.20364749918411018</v>
      </c>
    </row>
    <row r="206" spans="1:7" x14ac:dyDescent="0.3">
      <c r="A206" s="34">
        <v>205</v>
      </c>
      <c r="B206" s="34">
        <v>207</v>
      </c>
      <c r="C206" s="34">
        <v>12</v>
      </c>
      <c r="D206" s="34">
        <v>1935</v>
      </c>
      <c r="E206" s="34">
        <v>43</v>
      </c>
      <c r="F206" s="34" t="s">
        <v>54</v>
      </c>
      <c r="G206" s="34">
        <v>0.20445868085606633</v>
      </c>
    </row>
    <row r="207" spans="1:7" x14ac:dyDescent="0.3">
      <c r="A207" s="34">
        <v>206</v>
      </c>
      <c r="B207" s="34">
        <v>515</v>
      </c>
      <c r="C207" s="34">
        <v>24</v>
      </c>
      <c r="D207" s="34">
        <v>2255</v>
      </c>
      <c r="E207" s="34">
        <v>54</v>
      </c>
      <c r="F207" s="34" t="s">
        <v>54</v>
      </c>
      <c r="G207" s="34">
        <v>0.20460685021398528</v>
      </c>
    </row>
    <row r="208" spans="1:7" x14ac:dyDescent="0.3">
      <c r="A208" s="34">
        <v>207</v>
      </c>
      <c r="B208" s="34">
        <v>599</v>
      </c>
      <c r="C208" s="34">
        <v>18</v>
      </c>
      <c r="D208" s="34">
        <v>2775</v>
      </c>
      <c r="E208" s="34">
        <v>31</v>
      </c>
      <c r="F208" s="34" t="s">
        <v>55</v>
      </c>
      <c r="G208" s="34">
        <v>0.20494614300394598</v>
      </c>
    </row>
    <row r="209" spans="1:7" x14ac:dyDescent="0.3">
      <c r="A209" s="34">
        <v>208</v>
      </c>
      <c r="B209" s="34">
        <v>805</v>
      </c>
      <c r="C209" s="34">
        <v>12</v>
      </c>
      <c r="D209" s="34">
        <v>7472</v>
      </c>
      <c r="E209" s="34">
        <v>24</v>
      </c>
      <c r="F209" s="34" t="s">
        <v>56</v>
      </c>
      <c r="G209" s="34">
        <v>0.20536542934410862</v>
      </c>
    </row>
    <row r="210" spans="1:7" x14ac:dyDescent="0.3">
      <c r="A210" s="34">
        <v>209</v>
      </c>
      <c r="B210" s="34">
        <v>950</v>
      </c>
      <c r="C210" s="34">
        <v>24</v>
      </c>
      <c r="D210" s="34">
        <v>3621</v>
      </c>
      <c r="E210" s="34">
        <v>31</v>
      </c>
      <c r="F210" s="34" t="s">
        <v>55</v>
      </c>
      <c r="G210" s="34">
        <v>0.20617500466493288</v>
      </c>
    </row>
    <row r="211" spans="1:7" x14ac:dyDescent="0.3">
      <c r="A211" s="34">
        <v>210</v>
      </c>
      <c r="B211" s="34">
        <v>22</v>
      </c>
      <c r="C211" s="34">
        <v>6</v>
      </c>
      <c r="D211" s="34">
        <v>2647</v>
      </c>
      <c r="E211" s="34">
        <v>44</v>
      </c>
      <c r="F211" s="34" t="s">
        <v>54</v>
      </c>
      <c r="G211" s="34">
        <v>0.20631895556769941</v>
      </c>
    </row>
    <row r="212" spans="1:7" x14ac:dyDescent="0.3">
      <c r="A212" s="34">
        <v>211</v>
      </c>
      <c r="B212" s="34">
        <v>184</v>
      </c>
      <c r="C212" s="34">
        <v>24</v>
      </c>
      <c r="D212" s="34">
        <v>3777</v>
      </c>
      <c r="E212" s="34">
        <v>50</v>
      </c>
      <c r="F212" s="34" t="s">
        <v>54</v>
      </c>
      <c r="G212" s="34">
        <v>0.21002479392922913</v>
      </c>
    </row>
    <row r="213" spans="1:7" x14ac:dyDescent="0.3">
      <c r="A213" s="34">
        <v>212</v>
      </c>
      <c r="B213" s="34">
        <v>333</v>
      </c>
      <c r="C213" s="34">
        <v>60</v>
      </c>
      <c r="D213" s="34">
        <v>7408</v>
      </c>
      <c r="E213" s="34">
        <v>24</v>
      </c>
      <c r="F213" s="34" t="s">
        <v>57</v>
      </c>
      <c r="G213" s="34">
        <v>0.2106727735576891</v>
      </c>
    </row>
    <row r="214" spans="1:7" x14ac:dyDescent="0.3">
      <c r="A214" s="34">
        <v>213</v>
      </c>
      <c r="B214" s="34">
        <v>185</v>
      </c>
      <c r="C214" s="34">
        <v>18</v>
      </c>
      <c r="D214" s="34">
        <v>884</v>
      </c>
      <c r="E214" s="34">
        <v>36</v>
      </c>
      <c r="F214" s="34" t="s">
        <v>55</v>
      </c>
      <c r="G214" s="34">
        <v>0.21394591596404056</v>
      </c>
    </row>
    <row r="215" spans="1:7" x14ac:dyDescent="0.3">
      <c r="A215" s="34">
        <v>214</v>
      </c>
      <c r="B215" s="34">
        <v>854</v>
      </c>
      <c r="C215" s="34">
        <v>18</v>
      </c>
      <c r="D215" s="34">
        <v>1442</v>
      </c>
      <c r="E215" s="34">
        <v>32</v>
      </c>
      <c r="F215" s="34" t="s">
        <v>55</v>
      </c>
      <c r="G215" s="34">
        <v>0.21414847544151427</v>
      </c>
    </row>
    <row r="216" spans="1:7" x14ac:dyDescent="0.3">
      <c r="A216" s="34">
        <v>215</v>
      </c>
      <c r="B216" s="34">
        <v>945</v>
      </c>
      <c r="C216" s="34">
        <v>15</v>
      </c>
      <c r="D216" s="34">
        <v>1845</v>
      </c>
      <c r="E216" s="34">
        <v>46</v>
      </c>
      <c r="F216" s="34" t="s">
        <v>56</v>
      </c>
      <c r="G216" s="34">
        <v>0.21431281264513202</v>
      </c>
    </row>
    <row r="217" spans="1:7" x14ac:dyDescent="0.3">
      <c r="A217" s="34">
        <v>216</v>
      </c>
      <c r="B217" s="34">
        <v>890</v>
      </c>
      <c r="C217" s="34">
        <v>28</v>
      </c>
      <c r="D217" s="34">
        <v>7824</v>
      </c>
      <c r="E217" s="34">
        <v>40</v>
      </c>
      <c r="F217" s="34" t="s">
        <v>54</v>
      </c>
      <c r="G217" s="34">
        <v>0.21818726363935004</v>
      </c>
    </row>
    <row r="218" spans="1:7" x14ac:dyDescent="0.3">
      <c r="A218" s="34">
        <v>217</v>
      </c>
      <c r="B218" s="34">
        <v>552</v>
      </c>
      <c r="C218" s="34">
        <v>6</v>
      </c>
      <c r="D218" s="34">
        <v>1750</v>
      </c>
      <c r="E218" s="34">
        <v>45</v>
      </c>
      <c r="F218" s="34" t="s">
        <v>54</v>
      </c>
      <c r="G218" s="34">
        <v>0.21926561668994615</v>
      </c>
    </row>
    <row r="219" spans="1:7" x14ac:dyDescent="0.3">
      <c r="A219" s="34">
        <v>218</v>
      </c>
      <c r="B219" s="34">
        <v>520</v>
      </c>
      <c r="C219" s="34">
        <v>6</v>
      </c>
      <c r="D219" s="34">
        <v>700</v>
      </c>
      <c r="E219" s="34">
        <v>36</v>
      </c>
      <c r="F219" s="34" t="s">
        <v>54</v>
      </c>
      <c r="G219" s="34">
        <v>0.21994870474242301</v>
      </c>
    </row>
    <row r="220" spans="1:7" x14ac:dyDescent="0.3">
      <c r="A220" s="34">
        <v>219</v>
      </c>
      <c r="B220" s="34">
        <v>842</v>
      </c>
      <c r="C220" s="34">
        <v>21</v>
      </c>
      <c r="D220" s="34">
        <v>2993</v>
      </c>
      <c r="E220" s="34">
        <v>28</v>
      </c>
      <c r="F220" s="34" t="s">
        <v>54</v>
      </c>
      <c r="G220" s="34">
        <v>0.22004293544856057</v>
      </c>
    </row>
    <row r="221" spans="1:7" x14ac:dyDescent="0.3">
      <c r="A221" s="34">
        <v>220</v>
      </c>
      <c r="B221" s="34">
        <v>282</v>
      </c>
      <c r="C221" s="34">
        <v>12</v>
      </c>
      <c r="D221" s="34">
        <v>1574</v>
      </c>
      <c r="E221" s="34">
        <v>50</v>
      </c>
      <c r="F221" s="34" t="s">
        <v>54</v>
      </c>
      <c r="G221" s="34">
        <v>0.22411751360220633</v>
      </c>
    </row>
    <row r="222" spans="1:7" x14ac:dyDescent="0.3">
      <c r="A222" s="34">
        <v>221</v>
      </c>
      <c r="B222" s="34">
        <v>680</v>
      </c>
      <c r="C222" s="34">
        <v>18</v>
      </c>
      <c r="D222" s="34">
        <v>1453</v>
      </c>
      <c r="E222" s="34">
        <v>26</v>
      </c>
      <c r="F222" s="34" t="s">
        <v>56</v>
      </c>
      <c r="G222" s="34">
        <v>0.22439897909137785</v>
      </c>
    </row>
    <row r="223" spans="1:7" x14ac:dyDescent="0.3">
      <c r="A223" s="34">
        <v>222</v>
      </c>
      <c r="B223" s="34">
        <v>348</v>
      </c>
      <c r="C223" s="34">
        <v>24</v>
      </c>
      <c r="D223" s="34">
        <v>3758</v>
      </c>
      <c r="E223" s="34">
        <v>23</v>
      </c>
      <c r="F223" s="34" t="s">
        <v>56</v>
      </c>
      <c r="G223" s="34">
        <v>0.22532943138341788</v>
      </c>
    </row>
    <row r="224" spans="1:7" x14ac:dyDescent="0.3">
      <c r="A224" s="34">
        <v>223</v>
      </c>
      <c r="B224" s="34">
        <v>752</v>
      </c>
      <c r="C224" s="34">
        <v>18</v>
      </c>
      <c r="D224" s="34">
        <v>976</v>
      </c>
      <c r="E224" s="34">
        <v>23</v>
      </c>
      <c r="F224" s="34" t="s">
        <v>57</v>
      </c>
      <c r="G224" s="34">
        <v>0.22678916588817155</v>
      </c>
    </row>
    <row r="225" spans="1:7" x14ac:dyDescent="0.3">
      <c r="A225" s="34">
        <v>224</v>
      </c>
      <c r="B225" s="34">
        <v>746</v>
      </c>
      <c r="C225" s="34">
        <v>13</v>
      </c>
      <c r="D225" s="34">
        <v>1797</v>
      </c>
      <c r="E225" s="34">
        <v>28</v>
      </c>
      <c r="F225" s="34" t="s">
        <v>54</v>
      </c>
      <c r="G225" s="34">
        <v>0.22704069622649714</v>
      </c>
    </row>
    <row r="226" spans="1:7" x14ac:dyDescent="0.3">
      <c r="A226" s="34">
        <v>225</v>
      </c>
      <c r="B226" s="34">
        <v>510</v>
      </c>
      <c r="C226" s="34">
        <v>39</v>
      </c>
      <c r="D226" s="34">
        <v>8588</v>
      </c>
      <c r="E226" s="34">
        <v>45</v>
      </c>
      <c r="F226" s="34" t="s">
        <v>54</v>
      </c>
      <c r="G226" s="34">
        <v>0.22743826555853186</v>
      </c>
    </row>
    <row r="227" spans="1:7" x14ac:dyDescent="0.3">
      <c r="A227" s="34">
        <v>226</v>
      </c>
      <c r="B227" s="34">
        <v>658</v>
      </c>
      <c r="C227" s="34">
        <v>48</v>
      </c>
      <c r="D227" s="34">
        <v>10222</v>
      </c>
      <c r="E227" s="34">
        <v>37</v>
      </c>
      <c r="F227" s="34" t="s">
        <v>54</v>
      </c>
      <c r="G227" s="34">
        <v>0.22802158569208042</v>
      </c>
    </row>
    <row r="228" spans="1:7" x14ac:dyDescent="0.3">
      <c r="A228" s="34">
        <v>227</v>
      </c>
      <c r="B228" s="34">
        <v>901</v>
      </c>
      <c r="C228" s="34">
        <v>16</v>
      </c>
      <c r="D228" s="34">
        <v>2625</v>
      </c>
      <c r="E228" s="34">
        <v>43</v>
      </c>
      <c r="F228" s="34" t="s">
        <v>55</v>
      </c>
      <c r="G228" s="34">
        <v>0.22844877963254417</v>
      </c>
    </row>
    <row r="229" spans="1:7" x14ac:dyDescent="0.3">
      <c r="A229" s="34">
        <v>228</v>
      </c>
      <c r="B229" s="34">
        <v>538</v>
      </c>
      <c r="C229" s="34">
        <v>18</v>
      </c>
      <c r="D229" s="34">
        <v>3612</v>
      </c>
      <c r="E229" s="34">
        <v>37</v>
      </c>
      <c r="F229" s="34" t="s">
        <v>56</v>
      </c>
      <c r="G229" s="34">
        <v>0.22979780833418995</v>
      </c>
    </row>
    <row r="230" spans="1:7" x14ac:dyDescent="0.3">
      <c r="A230" s="34">
        <v>229</v>
      </c>
      <c r="B230" s="34">
        <v>86</v>
      </c>
      <c r="C230" s="34">
        <v>12</v>
      </c>
      <c r="D230" s="34">
        <v>1412</v>
      </c>
      <c r="E230" s="34">
        <v>29</v>
      </c>
      <c r="F230" s="34" t="s">
        <v>56</v>
      </c>
      <c r="G230" s="34">
        <v>0.23204746384579977</v>
      </c>
    </row>
    <row r="231" spans="1:7" x14ac:dyDescent="0.3">
      <c r="A231" s="34">
        <v>230</v>
      </c>
      <c r="B231" s="34">
        <v>505</v>
      </c>
      <c r="C231" s="34">
        <v>24</v>
      </c>
      <c r="D231" s="34">
        <v>1207</v>
      </c>
      <c r="E231" s="34">
        <v>24</v>
      </c>
      <c r="F231" s="34" t="s">
        <v>57</v>
      </c>
      <c r="G231" s="34">
        <v>0.2353308289285998</v>
      </c>
    </row>
    <row r="232" spans="1:7" x14ac:dyDescent="0.3">
      <c r="A232" s="34">
        <v>231</v>
      </c>
      <c r="B232" s="34">
        <v>468</v>
      </c>
      <c r="C232" s="34">
        <v>48</v>
      </c>
      <c r="D232" s="34">
        <v>7238</v>
      </c>
      <c r="E232" s="34">
        <v>32</v>
      </c>
      <c r="F232" s="34" t="s">
        <v>54</v>
      </c>
      <c r="G232" s="34">
        <v>0.23579479453869368</v>
      </c>
    </row>
    <row r="233" spans="1:7" x14ac:dyDescent="0.3">
      <c r="A233" s="34">
        <v>232</v>
      </c>
      <c r="B233" s="34">
        <v>480</v>
      </c>
      <c r="C233" s="34">
        <v>15</v>
      </c>
      <c r="D233" s="34">
        <v>1478</v>
      </c>
      <c r="E233" s="34">
        <v>44</v>
      </c>
      <c r="F233" s="34" t="s">
        <v>54</v>
      </c>
      <c r="G233" s="34">
        <v>0.23604710422677988</v>
      </c>
    </row>
    <row r="234" spans="1:7" x14ac:dyDescent="0.3">
      <c r="A234" s="34">
        <v>233</v>
      </c>
      <c r="B234" s="34">
        <v>701</v>
      </c>
      <c r="C234" s="34">
        <v>12</v>
      </c>
      <c r="D234" s="34">
        <v>1123</v>
      </c>
      <c r="E234" s="34">
        <v>29</v>
      </c>
      <c r="F234" s="34" t="s">
        <v>57</v>
      </c>
      <c r="G234" s="34">
        <v>0.2396735343722719</v>
      </c>
    </row>
    <row r="235" spans="1:7" x14ac:dyDescent="0.3">
      <c r="A235" s="34">
        <v>234</v>
      </c>
      <c r="B235" s="34">
        <v>367</v>
      </c>
      <c r="C235" s="34">
        <v>18</v>
      </c>
      <c r="D235" s="34">
        <v>3850</v>
      </c>
      <c r="E235" s="34">
        <v>27</v>
      </c>
      <c r="F235" s="34" t="s">
        <v>54</v>
      </c>
      <c r="G235" s="34">
        <v>0.23977164914747739</v>
      </c>
    </row>
    <row r="236" spans="1:7" x14ac:dyDescent="0.3">
      <c r="A236" s="34">
        <v>235</v>
      </c>
      <c r="B236" s="34">
        <v>924</v>
      </c>
      <c r="C236" s="34">
        <v>12</v>
      </c>
      <c r="D236" s="34">
        <v>2002</v>
      </c>
      <c r="E236" s="34">
        <v>30</v>
      </c>
      <c r="F236" s="34" t="s">
        <v>54</v>
      </c>
      <c r="G236" s="34">
        <v>0.24098240959710593</v>
      </c>
    </row>
    <row r="237" spans="1:7" x14ac:dyDescent="0.3">
      <c r="A237" s="34">
        <v>236</v>
      </c>
      <c r="B237" s="34">
        <v>241</v>
      </c>
      <c r="C237" s="34">
        <v>24</v>
      </c>
      <c r="D237" s="34">
        <v>915</v>
      </c>
      <c r="E237" s="34">
        <v>29</v>
      </c>
      <c r="F237" s="34" t="s">
        <v>57</v>
      </c>
      <c r="G237" s="34">
        <v>0.2411033908379181</v>
      </c>
    </row>
    <row r="238" spans="1:7" x14ac:dyDescent="0.3">
      <c r="A238" s="34">
        <v>237</v>
      </c>
      <c r="B238" s="34">
        <v>498</v>
      </c>
      <c r="C238" s="34">
        <v>24</v>
      </c>
      <c r="D238" s="34">
        <v>1585</v>
      </c>
      <c r="E238" s="34">
        <v>40</v>
      </c>
      <c r="F238" s="34" t="s">
        <v>54</v>
      </c>
      <c r="G238" s="34">
        <v>0.24188584957034998</v>
      </c>
    </row>
    <row r="239" spans="1:7" x14ac:dyDescent="0.3">
      <c r="A239" s="34">
        <v>238</v>
      </c>
      <c r="B239" s="34">
        <v>578</v>
      </c>
      <c r="C239" s="34">
        <v>24</v>
      </c>
      <c r="D239" s="34">
        <v>1927</v>
      </c>
      <c r="E239" s="34">
        <v>33</v>
      </c>
      <c r="F239" s="34" t="s">
        <v>56</v>
      </c>
      <c r="G239" s="34">
        <v>0.24220547058876418</v>
      </c>
    </row>
    <row r="240" spans="1:7" x14ac:dyDescent="0.3">
      <c r="A240" s="34">
        <v>239</v>
      </c>
      <c r="B240" s="34">
        <v>534</v>
      </c>
      <c r="C240" s="34">
        <v>24</v>
      </c>
      <c r="D240" s="34">
        <v>1311</v>
      </c>
      <c r="E240" s="34">
        <v>26</v>
      </c>
      <c r="F240" s="34" t="s">
        <v>54</v>
      </c>
      <c r="G240" s="34">
        <v>0.2428826636874688</v>
      </c>
    </row>
    <row r="241" spans="1:7" x14ac:dyDescent="0.3">
      <c r="A241" s="34">
        <v>240</v>
      </c>
      <c r="B241" s="34">
        <v>943</v>
      </c>
      <c r="C241" s="34">
        <v>24</v>
      </c>
      <c r="D241" s="34">
        <v>929</v>
      </c>
      <c r="E241" s="34">
        <v>31</v>
      </c>
      <c r="F241" s="34" t="s">
        <v>54</v>
      </c>
      <c r="G241" s="34">
        <v>0.24301830035100713</v>
      </c>
    </row>
    <row r="242" spans="1:7" x14ac:dyDescent="0.3">
      <c r="A242" s="34">
        <v>241</v>
      </c>
      <c r="B242" s="34">
        <v>635</v>
      </c>
      <c r="C242" s="34">
        <v>24</v>
      </c>
      <c r="D242" s="34">
        <v>1355</v>
      </c>
      <c r="E242" s="34">
        <v>25</v>
      </c>
      <c r="F242" s="34" t="s">
        <v>57</v>
      </c>
      <c r="G242" s="34">
        <v>0.24356408437344157</v>
      </c>
    </row>
    <row r="243" spans="1:7" x14ac:dyDescent="0.3">
      <c r="A243" s="34">
        <v>242</v>
      </c>
      <c r="B243" s="34">
        <v>634</v>
      </c>
      <c r="C243" s="34">
        <v>9</v>
      </c>
      <c r="D243" s="34">
        <v>1980</v>
      </c>
      <c r="E243" s="34">
        <v>19</v>
      </c>
      <c r="F243" s="34" t="s">
        <v>57</v>
      </c>
      <c r="G243" s="34">
        <v>0.24453007164694607</v>
      </c>
    </row>
    <row r="244" spans="1:7" x14ac:dyDescent="0.3">
      <c r="A244" s="34">
        <v>243</v>
      </c>
      <c r="B244" s="34">
        <v>517</v>
      </c>
      <c r="C244" s="34">
        <v>6</v>
      </c>
      <c r="D244" s="34">
        <v>1361</v>
      </c>
      <c r="E244" s="34">
        <v>40</v>
      </c>
      <c r="F244" s="34" t="s">
        <v>54</v>
      </c>
      <c r="G244" s="34">
        <v>0.24455550501188561</v>
      </c>
    </row>
    <row r="245" spans="1:7" x14ac:dyDescent="0.3">
      <c r="A245" s="34">
        <v>244</v>
      </c>
      <c r="B245" s="34">
        <v>766</v>
      </c>
      <c r="C245" s="34">
        <v>12</v>
      </c>
      <c r="D245" s="34">
        <v>1155</v>
      </c>
      <c r="E245" s="34">
        <v>40</v>
      </c>
      <c r="F245" s="34" t="s">
        <v>54</v>
      </c>
      <c r="G245" s="34">
        <v>0.24540589499504484</v>
      </c>
    </row>
    <row r="246" spans="1:7" x14ac:dyDescent="0.3">
      <c r="A246" s="34">
        <v>245</v>
      </c>
      <c r="B246" s="34">
        <v>712</v>
      </c>
      <c r="C246" s="34">
        <v>6</v>
      </c>
      <c r="D246" s="34">
        <v>1198</v>
      </c>
      <c r="E246" s="34">
        <v>35</v>
      </c>
      <c r="F246" s="34" t="s">
        <v>57</v>
      </c>
      <c r="G246" s="34">
        <v>0.24896613660783506</v>
      </c>
    </row>
    <row r="247" spans="1:7" x14ac:dyDescent="0.3">
      <c r="A247" s="34">
        <v>246</v>
      </c>
      <c r="B247" s="34">
        <v>148</v>
      </c>
      <c r="C247" s="34">
        <v>12</v>
      </c>
      <c r="D247" s="34">
        <v>682</v>
      </c>
      <c r="E247" s="34">
        <v>51</v>
      </c>
      <c r="F247" s="34" t="s">
        <v>56</v>
      </c>
      <c r="G247" s="34">
        <v>0.25126762267234015</v>
      </c>
    </row>
    <row r="248" spans="1:7" x14ac:dyDescent="0.3">
      <c r="A248" s="34">
        <v>247</v>
      </c>
      <c r="B248" s="34">
        <v>374</v>
      </c>
      <c r="C248" s="34">
        <v>60</v>
      </c>
      <c r="D248" s="34">
        <v>13756</v>
      </c>
      <c r="E248" s="34">
        <v>63</v>
      </c>
      <c r="F248" s="34" t="s">
        <v>54</v>
      </c>
      <c r="G248" s="34">
        <v>0.25197244063545854</v>
      </c>
    </row>
    <row r="249" spans="1:7" x14ac:dyDescent="0.3">
      <c r="A249" s="34">
        <v>248</v>
      </c>
      <c r="B249" s="34">
        <v>603</v>
      </c>
      <c r="C249" s="34">
        <v>24</v>
      </c>
      <c r="D249" s="34">
        <v>1837</v>
      </c>
      <c r="E249" s="34">
        <v>34</v>
      </c>
      <c r="F249" s="34" t="s">
        <v>57</v>
      </c>
      <c r="G249" s="34">
        <v>0.25319914113395903</v>
      </c>
    </row>
    <row r="250" spans="1:7" x14ac:dyDescent="0.3">
      <c r="A250" s="34">
        <v>249</v>
      </c>
      <c r="B250" s="34">
        <v>306</v>
      </c>
      <c r="C250" s="34">
        <v>6</v>
      </c>
      <c r="D250" s="34">
        <v>1543</v>
      </c>
      <c r="E250" s="34">
        <v>33</v>
      </c>
      <c r="F250" s="34" t="s">
        <v>54</v>
      </c>
      <c r="G250" s="34">
        <v>0.25357876412178904</v>
      </c>
    </row>
    <row r="251" spans="1:7" x14ac:dyDescent="0.3">
      <c r="A251" s="34">
        <v>250</v>
      </c>
      <c r="B251" s="34">
        <v>470</v>
      </c>
      <c r="C251" s="34">
        <v>24</v>
      </c>
      <c r="D251" s="34">
        <v>4679</v>
      </c>
      <c r="E251" s="34">
        <v>35</v>
      </c>
      <c r="F251" s="34" t="s">
        <v>54</v>
      </c>
      <c r="G251" s="34">
        <v>0.25370814071678316</v>
      </c>
    </row>
    <row r="252" spans="1:7" x14ac:dyDescent="0.3">
      <c r="A252" s="34">
        <v>251</v>
      </c>
      <c r="B252" s="34">
        <v>721</v>
      </c>
      <c r="C252" s="34">
        <v>9</v>
      </c>
      <c r="D252" s="34">
        <v>1337</v>
      </c>
      <c r="E252" s="34">
        <v>34</v>
      </c>
      <c r="F252" s="34" t="s">
        <v>55</v>
      </c>
      <c r="G252" s="34">
        <v>0.25434511536687265</v>
      </c>
    </row>
    <row r="253" spans="1:7" x14ac:dyDescent="0.3">
      <c r="A253" s="34">
        <v>252</v>
      </c>
      <c r="B253" s="34">
        <v>175</v>
      </c>
      <c r="C253" s="34">
        <v>21</v>
      </c>
      <c r="D253" s="34">
        <v>3414</v>
      </c>
      <c r="E253" s="34">
        <v>26</v>
      </c>
      <c r="F253" s="34" t="s">
        <v>55</v>
      </c>
      <c r="G253" s="34">
        <v>0.25469603327958212</v>
      </c>
    </row>
    <row r="254" spans="1:7" x14ac:dyDescent="0.3">
      <c r="A254" s="34">
        <v>253</v>
      </c>
      <c r="B254" s="34">
        <v>84</v>
      </c>
      <c r="C254" s="34">
        <v>24</v>
      </c>
      <c r="D254" s="34">
        <v>1755</v>
      </c>
      <c r="E254" s="34">
        <v>58</v>
      </c>
      <c r="F254" s="34" t="s">
        <v>56</v>
      </c>
      <c r="G254" s="34">
        <v>0.25837662525886218</v>
      </c>
    </row>
    <row r="255" spans="1:7" x14ac:dyDescent="0.3">
      <c r="A255" s="34">
        <v>254</v>
      </c>
      <c r="B255" s="34">
        <v>237</v>
      </c>
      <c r="C255" s="34">
        <v>6</v>
      </c>
      <c r="D255" s="34">
        <v>14555</v>
      </c>
      <c r="E255" s="34">
        <v>23</v>
      </c>
      <c r="F255" s="34" t="s">
        <v>55</v>
      </c>
      <c r="G255" s="34">
        <v>0.26120788507188897</v>
      </c>
    </row>
    <row r="256" spans="1:7" x14ac:dyDescent="0.3">
      <c r="A256" s="34">
        <v>255</v>
      </c>
      <c r="B256" s="34">
        <v>533</v>
      </c>
      <c r="C256" s="34">
        <v>12</v>
      </c>
      <c r="D256" s="34">
        <v>1503</v>
      </c>
      <c r="E256" s="34">
        <v>41</v>
      </c>
      <c r="F256" s="34" t="s">
        <v>54</v>
      </c>
      <c r="G256" s="34">
        <v>0.26433299949789946</v>
      </c>
    </row>
    <row r="257" spans="1:7" x14ac:dyDescent="0.3">
      <c r="A257" s="34">
        <v>256</v>
      </c>
      <c r="B257" s="34">
        <v>138</v>
      </c>
      <c r="C257" s="34">
        <v>12</v>
      </c>
      <c r="D257" s="34">
        <v>766</v>
      </c>
      <c r="E257" s="34">
        <v>66</v>
      </c>
      <c r="F257" s="34" t="s">
        <v>55</v>
      </c>
      <c r="G257" s="34">
        <v>0.26445998550264904</v>
      </c>
    </row>
    <row r="258" spans="1:7" x14ac:dyDescent="0.3">
      <c r="A258" s="34">
        <v>257</v>
      </c>
      <c r="B258" s="34">
        <v>502</v>
      </c>
      <c r="C258" s="34">
        <v>36</v>
      </c>
      <c r="D258" s="34">
        <v>5493</v>
      </c>
      <c r="E258" s="34">
        <v>42</v>
      </c>
      <c r="F258" s="34" t="s">
        <v>54</v>
      </c>
      <c r="G258" s="34">
        <v>0.2662823734496077</v>
      </c>
    </row>
    <row r="259" spans="1:7" x14ac:dyDescent="0.3">
      <c r="A259" s="34">
        <v>258</v>
      </c>
      <c r="B259" s="34">
        <v>814</v>
      </c>
      <c r="C259" s="34">
        <v>48</v>
      </c>
      <c r="D259" s="34">
        <v>3051</v>
      </c>
      <c r="E259" s="34">
        <v>54</v>
      </c>
      <c r="F259" s="34" t="s">
        <v>55</v>
      </c>
      <c r="G259" s="34">
        <v>0.26686791698433721</v>
      </c>
    </row>
    <row r="260" spans="1:7" x14ac:dyDescent="0.3">
      <c r="A260" s="34">
        <v>259</v>
      </c>
      <c r="B260" s="34">
        <v>147</v>
      </c>
      <c r="C260" s="34">
        <v>6</v>
      </c>
      <c r="D260" s="34">
        <v>860</v>
      </c>
      <c r="E260" s="34">
        <v>39</v>
      </c>
      <c r="F260" s="34" t="s">
        <v>56</v>
      </c>
      <c r="G260" s="34">
        <v>0.26717255380355809</v>
      </c>
    </row>
    <row r="261" spans="1:7" x14ac:dyDescent="0.3">
      <c r="A261" s="34">
        <v>260</v>
      </c>
      <c r="B261" s="34">
        <v>547</v>
      </c>
      <c r="C261" s="34">
        <v>24</v>
      </c>
      <c r="D261" s="34">
        <v>2022</v>
      </c>
      <c r="E261" s="34">
        <v>37</v>
      </c>
      <c r="F261" s="34" t="s">
        <v>56</v>
      </c>
      <c r="G261" s="34">
        <v>0.26845081105613844</v>
      </c>
    </row>
    <row r="262" spans="1:7" x14ac:dyDescent="0.3">
      <c r="A262" s="34">
        <v>261</v>
      </c>
      <c r="B262" s="34">
        <v>871</v>
      </c>
      <c r="C262" s="34">
        <v>36</v>
      </c>
      <c r="D262" s="34">
        <v>7678</v>
      </c>
      <c r="E262" s="34">
        <v>40</v>
      </c>
      <c r="F262" s="34" t="s">
        <v>56</v>
      </c>
      <c r="G262" s="34">
        <v>0.27129301625286661</v>
      </c>
    </row>
    <row r="263" spans="1:7" x14ac:dyDescent="0.3">
      <c r="A263" s="34">
        <v>262</v>
      </c>
      <c r="B263" s="34">
        <v>756</v>
      </c>
      <c r="C263" s="34">
        <v>24</v>
      </c>
      <c r="D263" s="34">
        <v>1285</v>
      </c>
      <c r="E263" s="34">
        <v>32</v>
      </c>
      <c r="F263" s="34" t="s">
        <v>57</v>
      </c>
      <c r="G263" s="34">
        <v>0.27131106278674133</v>
      </c>
    </row>
    <row r="264" spans="1:7" x14ac:dyDescent="0.3">
      <c r="A264" s="34">
        <v>263</v>
      </c>
      <c r="B264" s="34">
        <v>229</v>
      </c>
      <c r="C264" s="34">
        <v>9</v>
      </c>
      <c r="D264" s="34">
        <v>1478</v>
      </c>
      <c r="E264" s="34">
        <v>22</v>
      </c>
      <c r="F264" s="34" t="s">
        <v>55</v>
      </c>
      <c r="G264" s="34">
        <v>0.27167137205342717</v>
      </c>
    </row>
    <row r="265" spans="1:7" x14ac:dyDescent="0.3">
      <c r="A265" s="34">
        <v>264</v>
      </c>
      <c r="B265" s="34">
        <v>507</v>
      </c>
      <c r="C265" s="34">
        <v>15</v>
      </c>
      <c r="D265" s="34">
        <v>2360</v>
      </c>
      <c r="E265" s="34">
        <v>36</v>
      </c>
      <c r="F265" s="34" t="s">
        <v>54</v>
      </c>
      <c r="G265" s="34">
        <v>0.27208499115366303</v>
      </c>
    </row>
    <row r="266" spans="1:7" x14ac:dyDescent="0.3">
      <c r="A266" s="34">
        <v>265</v>
      </c>
      <c r="B266" s="34">
        <v>404</v>
      </c>
      <c r="C266" s="34">
        <v>14</v>
      </c>
      <c r="D266" s="34">
        <v>802</v>
      </c>
      <c r="E266" s="34">
        <v>27</v>
      </c>
      <c r="F266" s="34" t="s">
        <v>54</v>
      </c>
      <c r="G266" s="34">
        <v>0.27239269452878456</v>
      </c>
    </row>
    <row r="267" spans="1:7" x14ac:dyDescent="0.3">
      <c r="A267" s="34">
        <v>266</v>
      </c>
      <c r="B267" s="34">
        <v>127</v>
      </c>
      <c r="C267" s="34">
        <v>12</v>
      </c>
      <c r="D267" s="34">
        <v>701</v>
      </c>
      <c r="E267" s="34">
        <v>40</v>
      </c>
      <c r="F267" s="34" t="s">
        <v>54</v>
      </c>
      <c r="G267" s="34">
        <v>0.27272483335655184</v>
      </c>
    </row>
    <row r="268" spans="1:7" x14ac:dyDescent="0.3">
      <c r="A268" s="34">
        <v>267</v>
      </c>
      <c r="B268" s="34">
        <v>16</v>
      </c>
      <c r="C268" s="34">
        <v>24</v>
      </c>
      <c r="D268" s="34">
        <v>1282</v>
      </c>
      <c r="E268" s="34">
        <v>32</v>
      </c>
      <c r="F268" s="34" t="s">
        <v>57</v>
      </c>
      <c r="G268" s="34">
        <v>0.27292080122184925</v>
      </c>
    </row>
    <row r="269" spans="1:7" x14ac:dyDescent="0.3">
      <c r="A269" s="34">
        <v>268</v>
      </c>
      <c r="B269" s="34">
        <v>164</v>
      </c>
      <c r="C269" s="34">
        <v>10</v>
      </c>
      <c r="D269" s="34">
        <v>7308</v>
      </c>
      <c r="E269" s="34">
        <v>70</v>
      </c>
      <c r="F269" s="34" t="s">
        <v>54</v>
      </c>
      <c r="G269" s="34">
        <v>0.27295015754942731</v>
      </c>
    </row>
    <row r="270" spans="1:7" x14ac:dyDescent="0.3">
      <c r="A270" s="34">
        <v>269</v>
      </c>
      <c r="B270" s="34">
        <v>370</v>
      </c>
      <c r="C270" s="34">
        <v>18</v>
      </c>
      <c r="D270" s="34">
        <v>3001</v>
      </c>
      <c r="E270" s="34">
        <v>40</v>
      </c>
      <c r="F270" s="34" t="s">
        <v>56</v>
      </c>
      <c r="G270" s="34">
        <v>0.27332119741751593</v>
      </c>
    </row>
    <row r="271" spans="1:7" x14ac:dyDescent="0.3">
      <c r="A271" s="34">
        <v>270</v>
      </c>
      <c r="B271" s="34">
        <v>583</v>
      </c>
      <c r="C271" s="34">
        <v>9</v>
      </c>
      <c r="D271" s="34">
        <v>1388</v>
      </c>
      <c r="E271" s="34">
        <v>26</v>
      </c>
      <c r="F271" s="34" t="s">
        <v>56</v>
      </c>
      <c r="G271" s="34">
        <v>0.27448215965846134</v>
      </c>
    </row>
    <row r="272" spans="1:7" x14ac:dyDescent="0.3">
      <c r="A272" s="34">
        <v>271</v>
      </c>
      <c r="B272" s="34">
        <v>70</v>
      </c>
      <c r="C272" s="34">
        <v>36</v>
      </c>
      <c r="D272" s="34">
        <v>2394</v>
      </c>
      <c r="E272" s="34">
        <v>25</v>
      </c>
      <c r="F272" s="34" t="s">
        <v>56</v>
      </c>
      <c r="G272" s="34">
        <v>0.27849689301951264</v>
      </c>
    </row>
    <row r="273" spans="1:7" x14ac:dyDescent="0.3">
      <c r="A273" s="34">
        <v>272</v>
      </c>
      <c r="B273" s="34">
        <v>806</v>
      </c>
      <c r="C273" s="34">
        <v>36</v>
      </c>
      <c r="D273" s="34">
        <v>9271</v>
      </c>
      <c r="E273" s="34">
        <v>24</v>
      </c>
      <c r="F273" s="34" t="s">
        <v>55</v>
      </c>
      <c r="G273" s="34">
        <v>0.28247053371333741</v>
      </c>
    </row>
    <row r="274" spans="1:7" x14ac:dyDescent="0.3">
      <c r="A274" s="34">
        <v>273</v>
      </c>
      <c r="B274" s="34">
        <v>354</v>
      </c>
      <c r="C274" s="34">
        <v>12</v>
      </c>
      <c r="D274" s="34">
        <v>6199</v>
      </c>
      <c r="E274" s="34">
        <v>28</v>
      </c>
      <c r="F274" s="34" t="s">
        <v>55</v>
      </c>
      <c r="G274" s="34">
        <v>0.28315746812162301</v>
      </c>
    </row>
    <row r="275" spans="1:7" x14ac:dyDescent="0.3">
      <c r="A275" s="34">
        <v>274</v>
      </c>
      <c r="B275" s="34">
        <v>513</v>
      </c>
      <c r="C275" s="34">
        <v>15</v>
      </c>
      <c r="D275" s="34">
        <v>2687</v>
      </c>
      <c r="E275" s="34">
        <v>26</v>
      </c>
      <c r="F275" s="34" t="s">
        <v>54</v>
      </c>
      <c r="G275" s="34">
        <v>0.28459521342995997</v>
      </c>
    </row>
    <row r="276" spans="1:7" x14ac:dyDescent="0.3">
      <c r="A276" s="34">
        <v>275</v>
      </c>
      <c r="B276" s="34">
        <v>748</v>
      </c>
      <c r="C276" s="34">
        <v>12</v>
      </c>
      <c r="D276" s="34">
        <v>1274</v>
      </c>
      <c r="E276" s="34">
        <v>37</v>
      </c>
      <c r="F276" s="34" t="s">
        <v>57</v>
      </c>
      <c r="G276" s="34">
        <v>0.28524836096079353</v>
      </c>
    </row>
    <row r="277" spans="1:7" x14ac:dyDescent="0.3">
      <c r="A277" s="34">
        <v>276</v>
      </c>
      <c r="B277" s="34">
        <v>852</v>
      </c>
      <c r="C277" s="34">
        <v>24</v>
      </c>
      <c r="D277" s="34">
        <v>4042</v>
      </c>
      <c r="E277" s="34">
        <v>43</v>
      </c>
      <c r="F277" s="34" t="s">
        <v>54</v>
      </c>
      <c r="G277" s="34">
        <v>0.2854158501533387</v>
      </c>
    </row>
    <row r="278" spans="1:7" x14ac:dyDescent="0.3">
      <c r="A278" s="34">
        <v>277</v>
      </c>
      <c r="B278" s="34">
        <v>243</v>
      </c>
      <c r="C278" s="34">
        <v>48</v>
      </c>
      <c r="D278" s="34">
        <v>4605</v>
      </c>
      <c r="E278" s="34">
        <v>24</v>
      </c>
      <c r="F278" s="34" t="s">
        <v>55</v>
      </c>
      <c r="G278" s="34">
        <v>0.28549362114808452</v>
      </c>
    </row>
    <row r="279" spans="1:7" x14ac:dyDescent="0.3">
      <c r="A279" s="34">
        <v>278</v>
      </c>
      <c r="B279" s="34">
        <v>110</v>
      </c>
      <c r="C279" s="34">
        <v>14</v>
      </c>
      <c r="D279" s="34">
        <v>1410</v>
      </c>
      <c r="E279" s="34">
        <v>35</v>
      </c>
      <c r="F279" s="34" t="s">
        <v>54</v>
      </c>
      <c r="G279" s="34">
        <v>0.28626141193552956</v>
      </c>
    </row>
    <row r="280" spans="1:7" x14ac:dyDescent="0.3">
      <c r="A280" s="34">
        <v>279</v>
      </c>
      <c r="B280" s="34">
        <v>264</v>
      </c>
      <c r="C280" s="34">
        <v>12</v>
      </c>
      <c r="D280" s="34">
        <v>2748</v>
      </c>
      <c r="E280" s="34">
        <v>57</v>
      </c>
      <c r="F280" s="34" t="s">
        <v>56</v>
      </c>
      <c r="G280" s="34">
        <v>0.2890534236937109</v>
      </c>
    </row>
    <row r="281" spans="1:7" x14ac:dyDescent="0.3">
      <c r="A281" s="34">
        <v>280</v>
      </c>
      <c r="B281" s="34">
        <v>419</v>
      </c>
      <c r="C281" s="34">
        <v>21</v>
      </c>
      <c r="D281" s="34">
        <v>2782</v>
      </c>
      <c r="E281" s="34">
        <v>31</v>
      </c>
      <c r="F281" s="34" t="s">
        <v>56</v>
      </c>
      <c r="G281" s="34">
        <v>0.28929894795360855</v>
      </c>
    </row>
    <row r="282" spans="1:7" x14ac:dyDescent="0.3">
      <c r="A282" s="34">
        <v>281</v>
      </c>
      <c r="B282" s="34">
        <v>445</v>
      </c>
      <c r="C282" s="34">
        <v>48</v>
      </c>
      <c r="D282" s="34">
        <v>5096</v>
      </c>
      <c r="E282" s="34">
        <v>30</v>
      </c>
      <c r="F282" s="34" t="s">
        <v>57</v>
      </c>
      <c r="G282" s="34">
        <v>0.28980891136874554</v>
      </c>
    </row>
    <row r="283" spans="1:7" x14ac:dyDescent="0.3">
      <c r="A283" s="34">
        <v>282</v>
      </c>
      <c r="B283" s="34">
        <v>527</v>
      </c>
      <c r="C283" s="34">
        <v>15</v>
      </c>
      <c r="D283" s="34">
        <v>1532</v>
      </c>
      <c r="E283" s="34">
        <v>31</v>
      </c>
      <c r="F283" s="34" t="s">
        <v>56</v>
      </c>
      <c r="G283" s="34">
        <v>0.29065656829400632</v>
      </c>
    </row>
    <row r="284" spans="1:7" x14ac:dyDescent="0.3">
      <c r="A284" s="34">
        <v>283</v>
      </c>
      <c r="B284" s="34">
        <v>250</v>
      </c>
      <c r="C284" s="34">
        <v>18</v>
      </c>
      <c r="D284" s="34">
        <v>433</v>
      </c>
      <c r="E284" s="34">
        <v>22</v>
      </c>
      <c r="F284" s="34" t="s">
        <v>57</v>
      </c>
      <c r="G284" s="34">
        <v>0.29262833602836169</v>
      </c>
    </row>
    <row r="285" spans="1:7" x14ac:dyDescent="0.3">
      <c r="A285" s="34">
        <v>284</v>
      </c>
      <c r="B285" s="34">
        <v>567</v>
      </c>
      <c r="C285" s="34">
        <v>12</v>
      </c>
      <c r="D285" s="34">
        <v>1372</v>
      </c>
      <c r="E285" s="34">
        <v>36</v>
      </c>
      <c r="F285" s="34" t="s">
        <v>55</v>
      </c>
      <c r="G285" s="34">
        <v>0.29285421115186216</v>
      </c>
    </row>
    <row r="286" spans="1:7" x14ac:dyDescent="0.3">
      <c r="A286" s="34">
        <v>285</v>
      </c>
      <c r="B286" s="34">
        <v>320</v>
      </c>
      <c r="C286" s="34">
        <v>15</v>
      </c>
      <c r="D286" s="34">
        <v>3643</v>
      </c>
      <c r="E286" s="34">
        <v>27</v>
      </c>
      <c r="F286" s="34" t="s">
        <v>56</v>
      </c>
      <c r="G286" s="34">
        <v>0.29476225769344877</v>
      </c>
    </row>
    <row r="287" spans="1:7" x14ac:dyDescent="0.3">
      <c r="A287" s="34">
        <v>286</v>
      </c>
      <c r="B287" s="34">
        <v>893</v>
      </c>
      <c r="C287" s="34">
        <v>12</v>
      </c>
      <c r="D287" s="34">
        <v>2171</v>
      </c>
      <c r="E287" s="34">
        <v>38</v>
      </c>
      <c r="F287" s="34" t="s">
        <v>54</v>
      </c>
      <c r="G287" s="34">
        <v>0.29544659741981638</v>
      </c>
    </row>
    <row r="288" spans="1:7" x14ac:dyDescent="0.3">
      <c r="A288" s="34">
        <v>287</v>
      </c>
      <c r="B288" s="34">
        <v>843</v>
      </c>
      <c r="C288" s="34">
        <v>18</v>
      </c>
      <c r="D288" s="34">
        <v>1943</v>
      </c>
      <c r="E288" s="34">
        <v>23</v>
      </c>
      <c r="F288" s="34" t="s">
        <v>57</v>
      </c>
      <c r="G288" s="34">
        <v>0.29619644298992809</v>
      </c>
    </row>
    <row r="289" spans="1:7" x14ac:dyDescent="0.3">
      <c r="A289" s="34">
        <v>288</v>
      </c>
      <c r="B289" s="34">
        <v>639</v>
      </c>
      <c r="C289" s="34">
        <v>12</v>
      </c>
      <c r="D289" s="34">
        <v>1493</v>
      </c>
      <c r="E289" s="34">
        <v>34</v>
      </c>
      <c r="F289" s="34" t="s">
        <v>56</v>
      </c>
      <c r="G289" s="34">
        <v>0.29712980001499734</v>
      </c>
    </row>
    <row r="290" spans="1:7" x14ac:dyDescent="0.3">
      <c r="A290" s="34">
        <v>289</v>
      </c>
      <c r="B290" s="34">
        <v>376</v>
      </c>
      <c r="C290" s="34">
        <v>48</v>
      </c>
      <c r="D290" s="34">
        <v>7685</v>
      </c>
      <c r="E290" s="34">
        <v>37</v>
      </c>
      <c r="F290" s="34" t="s">
        <v>57</v>
      </c>
      <c r="G290" s="34">
        <v>0.29775926244209772</v>
      </c>
    </row>
    <row r="291" spans="1:7" x14ac:dyDescent="0.3">
      <c r="A291" s="34">
        <v>290</v>
      </c>
      <c r="B291" s="34">
        <v>112</v>
      </c>
      <c r="C291" s="34">
        <v>15</v>
      </c>
      <c r="D291" s="34">
        <v>392</v>
      </c>
      <c r="E291" s="34">
        <v>23</v>
      </c>
      <c r="F291" s="34" t="s">
        <v>56</v>
      </c>
      <c r="G291" s="34">
        <v>0.2978011082443921</v>
      </c>
    </row>
    <row r="292" spans="1:7" x14ac:dyDescent="0.3">
      <c r="A292" s="34">
        <v>291</v>
      </c>
      <c r="B292" s="34">
        <v>625</v>
      </c>
      <c r="C292" s="34">
        <v>18</v>
      </c>
      <c r="D292" s="34">
        <v>2600</v>
      </c>
      <c r="E292" s="34">
        <v>65</v>
      </c>
      <c r="F292" s="34" t="s">
        <v>55</v>
      </c>
      <c r="G292" s="34">
        <v>0.29787385341145611</v>
      </c>
    </row>
    <row r="293" spans="1:7" x14ac:dyDescent="0.3">
      <c r="A293" s="34">
        <v>292</v>
      </c>
      <c r="B293" s="34">
        <v>705</v>
      </c>
      <c r="C293" s="34">
        <v>27</v>
      </c>
      <c r="D293" s="34">
        <v>2528</v>
      </c>
      <c r="E293" s="34">
        <v>32</v>
      </c>
      <c r="F293" s="34" t="s">
        <v>56</v>
      </c>
      <c r="G293" s="34">
        <v>0.29825373982888548</v>
      </c>
    </row>
    <row r="294" spans="1:7" x14ac:dyDescent="0.3">
      <c r="A294" s="34">
        <v>293</v>
      </c>
      <c r="B294" s="34">
        <v>908</v>
      </c>
      <c r="C294" s="34">
        <v>36</v>
      </c>
      <c r="D294" s="34">
        <v>3711</v>
      </c>
      <c r="E294" s="34">
        <v>27</v>
      </c>
      <c r="F294" s="34" t="s">
        <v>54</v>
      </c>
      <c r="G294" s="34">
        <v>0.29881323985360297</v>
      </c>
    </row>
    <row r="295" spans="1:7" x14ac:dyDescent="0.3">
      <c r="A295" s="34">
        <v>294</v>
      </c>
      <c r="B295" s="34">
        <v>487</v>
      </c>
      <c r="C295" s="34">
        <v>12</v>
      </c>
      <c r="D295" s="34">
        <v>3077</v>
      </c>
      <c r="E295" s="34">
        <v>52</v>
      </c>
      <c r="F295" s="34" t="s">
        <v>54</v>
      </c>
      <c r="G295" s="34">
        <v>0.29983837212901354</v>
      </c>
    </row>
    <row r="296" spans="1:7" x14ac:dyDescent="0.3">
      <c r="A296" s="34">
        <v>295</v>
      </c>
      <c r="B296" s="34">
        <v>771</v>
      </c>
      <c r="C296" s="34">
        <v>24</v>
      </c>
      <c r="D296" s="34">
        <v>2812</v>
      </c>
      <c r="E296" s="34">
        <v>26</v>
      </c>
      <c r="F296" s="34" t="s">
        <v>56</v>
      </c>
      <c r="G296" s="34">
        <v>0.30025766049538394</v>
      </c>
    </row>
    <row r="297" spans="1:7" x14ac:dyDescent="0.3">
      <c r="A297" s="34">
        <v>296</v>
      </c>
      <c r="B297" s="34">
        <v>281</v>
      </c>
      <c r="C297" s="34">
        <v>15</v>
      </c>
      <c r="D297" s="34">
        <v>3368</v>
      </c>
      <c r="E297" s="34">
        <v>23</v>
      </c>
      <c r="F297" s="34" t="s">
        <v>54</v>
      </c>
      <c r="G297" s="34">
        <v>0.30068634413892248</v>
      </c>
    </row>
    <row r="298" spans="1:7" x14ac:dyDescent="0.3">
      <c r="A298" s="34">
        <v>297</v>
      </c>
      <c r="B298" s="34">
        <v>867</v>
      </c>
      <c r="C298" s="34">
        <v>18</v>
      </c>
      <c r="D298" s="34">
        <v>2389</v>
      </c>
      <c r="E298" s="34">
        <v>27</v>
      </c>
      <c r="F298" s="34" t="s">
        <v>56</v>
      </c>
      <c r="G298" s="34">
        <v>0.30158292394523645</v>
      </c>
    </row>
    <row r="299" spans="1:7" x14ac:dyDescent="0.3">
      <c r="A299" s="34">
        <v>298</v>
      </c>
      <c r="B299" s="34">
        <v>485</v>
      </c>
      <c r="C299" s="34">
        <v>12</v>
      </c>
      <c r="D299" s="34">
        <v>1163</v>
      </c>
      <c r="E299" s="34">
        <v>44</v>
      </c>
      <c r="F299" s="34" t="s">
        <v>54</v>
      </c>
      <c r="G299" s="34">
        <v>0.30285072558899051</v>
      </c>
    </row>
    <row r="300" spans="1:7" x14ac:dyDescent="0.3">
      <c r="A300" s="34">
        <v>299</v>
      </c>
      <c r="B300" s="34">
        <v>326</v>
      </c>
      <c r="C300" s="34">
        <v>8</v>
      </c>
      <c r="D300" s="34">
        <v>3398</v>
      </c>
      <c r="E300" s="34">
        <v>39</v>
      </c>
      <c r="F300" s="34" t="s">
        <v>54</v>
      </c>
      <c r="G300" s="34">
        <v>0.30327427814173846</v>
      </c>
    </row>
    <row r="301" spans="1:7" x14ac:dyDescent="0.3">
      <c r="A301" s="34">
        <v>300</v>
      </c>
      <c r="B301" s="34">
        <v>782</v>
      </c>
      <c r="C301" s="34">
        <v>24</v>
      </c>
      <c r="D301" s="34">
        <v>1940</v>
      </c>
      <c r="E301" s="34">
        <v>60</v>
      </c>
      <c r="F301" s="34" t="s">
        <v>54</v>
      </c>
      <c r="G301" s="34">
        <v>0.30461008770829145</v>
      </c>
    </row>
    <row r="302" spans="1:7" x14ac:dyDescent="0.3">
      <c r="A302" s="34">
        <v>301</v>
      </c>
      <c r="B302" s="34">
        <v>429</v>
      </c>
      <c r="C302" s="34">
        <v>9</v>
      </c>
      <c r="D302" s="34">
        <v>1313</v>
      </c>
      <c r="E302" s="34">
        <v>20</v>
      </c>
      <c r="F302" s="34" t="s">
        <v>54</v>
      </c>
      <c r="G302" s="34">
        <v>0.30467242652333804</v>
      </c>
    </row>
    <row r="303" spans="1:7" x14ac:dyDescent="0.3">
      <c r="A303" s="34">
        <v>302</v>
      </c>
      <c r="B303" s="34">
        <v>50</v>
      </c>
      <c r="C303" s="34">
        <v>12</v>
      </c>
      <c r="D303" s="34">
        <v>2073</v>
      </c>
      <c r="E303" s="34">
        <v>28</v>
      </c>
      <c r="F303" s="34" t="s">
        <v>56</v>
      </c>
      <c r="G303" s="34">
        <v>0.3064732968907079</v>
      </c>
    </row>
    <row r="304" spans="1:7" x14ac:dyDescent="0.3">
      <c r="A304" s="34">
        <v>303</v>
      </c>
      <c r="B304" s="34">
        <v>491</v>
      </c>
      <c r="C304" s="34">
        <v>12</v>
      </c>
      <c r="D304" s="34">
        <v>1934</v>
      </c>
      <c r="E304" s="34">
        <v>26</v>
      </c>
      <c r="F304" s="34" t="s">
        <v>54</v>
      </c>
      <c r="G304" s="34">
        <v>0.30657610999470331</v>
      </c>
    </row>
    <row r="305" spans="1:7" x14ac:dyDescent="0.3">
      <c r="A305" s="34">
        <v>304</v>
      </c>
      <c r="B305" s="34">
        <v>211</v>
      </c>
      <c r="C305" s="34">
        <v>9</v>
      </c>
      <c r="D305" s="34">
        <v>3074</v>
      </c>
      <c r="E305" s="34">
        <v>33</v>
      </c>
      <c r="F305" s="34" t="s">
        <v>54</v>
      </c>
      <c r="G305" s="34">
        <v>0.3075555199382487</v>
      </c>
    </row>
    <row r="306" spans="1:7" x14ac:dyDescent="0.3">
      <c r="A306" s="34">
        <v>305</v>
      </c>
      <c r="B306" s="34">
        <v>488</v>
      </c>
      <c r="C306" s="34">
        <v>24</v>
      </c>
      <c r="D306" s="34">
        <v>3757</v>
      </c>
      <c r="E306" s="34">
        <v>62</v>
      </c>
      <c r="F306" s="34" t="s">
        <v>56</v>
      </c>
      <c r="G306" s="34">
        <v>0.308965534097707</v>
      </c>
    </row>
    <row r="307" spans="1:7" x14ac:dyDescent="0.3">
      <c r="A307" s="34">
        <v>306</v>
      </c>
      <c r="B307" s="34">
        <v>362</v>
      </c>
      <c r="C307" s="34">
        <v>12</v>
      </c>
      <c r="D307" s="34">
        <v>3399</v>
      </c>
      <c r="E307" s="34">
        <v>37</v>
      </c>
      <c r="F307" s="34" t="s">
        <v>54</v>
      </c>
      <c r="G307" s="34">
        <v>0.31040698552787716</v>
      </c>
    </row>
    <row r="308" spans="1:7" x14ac:dyDescent="0.3">
      <c r="A308" s="34">
        <v>307</v>
      </c>
      <c r="B308" s="34">
        <v>186</v>
      </c>
      <c r="C308" s="34">
        <v>15</v>
      </c>
      <c r="D308" s="34">
        <v>1360</v>
      </c>
      <c r="E308" s="34">
        <v>31</v>
      </c>
      <c r="F308" s="34" t="s">
        <v>54</v>
      </c>
      <c r="G308" s="34">
        <v>0.31060549348184374</v>
      </c>
    </row>
    <row r="309" spans="1:7" x14ac:dyDescent="0.3">
      <c r="A309" s="34">
        <v>308</v>
      </c>
      <c r="B309" s="34">
        <v>816</v>
      </c>
      <c r="C309" s="34">
        <v>36</v>
      </c>
      <c r="D309" s="34">
        <v>7432</v>
      </c>
      <c r="E309" s="34">
        <v>54</v>
      </c>
      <c r="F309" s="34" t="s">
        <v>56</v>
      </c>
      <c r="G309" s="34">
        <v>0.31074899764563568</v>
      </c>
    </row>
    <row r="310" spans="1:7" x14ac:dyDescent="0.3">
      <c r="A310" s="34">
        <v>309</v>
      </c>
      <c r="B310" s="34">
        <v>475</v>
      </c>
      <c r="C310" s="34">
        <v>18</v>
      </c>
      <c r="D310" s="34">
        <v>1245</v>
      </c>
      <c r="E310" s="34">
        <v>33</v>
      </c>
      <c r="F310" s="34" t="s">
        <v>55</v>
      </c>
      <c r="G310" s="34">
        <v>0.31486475012729265</v>
      </c>
    </row>
    <row r="311" spans="1:7" x14ac:dyDescent="0.3">
      <c r="A311" s="34">
        <v>310</v>
      </c>
      <c r="B311" s="34">
        <v>489</v>
      </c>
      <c r="C311" s="34">
        <v>10</v>
      </c>
      <c r="D311" s="34">
        <v>1418</v>
      </c>
      <c r="E311" s="34">
        <v>35</v>
      </c>
      <c r="F311" s="34" t="s">
        <v>54</v>
      </c>
      <c r="G311" s="34">
        <v>0.31513517603740682</v>
      </c>
    </row>
    <row r="312" spans="1:7" x14ac:dyDescent="0.3">
      <c r="A312" s="34">
        <v>311</v>
      </c>
      <c r="B312" s="34">
        <v>511</v>
      </c>
      <c r="C312" s="34">
        <v>12</v>
      </c>
      <c r="D312" s="34">
        <v>759</v>
      </c>
      <c r="E312" s="34">
        <v>26</v>
      </c>
      <c r="F312" s="34" t="s">
        <v>55</v>
      </c>
      <c r="G312" s="34">
        <v>0.3162596173183313</v>
      </c>
    </row>
    <row r="313" spans="1:7" x14ac:dyDescent="0.3">
      <c r="A313" s="34">
        <v>312</v>
      </c>
      <c r="B313" s="34">
        <v>230</v>
      </c>
      <c r="C313" s="34">
        <v>24</v>
      </c>
      <c r="D313" s="34">
        <v>3149</v>
      </c>
      <c r="E313" s="34">
        <v>22</v>
      </c>
      <c r="F313" s="34" t="s">
        <v>54</v>
      </c>
      <c r="G313" s="34">
        <v>0.31803843476886295</v>
      </c>
    </row>
    <row r="314" spans="1:7" x14ac:dyDescent="0.3">
      <c r="A314" s="34">
        <v>313</v>
      </c>
      <c r="B314" s="34">
        <v>289</v>
      </c>
      <c r="C314" s="34">
        <v>12</v>
      </c>
      <c r="D314" s="34">
        <v>1092</v>
      </c>
      <c r="E314" s="34">
        <v>49</v>
      </c>
      <c r="F314" s="34" t="s">
        <v>56</v>
      </c>
      <c r="G314" s="34">
        <v>0.31841183317807809</v>
      </c>
    </row>
    <row r="315" spans="1:7" x14ac:dyDescent="0.3">
      <c r="A315" s="34">
        <v>314</v>
      </c>
      <c r="B315" s="34">
        <v>257</v>
      </c>
      <c r="C315" s="34">
        <v>24</v>
      </c>
      <c r="D315" s="34">
        <v>2684</v>
      </c>
      <c r="E315" s="34">
        <v>35</v>
      </c>
      <c r="F315" s="34" t="s">
        <v>54</v>
      </c>
      <c r="G315" s="34">
        <v>0.31970784065814062</v>
      </c>
    </row>
    <row r="316" spans="1:7" x14ac:dyDescent="0.3">
      <c r="A316" s="34">
        <v>315</v>
      </c>
      <c r="B316" s="34">
        <v>614</v>
      </c>
      <c r="C316" s="34">
        <v>24</v>
      </c>
      <c r="D316" s="34">
        <v>3632</v>
      </c>
      <c r="E316" s="34">
        <v>22</v>
      </c>
      <c r="F316" s="34" t="s">
        <v>56</v>
      </c>
      <c r="G316" s="34">
        <v>0.3207386906995946</v>
      </c>
    </row>
    <row r="317" spans="1:7" x14ac:dyDescent="0.3">
      <c r="A317" s="34">
        <v>316</v>
      </c>
      <c r="B317" s="34">
        <v>469</v>
      </c>
      <c r="C317" s="34">
        <v>33</v>
      </c>
      <c r="D317" s="34">
        <v>2764</v>
      </c>
      <c r="E317" s="34">
        <v>26</v>
      </c>
      <c r="F317" s="34" t="s">
        <v>56</v>
      </c>
      <c r="G317" s="34">
        <v>0.32131834683363847</v>
      </c>
    </row>
    <row r="318" spans="1:7" x14ac:dyDescent="0.3">
      <c r="A318" s="34">
        <v>317</v>
      </c>
      <c r="B318" s="34">
        <v>212</v>
      </c>
      <c r="C318" s="34">
        <v>36</v>
      </c>
      <c r="D318" s="34">
        <v>3835</v>
      </c>
      <c r="E318" s="34">
        <v>45</v>
      </c>
      <c r="F318" s="34" t="s">
        <v>56</v>
      </c>
      <c r="G318" s="34">
        <v>0.3222074004815294</v>
      </c>
    </row>
    <row r="319" spans="1:7" x14ac:dyDescent="0.3">
      <c r="A319" s="34">
        <v>318</v>
      </c>
      <c r="B319" s="34">
        <v>636</v>
      </c>
      <c r="C319" s="34">
        <v>12</v>
      </c>
      <c r="D319" s="34">
        <v>1393</v>
      </c>
      <c r="E319" s="34">
        <v>47</v>
      </c>
      <c r="F319" s="34" t="s">
        <v>54</v>
      </c>
      <c r="G319" s="34">
        <v>0.3223812966724533</v>
      </c>
    </row>
    <row r="320" spans="1:7" x14ac:dyDescent="0.3">
      <c r="A320" s="34">
        <v>319</v>
      </c>
      <c r="B320" s="34">
        <v>389</v>
      </c>
      <c r="C320" s="34">
        <v>15</v>
      </c>
      <c r="D320" s="34">
        <v>2326</v>
      </c>
      <c r="E320" s="34">
        <v>27</v>
      </c>
      <c r="F320" s="34" t="s">
        <v>54</v>
      </c>
      <c r="G320" s="34">
        <v>0.32289233060428224</v>
      </c>
    </row>
    <row r="321" spans="1:7" x14ac:dyDescent="0.3">
      <c r="A321" s="34">
        <v>320</v>
      </c>
      <c r="B321" s="34">
        <v>509</v>
      </c>
      <c r="C321" s="34">
        <v>24</v>
      </c>
      <c r="D321" s="34">
        <v>1413</v>
      </c>
      <c r="E321" s="34">
        <v>28</v>
      </c>
      <c r="F321" s="34" t="s">
        <v>54</v>
      </c>
      <c r="G321" s="34">
        <v>0.32400631701099403</v>
      </c>
    </row>
    <row r="322" spans="1:7" x14ac:dyDescent="0.3">
      <c r="A322" s="34">
        <v>321</v>
      </c>
      <c r="B322" s="34">
        <v>933</v>
      </c>
      <c r="C322" s="34">
        <v>9</v>
      </c>
      <c r="D322" s="34">
        <v>1224</v>
      </c>
      <c r="E322" s="34">
        <v>30</v>
      </c>
      <c r="F322" s="34" t="s">
        <v>54</v>
      </c>
      <c r="G322" s="34">
        <v>0.32406640843574319</v>
      </c>
    </row>
    <row r="323" spans="1:7" x14ac:dyDescent="0.3">
      <c r="A323" s="34">
        <v>322</v>
      </c>
      <c r="B323" s="34">
        <v>29</v>
      </c>
      <c r="C323" s="34">
        <v>7</v>
      </c>
      <c r="D323" s="34">
        <v>2415</v>
      </c>
      <c r="E323" s="34">
        <v>34</v>
      </c>
      <c r="F323" s="34" t="s">
        <v>54</v>
      </c>
      <c r="G323" s="34">
        <v>0.32695810815374049</v>
      </c>
    </row>
    <row r="324" spans="1:7" x14ac:dyDescent="0.3">
      <c r="A324" s="34">
        <v>323</v>
      </c>
      <c r="B324" s="34">
        <v>873</v>
      </c>
      <c r="C324" s="34">
        <v>24</v>
      </c>
      <c r="D324" s="34">
        <v>1382</v>
      </c>
      <c r="E324" s="34">
        <v>26</v>
      </c>
      <c r="F324" s="34" t="s">
        <v>54</v>
      </c>
      <c r="G324" s="34">
        <v>0.32704967543088692</v>
      </c>
    </row>
    <row r="325" spans="1:7" x14ac:dyDescent="0.3">
      <c r="A325" s="34">
        <v>324</v>
      </c>
      <c r="B325" s="34">
        <v>902</v>
      </c>
      <c r="C325" s="34">
        <v>20</v>
      </c>
      <c r="D325" s="34">
        <v>3485</v>
      </c>
      <c r="E325" s="34">
        <v>44</v>
      </c>
      <c r="F325" s="34" t="s">
        <v>54</v>
      </c>
      <c r="G325" s="34">
        <v>0.3272996230188423</v>
      </c>
    </row>
    <row r="326" spans="1:7" x14ac:dyDescent="0.3">
      <c r="A326" s="34">
        <v>325</v>
      </c>
      <c r="B326" s="34">
        <v>992</v>
      </c>
      <c r="C326" s="34">
        <v>15</v>
      </c>
      <c r="D326" s="34">
        <v>1569</v>
      </c>
      <c r="E326" s="34">
        <v>34</v>
      </c>
      <c r="F326" s="34" t="s">
        <v>54</v>
      </c>
      <c r="G326" s="34">
        <v>0.32777984380798075</v>
      </c>
    </row>
    <row r="327" spans="1:7" x14ac:dyDescent="0.3">
      <c r="A327" s="34">
        <v>326</v>
      </c>
      <c r="B327" s="34">
        <v>133</v>
      </c>
      <c r="C327" s="34">
        <v>15</v>
      </c>
      <c r="D327" s="34">
        <v>2708</v>
      </c>
      <c r="E327" s="34">
        <v>27</v>
      </c>
      <c r="F327" s="34" t="s">
        <v>54</v>
      </c>
      <c r="G327" s="34">
        <v>0.32787955848631456</v>
      </c>
    </row>
    <row r="328" spans="1:7" x14ac:dyDescent="0.3">
      <c r="A328" s="34">
        <v>327</v>
      </c>
      <c r="B328" s="34">
        <v>624</v>
      </c>
      <c r="C328" s="34">
        <v>12</v>
      </c>
      <c r="D328" s="34">
        <v>1858</v>
      </c>
      <c r="E328" s="34">
        <v>22</v>
      </c>
      <c r="F328" s="34" t="s">
        <v>56</v>
      </c>
      <c r="G328" s="34">
        <v>0.3283310248420046</v>
      </c>
    </row>
    <row r="329" spans="1:7" x14ac:dyDescent="0.3">
      <c r="A329" s="34">
        <v>328</v>
      </c>
      <c r="B329" s="34">
        <v>193</v>
      </c>
      <c r="C329" s="34">
        <v>27</v>
      </c>
      <c r="D329" s="34">
        <v>3915</v>
      </c>
      <c r="E329" s="34">
        <v>36</v>
      </c>
      <c r="F329" s="34" t="s">
        <v>55</v>
      </c>
      <c r="G329" s="34">
        <v>0.32880331741133972</v>
      </c>
    </row>
    <row r="330" spans="1:7" x14ac:dyDescent="0.3">
      <c r="A330" s="34">
        <v>329</v>
      </c>
      <c r="B330" s="34">
        <v>394</v>
      </c>
      <c r="C330" s="34">
        <v>6</v>
      </c>
      <c r="D330" s="34">
        <v>1957</v>
      </c>
      <c r="E330" s="34">
        <v>31</v>
      </c>
      <c r="F330" s="34" t="s">
        <v>56</v>
      </c>
      <c r="G330" s="34">
        <v>0.32912994050815669</v>
      </c>
    </row>
    <row r="331" spans="1:7" x14ac:dyDescent="0.3">
      <c r="A331" s="34">
        <v>330</v>
      </c>
      <c r="B331" s="34">
        <v>413</v>
      </c>
      <c r="C331" s="34">
        <v>12</v>
      </c>
      <c r="D331" s="34">
        <v>2292</v>
      </c>
      <c r="E331" s="34">
        <v>42</v>
      </c>
      <c r="F331" s="34" t="s">
        <v>55</v>
      </c>
      <c r="G331" s="34">
        <v>0.32945295797305774</v>
      </c>
    </row>
    <row r="332" spans="1:7" x14ac:dyDescent="0.3">
      <c r="A332" s="34">
        <v>331</v>
      </c>
      <c r="B332" s="34">
        <v>344</v>
      </c>
      <c r="C332" s="34">
        <v>18</v>
      </c>
      <c r="D332" s="34">
        <v>4439</v>
      </c>
      <c r="E332" s="34">
        <v>33</v>
      </c>
      <c r="F332" s="34" t="s">
        <v>54</v>
      </c>
      <c r="G332" s="34">
        <v>0.32980515326415705</v>
      </c>
    </row>
    <row r="333" spans="1:7" x14ac:dyDescent="0.3">
      <c r="A333" s="34">
        <v>332</v>
      </c>
      <c r="B333" s="34">
        <v>678</v>
      </c>
      <c r="C333" s="34">
        <v>72</v>
      </c>
      <c r="D333" s="34">
        <v>5595</v>
      </c>
      <c r="E333" s="34">
        <v>24</v>
      </c>
      <c r="F333" s="34" t="s">
        <v>55</v>
      </c>
      <c r="G333" s="34">
        <v>0.33052243029595174</v>
      </c>
    </row>
    <row r="334" spans="1:7" x14ac:dyDescent="0.3">
      <c r="A334" s="34">
        <v>333</v>
      </c>
      <c r="B334" s="34">
        <v>733</v>
      </c>
      <c r="C334" s="34">
        <v>8</v>
      </c>
      <c r="D334" s="34">
        <v>760</v>
      </c>
      <c r="E334" s="34">
        <v>44</v>
      </c>
      <c r="F334" s="34" t="s">
        <v>56</v>
      </c>
      <c r="G334" s="34">
        <v>0.33071391661021721</v>
      </c>
    </row>
    <row r="335" spans="1:7" x14ac:dyDescent="0.3">
      <c r="A335" s="34">
        <v>334</v>
      </c>
      <c r="B335" s="34">
        <v>283</v>
      </c>
      <c r="C335" s="34">
        <v>18</v>
      </c>
      <c r="D335" s="34">
        <v>1445</v>
      </c>
      <c r="E335" s="34">
        <v>49</v>
      </c>
      <c r="F335" s="34" t="s">
        <v>54</v>
      </c>
      <c r="G335" s="34">
        <v>0.33071621610224167</v>
      </c>
    </row>
    <row r="336" spans="1:7" x14ac:dyDescent="0.3">
      <c r="A336" s="34">
        <v>335</v>
      </c>
      <c r="B336" s="34">
        <v>830</v>
      </c>
      <c r="C336" s="34">
        <v>48</v>
      </c>
      <c r="D336" s="34">
        <v>6681</v>
      </c>
      <c r="E336" s="34">
        <v>38</v>
      </c>
      <c r="F336" s="34" t="s">
        <v>54</v>
      </c>
      <c r="G336" s="34">
        <v>0.33190591735886699</v>
      </c>
    </row>
    <row r="337" spans="1:7" x14ac:dyDescent="0.3">
      <c r="A337" s="34">
        <v>336</v>
      </c>
      <c r="B337" s="34">
        <v>426</v>
      </c>
      <c r="C337" s="34">
        <v>18</v>
      </c>
      <c r="D337" s="34">
        <v>2779</v>
      </c>
      <c r="E337" s="34">
        <v>21</v>
      </c>
      <c r="F337" s="34" t="s">
        <v>54</v>
      </c>
      <c r="G337" s="34">
        <v>0.33291821636777497</v>
      </c>
    </row>
    <row r="338" spans="1:7" x14ac:dyDescent="0.3">
      <c r="A338" s="34">
        <v>337</v>
      </c>
      <c r="B338" s="34">
        <v>665</v>
      </c>
      <c r="C338" s="34">
        <v>6</v>
      </c>
      <c r="D338" s="34">
        <v>1047</v>
      </c>
      <c r="E338" s="34">
        <v>50</v>
      </c>
      <c r="F338" s="34" t="s">
        <v>56</v>
      </c>
      <c r="G338" s="34">
        <v>0.3333603970252027</v>
      </c>
    </row>
    <row r="339" spans="1:7" x14ac:dyDescent="0.3">
      <c r="A339" s="34">
        <v>338</v>
      </c>
      <c r="B339" s="34">
        <v>141</v>
      </c>
      <c r="C339" s="34">
        <v>6</v>
      </c>
      <c r="D339" s="34">
        <v>709</v>
      </c>
      <c r="E339" s="34">
        <v>27</v>
      </c>
      <c r="F339" s="34" t="s">
        <v>54</v>
      </c>
      <c r="G339" s="34">
        <v>0.33359225244573631</v>
      </c>
    </row>
    <row r="340" spans="1:7" x14ac:dyDescent="0.3">
      <c r="A340" s="34">
        <v>339</v>
      </c>
      <c r="B340" s="34">
        <v>809</v>
      </c>
      <c r="C340" s="34">
        <v>42</v>
      </c>
      <c r="D340" s="34">
        <v>9283</v>
      </c>
      <c r="E340" s="34">
        <v>55</v>
      </c>
      <c r="F340" s="34" t="s">
        <v>54</v>
      </c>
      <c r="G340" s="34">
        <v>0.33431528982032488</v>
      </c>
    </row>
    <row r="341" spans="1:7" x14ac:dyDescent="0.3">
      <c r="A341" s="34">
        <v>340</v>
      </c>
      <c r="B341" s="34">
        <v>589</v>
      </c>
      <c r="C341" s="34">
        <v>18</v>
      </c>
      <c r="D341" s="34">
        <v>1217</v>
      </c>
      <c r="E341" s="34">
        <v>47</v>
      </c>
      <c r="F341" s="34" t="s">
        <v>55</v>
      </c>
      <c r="G341" s="34">
        <v>0.33541078051879647</v>
      </c>
    </row>
    <row r="342" spans="1:7" x14ac:dyDescent="0.3">
      <c r="A342" s="34">
        <v>341</v>
      </c>
      <c r="B342" s="34">
        <v>297</v>
      </c>
      <c r="C342" s="34">
        <v>12</v>
      </c>
      <c r="D342" s="34">
        <v>4675</v>
      </c>
      <c r="E342" s="34">
        <v>20</v>
      </c>
      <c r="F342" s="34" t="s">
        <v>56</v>
      </c>
      <c r="G342" s="34">
        <v>0.33662725901752855</v>
      </c>
    </row>
    <row r="343" spans="1:7" x14ac:dyDescent="0.3">
      <c r="A343" s="34">
        <v>342</v>
      </c>
      <c r="B343" s="34">
        <v>448</v>
      </c>
      <c r="C343" s="34">
        <v>7</v>
      </c>
      <c r="D343" s="34">
        <v>2576</v>
      </c>
      <c r="E343" s="34">
        <v>35</v>
      </c>
      <c r="F343" s="34" t="s">
        <v>54</v>
      </c>
      <c r="G343" s="34">
        <v>0.33783991500271926</v>
      </c>
    </row>
    <row r="344" spans="1:7" x14ac:dyDescent="0.3">
      <c r="A344" s="34">
        <v>343</v>
      </c>
      <c r="B344" s="34">
        <v>557</v>
      </c>
      <c r="C344" s="34">
        <v>18</v>
      </c>
      <c r="D344" s="34">
        <v>2278</v>
      </c>
      <c r="E344" s="34">
        <v>28</v>
      </c>
      <c r="F344" s="34" t="s">
        <v>57</v>
      </c>
      <c r="G344" s="34">
        <v>0.33899896315765832</v>
      </c>
    </row>
    <row r="345" spans="1:7" x14ac:dyDescent="0.3">
      <c r="A345" s="34">
        <v>344</v>
      </c>
      <c r="B345" s="34">
        <v>345</v>
      </c>
      <c r="C345" s="34">
        <v>10</v>
      </c>
      <c r="D345" s="34">
        <v>3949</v>
      </c>
      <c r="E345" s="34">
        <v>37</v>
      </c>
      <c r="F345" s="34" t="s">
        <v>54</v>
      </c>
      <c r="G345" s="34">
        <v>0.33964211782685572</v>
      </c>
    </row>
    <row r="346" spans="1:7" x14ac:dyDescent="0.3">
      <c r="A346" s="34">
        <v>345</v>
      </c>
      <c r="B346" s="34">
        <v>615</v>
      </c>
      <c r="C346" s="34">
        <v>18</v>
      </c>
      <c r="D346" s="34">
        <v>1808</v>
      </c>
      <c r="E346" s="34">
        <v>22</v>
      </c>
      <c r="F346" s="34" t="s">
        <v>57</v>
      </c>
      <c r="G346" s="34">
        <v>0.34116612358289389</v>
      </c>
    </row>
    <row r="347" spans="1:7" x14ac:dyDescent="0.3">
      <c r="A347" s="34">
        <v>346</v>
      </c>
      <c r="B347" s="34">
        <v>773</v>
      </c>
      <c r="C347" s="34">
        <v>21</v>
      </c>
      <c r="D347" s="34">
        <v>3275</v>
      </c>
      <c r="E347" s="34">
        <v>36</v>
      </c>
      <c r="F347" s="34" t="s">
        <v>54</v>
      </c>
      <c r="G347" s="34">
        <v>0.34153312690216342</v>
      </c>
    </row>
    <row r="348" spans="1:7" x14ac:dyDescent="0.3">
      <c r="A348" s="34">
        <v>347</v>
      </c>
      <c r="B348" s="34">
        <v>645</v>
      </c>
      <c r="C348" s="34">
        <v>18</v>
      </c>
      <c r="D348" s="34">
        <v>1880</v>
      </c>
      <c r="E348" s="34">
        <v>32</v>
      </c>
      <c r="F348" s="34" t="s">
        <v>54</v>
      </c>
      <c r="G348" s="34">
        <v>0.3432332519910174</v>
      </c>
    </row>
    <row r="349" spans="1:7" x14ac:dyDescent="0.3">
      <c r="A349" s="34">
        <v>348</v>
      </c>
      <c r="B349" s="34">
        <v>632</v>
      </c>
      <c r="C349" s="34">
        <v>18</v>
      </c>
      <c r="D349" s="34">
        <v>1553</v>
      </c>
      <c r="E349" s="34">
        <v>44</v>
      </c>
      <c r="F349" s="34" t="s">
        <v>55</v>
      </c>
      <c r="G349" s="34">
        <v>0.34439629667451932</v>
      </c>
    </row>
    <row r="350" spans="1:7" x14ac:dyDescent="0.3">
      <c r="A350" s="34">
        <v>349</v>
      </c>
      <c r="B350" s="34">
        <v>422</v>
      </c>
      <c r="C350" s="34">
        <v>12</v>
      </c>
      <c r="D350" s="34">
        <v>2028</v>
      </c>
      <c r="E350" s="34">
        <v>30</v>
      </c>
      <c r="F350" s="34" t="s">
        <v>54</v>
      </c>
      <c r="G350" s="34">
        <v>0.34537884595763857</v>
      </c>
    </row>
    <row r="351" spans="1:7" x14ac:dyDescent="0.3">
      <c r="A351" s="34">
        <v>350</v>
      </c>
      <c r="B351" s="34">
        <v>860</v>
      </c>
      <c r="C351" s="34">
        <v>9</v>
      </c>
      <c r="D351" s="34">
        <v>3577</v>
      </c>
      <c r="E351" s="34">
        <v>26</v>
      </c>
      <c r="F351" s="34" t="s">
        <v>54</v>
      </c>
      <c r="G351" s="34">
        <v>0.34632600387728651</v>
      </c>
    </row>
    <row r="352" spans="1:7" x14ac:dyDescent="0.3">
      <c r="A352" s="34">
        <v>351</v>
      </c>
      <c r="B352" s="34">
        <v>970</v>
      </c>
      <c r="C352" s="34">
        <v>11</v>
      </c>
      <c r="D352" s="34">
        <v>3939</v>
      </c>
      <c r="E352" s="34">
        <v>40</v>
      </c>
      <c r="F352" s="34" t="s">
        <v>54</v>
      </c>
      <c r="G352" s="34">
        <v>0.34939025358942954</v>
      </c>
    </row>
    <row r="353" spans="1:7" x14ac:dyDescent="0.3">
      <c r="A353" s="34">
        <v>352</v>
      </c>
      <c r="B353" s="34">
        <v>83</v>
      </c>
      <c r="C353" s="34">
        <v>18</v>
      </c>
      <c r="D353" s="34">
        <v>1568</v>
      </c>
      <c r="E353" s="34">
        <v>24</v>
      </c>
      <c r="F353" s="34" t="s">
        <v>56</v>
      </c>
      <c r="G353" s="34">
        <v>0.34983256630726867</v>
      </c>
    </row>
    <row r="354" spans="1:7" x14ac:dyDescent="0.3">
      <c r="A354" s="34">
        <v>353</v>
      </c>
      <c r="B354" s="34">
        <v>280</v>
      </c>
      <c r="C354" s="34">
        <v>24</v>
      </c>
      <c r="D354" s="34">
        <v>1901</v>
      </c>
      <c r="E354" s="34">
        <v>29</v>
      </c>
      <c r="F354" s="34" t="s">
        <v>54</v>
      </c>
      <c r="G354" s="34">
        <v>0.35156746309999243</v>
      </c>
    </row>
    <row r="355" spans="1:7" x14ac:dyDescent="0.3">
      <c r="A355" s="34">
        <v>354</v>
      </c>
      <c r="B355" s="34">
        <v>775</v>
      </c>
      <c r="C355" s="34">
        <v>12</v>
      </c>
      <c r="D355" s="34">
        <v>1480</v>
      </c>
      <c r="E355" s="34">
        <v>66</v>
      </c>
      <c r="F355" s="34" t="s">
        <v>54</v>
      </c>
      <c r="G355" s="34">
        <v>0.35369231748407592</v>
      </c>
    </row>
    <row r="356" spans="1:7" x14ac:dyDescent="0.3">
      <c r="A356" s="34">
        <v>355</v>
      </c>
      <c r="B356" s="34">
        <v>795</v>
      </c>
      <c r="C356" s="34">
        <v>24</v>
      </c>
      <c r="D356" s="34">
        <v>3062</v>
      </c>
      <c r="E356" s="34">
        <v>32</v>
      </c>
      <c r="F356" s="34" t="s">
        <v>54</v>
      </c>
      <c r="G356" s="34">
        <v>0.35666824992997037</v>
      </c>
    </row>
    <row r="357" spans="1:7" x14ac:dyDescent="0.3">
      <c r="A357" s="34">
        <v>356</v>
      </c>
      <c r="B357" s="34">
        <v>769</v>
      </c>
      <c r="C357" s="34">
        <v>12</v>
      </c>
      <c r="D357" s="34">
        <v>3617</v>
      </c>
      <c r="E357" s="34">
        <v>28</v>
      </c>
      <c r="F357" s="34" t="s">
        <v>54</v>
      </c>
      <c r="G357" s="34">
        <v>0.3566749026745113</v>
      </c>
    </row>
    <row r="358" spans="1:7" x14ac:dyDescent="0.3">
      <c r="A358" s="34">
        <v>357</v>
      </c>
      <c r="B358" s="34">
        <v>736</v>
      </c>
      <c r="C358" s="34">
        <v>36</v>
      </c>
      <c r="D358" s="34">
        <v>3990</v>
      </c>
      <c r="E358" s="34">
        <v>29</v>
      </c>
      <c r="F358" s="34" t="s">
        <v>56</v>
      </c>
      <c r="G358" s="34">
        <v>0.35731073078128817</v>
      </c>
    </row>
    <row r="359" spans="1:7" x14ac:dyDescent="0.3">
      <c r="A359" s="34">
        <v>358</v>
      </c>
      <c r="B359" s="34">
        <v>182</v>
      </c>
      <c r="C359" s="34">
        <v>36</v>
      </c>
      <c r="D359" s="34">
        <v>4455</v>
      </c>
      <c r="E359" s="34">
        <v>30</v>
      </c>
      <c r="F359" s="34" t="s">
        <v>55</v>
      </c>
      <c r="G359" s="34">
        <v>0.35976281237235808</v>
      </c>
    </row>
    <row r="360" spans="1:7" x14ac:dyDescent="0.3">
      <c r="A360" s="34">
        <v>359</v>
      </c>
      <c r="B360" s="34">
        <v>478</v>
      </c>
      <c r="C360" s="34">
        <v>24</v>
      </c>
      <c r="D360" s="34">
        <v>5152</v>
      </c>
      <c r="E360" s="34">
        <v>25</v>
      </c>
      <c r="F360" s="34" t="s">
        <v>54</v>
      </c>
      <c r="G360" s="34">
        <v>0.36070867793059636</v>
      </c>
    </row>
    <row r="361" spans="1:7" x14ac:dyDescent="0.3">
      <c r="A361" s="34">
        <v>360</v>
      </c>
      <c r="B361" s="34">
        <v>556</v>
      </c>
      <c r="C361" s="34">
        <v>12</v>
      </c>
      <c r="D361" s="34">
        <v>1331</v>
      </c>
      <c r="E361" s="34">
        <v>22</v>
      </c>
      <c r="F361" s="34" t="s">
        <v>55</v>
      </c>
      <c r="G361" s="34">
        <v>0.36081079104500424</v>
      </c>
    </row>
    <row r="362" spans="1:7" x14ac:dyDescent="0.3">
      <c r="A362" s="34">
        <v>361</v>
      </c>
      <c r="B362" s="34">
        <v>393</v>
      </c>
      <c r="C362" s="34">
        <v>36</v>
      </c>
      <c r="D362" s="34">
        <v>3249</v>
      </c>
      <c r="E362" s="34">
        <v>39</v>
      </c>
      <c r="F362" s="34" t="s">
        <v>54</v>
      </c>
      <c r="G362" s="34">
        <v>0.36099598575849601</v>
      </c>
    </row>
    <row r="363" spans="1:7" x14ac:dyDescent="0.3">
      <c r="A363" s="34">
        <v>362</v>
      </c>
      <c r="B363" s="34">
        <v>447</v>
      </c>
      <c r="C363" s="34">
        <v>36</v>
      </c>
      <c r="D363" s="34">
        <v>1842</v>
      </c>
      <c r="E363" s="34">
        <v>34</v>
      </c>
      <c r="F363" s="34" t="s">
        <v>57</v>
      </c>
      <c r="G363" s="34">
        <v>0.36167129840971934</v>
      </c>
    </row>
    <row r="364" spans="1:7" x14ac:dyDescent="0.3">
      <c r="A364" s="34">
        <v>363</v>
      </c>
      <c r="B364" s="34">
        <v>910</v>
      </c>
      <c r="C364" s="34">
        <v>9</v>
      </c>
      <c r="D364" s="34">
        <v>3195</v>
      </c>
      <c r="E364" s="34">
        <v>33</v>
      </c>
      <c r="F364" s="34" t="s">
        <v>56</v>
      </c>
      <c r="G364" s="34">
        <v>0.36253633076296954</v>
      </c>
    </row>
    <row r="365" spans="1:7" x14ac:dyDescent="0.3">
      <c r="A365" s="34">
        <v>364</v>
      </c>
      <c r="B365" s="34">
        <v>135</v>
      </c>
      <c r="C365" s="34">
        <v>60</v>
      </c>
      <c r="D365" s="34">
        <v>10144</v>
      </c>
      <c r="E365" s="34">
        <v>21</v>
      </c>
      <c r="F365" s="34" t="s">
        <v>56</v>
      </c>
      <c r="G365" s="34">
        <v>0.36360966731154321</v>
      </c>
    </row>
    <row r="366" spans="1:7" x14ac:dyDescent="0.3">
      <c r="A366" s="34">
        <v>365</v>
      </c>
      <c r="B366" s="34">
        <v>903</v>
      </c>
      <c r="C366" s="34">
        <v>36</v>
      </c>
      <c r="D366" s="34">
        <v>10477</v>
      </c>
      <c r="E366" s="34">
        <v>42</v>
      </c>
      <c r="F366" s="34" t="s">
        <v>54</v>
      </c>
      <c r="G366" s="34">
        <v>0.36441320202427963</v>
      </c>
    </row>
    <row r="367" spans="1:7" x14ac:dyDescent="0.3">
      <c r="A367" s="34">
        <v>366</v>
      </c>
      <c r="B367" s="34">
        <v>542</v>
      </c>
      <c r="C367" s="34">
        <v>24</v>
      </c>
      <c r="D367" s="34">
        <v>2032</v>
      </c>
      <c r="E367" s="34">
        <v>60</v>
      </c>
      <c r="F367" s="34" t="s">
        <v>54</v>
      </c>
      <c r="G367" s="34">
        <v>0.36450032964518908</v>
      </c>
    </row>
    <row r="368" spans="1:7" x14ac:dyDescent="0.3">
      <c r="A368" s="34">
        <v>367</v>
      </c>
      <c r="B368" s="34">
        <v>586</v>
      </c>
      <c r="C368" s="34">
        <v>18</v>
      </c>
      <c r="D368" s="34">
        <v>2039</v>
      </c>
      <c r="E368" s="34">
        <v>20</v>
      </c>
      <c r="F368" s="34" t="s">
        <v>57</v>
      </c>
      <c r="G368" s="34">
        <v>0.36471523488283808</v>
      </c>
    </row>
    <row r="369" spans="1:7" x14ac:dyDescent="0.3">
      <c r="A369" s="34">
        <v>368</v>
      </c>
      <c r="B369" s="34">
        <v>235</v>
      </c>
      <c r="C369" s="34">
        <v>4</v>
      </c>
      <c r="D369" s="34">
        <v>1544</v>
      </c>
      <c r="E369" s="34">
        <v>42</v>
      </c>
      <c r="F369" s="34" t="s">
        <v>54</v>
      </c>
      <c r="G369" s="34">
        <v>0.36754530886917669</v>
      </c>
    </row>
    <row r="370" spans="1:7" x14ac:dyDescent="0.3">
      <c r="A370" s="34">
        <v>369</v>
      </c>
      <c r="B370" s="34">
        <v>213</v>
      </c>
      <c r="C370" s="34">
        <v>27</v>
      </c>
      <c r="D370" s="34">
        <v>5293</v>
      </c>
      <c r="E370" s="34">
        <v>50</v>
      </c>
      <c r="F370" s="34" t="s">
        <v>55</v>
      </c>
      <c r="G370" s="34">
        <v>0.37006546494122472</v>
      </c>
    </row>
    <row r="371" spans="1:7" x14ac:dyDescent="0.3">
      <c r="A371" s="34">
        <v>370</v>
      </c>
      <c r="B371" s="34">
        <v>33</v>
      </c>
      <c r="C371" s="34">
        <v>18</v>
      </c>
      <c r="D371" s="34">
        <v>5866</v>
      </c>
      <c r="E371" s="34">
        <v>30</v>
      </c>
      <c r="F371" s="34" t="s">
        <v>54</v>
      </c>
      <c r="G371" s="34">
        <v>0.37124717489022829</v>
      </c>
    </row>
    <row r="372" spans="1:7" x14ac:dyDescent="0.3">
      <c r="A372" s="34">
        <v>371</v>
      </c>
      <c r="B372" s="34">
        <v>128</v>
      </c>
      <c r="C372" s="34">
        <v>12</v>
      </c>
      <c r="D372" s="34">
        <v>639</v>
      </c>
      <c r="E372" s="34">
        <v>30</v>
      </c>
      <c r="F372" s="34" t="s">
        <v>55</v>
      </c>
      <c r="G372" s="34">
        <v>0.37250731635933243</v>
      </c>
    </row>
    <row r="373" spans="1:7" x14ac:dyDescent="0.3">
      <c r="A373" s="34">
        <v>372</v>
      </c>
      <c r="B373" s="34">
        <v>397</v>
      </c>
      <c r="C373" s="34">
        <v>12</v>
      </c>
      <c r="D373" s="34">
        <v>2578</v>
      </c>
      <c r="E373" s="34">
        <v>55</v>
      </c>
      <c r="F373" s="34" t="s">
        <v>56</v>
      </c>
      <c r="G373" s="34">
        <v>0.37335071742996673</v>
      </c>
    </row>
    <row r="374" spans="1:7" x14ac:dyDescent="0.3">
      <c r="A374" s="34">
        <v>373</v>
      </c>
      <c r="B374" s="34">
        <v>543</v>
      </c>
      <c r="C374" s="34">
        <v>30</v>
      </c>
      <c r="D374" s="34">
        <v>6350</v>
      </c>
      <c r="E374" s="34">
        <v>31</v>
      </c>
      <c r="F374" s="34" t="s">
        <v>55</v>
      </c>
      <c r="G374" s="34">
        <v>0.37351426726947867</v>
      </c>
    </row>
    <row r="375" spans="1:7" x14ac:dyDescent="0.3">
      <c r="A375" s="34">
        <v>374</v>
      </c>
      <c r="B375" s="34">
        <v>60</v>
      </c>
      <c r="C375" s="34">
        <v>36</v>
      </c>
      <c r="D375" s="34">
        <v>6229</v>
      </c>
      <c r="E375" s="34">
        <v>23</v>
      </c>
      <c r="F375" s="34" t="s">
        <v>57</v>
      </c>
      <c r="G375" s="34">
        <v>0.37363836830496622</v>
      </c>
    </row>
    <row r="376" spans="1:7" x14ac:dyDescent="0.3">
      <c r="A376" s="34">
        <v>375</v>
      </c>
      <c r="B376" s="34">
        <v>92</v>
      </c>
      <c r="C376" s="34">
        <v>12</v>
      </c>
      <c r="D376" s="34">
        <v>1409</v>
      </c>
      <c r="E376" s="34">
        <v>54</v>
      </c>
      <c r="F376" s="34" t="s">
        <v>54</v>
      </c>
      <c r="G376" s="34">
        <v>0.37388050659190897</v>
      </c>
    </row>
    <row r="377" spans="1:7" x14ac:dyDescent="0.3">
      <c r="A377" s="34">
        <v>376</v>
      </c>
      <c r="B377" s="34">
        <v>285</v>
      </c>
      <c r="C377" s="34">
        <v>24</v>
      </c>
      <c r="D377" s="34">
        <v>3878</v>
      </c>
      <c r="E377" s="34">
        <v>37</v>
      </c>
      <c r="F377" s="34" t="s">
        <v>54</v>
      </c>
      <c r="G377" s="34">
        <v>0.37435728291907511</v>
      </c>
    </row>
    <row r="378" spans="1:7" x14ac:dyDescent="0.3">
      <c r="A378" s="34">
        <v>377</v>
      </c>
      <c r="B378" s="34">
        <v>79</v>
      </c>
      <c r="C378" s="34">
        <v>54</v>
      </c>
      <c r="D378" s="34">
        <v>9436</v>
      </c>
      <c r="E378" s="34">
        <v>39</v>
      </c>
      <c r="F378" s="34" t="s">
        <v>54</v>
      </c>
      <c r="G378" s="34">
        <v>0.37795438753756605</v>
      </c>
    </row>
    <row r="379" spans="1:7" x14ac:dyDescent="0.3">
      <c r="A379" s="34">
        <v>378</v>
      </c>
      <c r="B379" s="34">
        <v>993</v>
      </c>
      <c r="C379" s="34">
        <v>18</v>
      </c>
      <c r="D379" s="34">
        <v>1936</v>
      </c>
      <c r="E379" s="34">
        <v>23</v>
      </c>
      <c r="F379" s="34" t="s">
        <v>54</v>
      </c>
      <c r="G379" s="34">
        <v>0.378233503108377</v>
      </c>
    </row>
    <row r="380" spans="1:7" x14ac:dyDescent="0.3">
      <c r="A380" s="34">
        <v>379</v>
      </c>
      <c r="B380" s="34">
        <v>550</v>
      </c>
      <c r="C380" s="34">
        <v>48</v>
      </c>
      <c r="D380" s="34">
        <v>8858</v>
      </c>
      <c r="E380" s="34">
        <v>35</v>
      </c>
      <c r="F380" s="34" t="s">
        <v>54</v>
      </c>
      <c r="G380" s="34">
        <v>0.37839717850940346</v>
      </c>
    </row>
    <row r="381" spans="1:7" x14ac:dyDescent="0.3">
      <c r="A381" s="34">
        <v>380</v>
      </c>
      <c r="B381" s="34">
        <v>96</v>
      </c>
      <c r="C381" s="34">
        <v>54</v>
      </c>
      <c r="D381" s="34">
        <v>15945</v>
      </c>
      <c r="E381" s="34">
        <v>58</v>
      </c>
      <c r="F381" s="34" t="s">
        <v>55</v>
      </c>
      <c r="G381" s="34">
        <v>0.37859559743503335</v>
      </c>
    </row>
    <row r="382" spans="1:7" x14ac:dyDescent="0.3">
      <c r="A382" s="34">
        <v>381</v>
      </c>
      <c r="B382" s="34">
        <v>612</v>
      </c>
      <c r="C382" s="34">
        <v>10</v>
      </c>
      <c r="D382" s="34">
        <v>1240</v>
      </c>
      <c r="E382" s="34">
        <v>48</v>
      </c>
      <c r="F382" s="34" t="s">
        <v>57</v>
      </c>
      <c r="G382" s="34">
        <v>0.37874566577831692</v>
      </c>
    </row>
    <row r="383" spans="1:7" x14ac:dyDescent="0.3">
      <c r="A383" s="34">
        <v>382</v>
      </c>
      <c r="B383" s="34">
        <v>116</v>
      </c>
      <c r="C383" s="34">
        <v>48</v>
      </c>
      <c r="D383" s="34">
        <v>3578</v>
      </c>
      <c r="E383" s="34">
        <v>47</v>
      </c>
      <c r="F383" s="34" t="s">
        <v>54</v>
      </c>
      <c r="G383" s="34">
        <v>0.37897485840147627</v>
      </c>
    </row>
    <row r="384" spans="1:7" x14ac:dyDescent="0.3">
      <c r="A384" s="34">
        <v>383</v>
      </c>
      <c r="B384" s="34">
        <v>432</v>
      </c>
      <c r="C384" s="34">
        <v>24</v>
      </c>
      <c r="D384" s="34">
        <v>11328</v>
      </c>
      <c r="E384" s="34">
        <v>29</v>
      </c>
      <c r="F384" s="34" t="s">
        <v>55</v>
      </c>
      <c r="G384" s="34">
        <v>0.37950497440977304</v>
      </c>
    </row>
    <row r="385" spans="1:7" x14ac:dyDescent="0.3">
      <c r="A385" s="34">
        <v>384</v>
      </c>
      <c r="B385" s="34">
        <v>441</v>
      </c>
      <c r="C385" s="34">
        <v>12</v>
      </c>
      <c r="D385" s="34">
        <v>1884</v>
      </c>
      <c r="E385" s="34">
        <v>39</v>
      </c>
      <c r="F385" s="34" t="s">
        <v>54</v>
      </c>
      <c r="G385" s="34">
        <v>0.37960464309332653</v>
      </c>
    </row>
    <row r="386" spans="1:7" x14ac:dyDescent="0.3">
      <c r="A386" s="34">
        <v>385</v>
      </c>
      <c r="B386" s="34">
        <v>239</v>
      </c>
      <c r="C386" s="34">
        <v>12</v>
      </c>
      <c r="D386" s="34">
        <v>1291</v>
      </c>
      <c r="E386" s="34">
        <v>35</v>
      </c>
      <c r="F386" s="34" t="s">
        <v>56</v>
      </c>
      <c r="G386" s="34">
        <v>0.38014740413415293</v>
      </c>
    </row>
    <row r="387" spans="1:7" x14ac:dyDescent="0.3">
      <c r="A387" s="34">
        <v>386</v>
      </c>
      <c r="B387" s="34">
        <v>720</v>
      </c>
      <c r="C387" s="34">
        <v>20</v>
      </c>
      <c r="D387" s="34">
        <v>6148</v>
      </c>
      <c r="E387" s="34">
        <v>31</v>
      </c>
      <c r="F387" s="34" t="s">
        <v>54</v>
      </c>
      <c r="G387" s="34">
        <v>0.38537406549677888</v>
      </c>
    </row>
    <row r="388" spans="1:7" x14ac:dyDescent="0.3">
      <c r="A388" s="34">
        <v>387</v>
      </c>
      <c r="B388" s="34">
        <v>866</v>
      </c>
      <c r="C388" s="34">
        <v>15</v>
      </c>
      <c r="D388" s="34">
        <v>2221</v>
      </c>
      <c r="E388" s="34">
        <v>20</v>
      </c>
      <c r="F388" s="34" t="s">
        <v>56</v>
      </c>
      <c r="G388" s="34">
        <v>0.38627713465574032</v>
      </c>
    </row>
    <row r="389" spans="1:7" x14ac:dyDescent="0.3">
      <c r="A389" s="34">
        <v>388</v>
      </c>
      <c r="B389" s="34">
        <v>129</v>
      </c>
      <c r="C389" s="34">
        <v>12</v>
      </c>
      <c r="D389" s="34">
        <v>1860</v>
      </c>
      <c r="E389" s="34">
        <v>34</v>
      </c>
      <c r="F389" s="34" t="s">
        <v>54</v>
      </c>
      <c r="G389" s="34">
        <v>0.38840175140268851</v>
      </c>
    </row>
    <row r="390" spans="1:7" x14ac:dyDescent="0.3">
      <c r="A390" s="34">
        <v>389</v>
      </c>
      <c r="B390" s="34">
        <v>97</v>
      </c>
      <c r="C390" s="34">
        <v>12</v>
      </c>
      <c r="D390" s="34">
        <v>2012</v>
      </c>
      <c r="E390" s="34">
        <v>61</v>
      </c>
      <c r="F390" s="34" t="s">
        <v>56</v>
      </c>
      <c r="G390" s="34">
        <v>0.38865220014272517</v>
      </c>
    </row>
    <row r="391" spans="1:7" x14ac:dyDescent="0.3">
      <c r="A391" s="34">
        <v>390</v>
      </c>
      <c r="B391" s="34">
        <v>761</v>
      </c>
      <c r="C391" s="34">
        <v>15</v>
      </c>
      <c r="D391" s="34">
        <v>5045</v>
      </c>
      <c r="E391" s="34">
        <v>59</v>
      </c>
      <c r="F391" s="34" t="s">
        <v>56</v>
      </c>
      <c r="G391" s="34">
        <v>0.38872725930818486</v>
      </c>
    </row>
    <row r="392" spans="1:7" x14ac:dyDescent="0.3">
      <c r="A392" s="34">
        <v>391</v>
      </c>
      <c r="B392" s="34">
        <v>526</v>
      </c>
      <c r="C392" s="34">
        <v>26</v>
      </c>
      <c r="D392" s="34">
        <v>7966</v>
      </c>
      <c r="E392" s="34">
        <v>30</v>
      </c>
      <c r="F392" s="34" t="s">
        <v>54</v>
      </c>
      <c r="G392" s="34">
        <v>0.38899936356178133</v>
      </c>
    </row>
    <row r="393" spans="1:7" x14ac:dyDescent="0.3">
      <c r="A393" s="34">
        <v>392</v>
      </c>
      <c r="B393" s="34">
        <v>660</v>
      </c>
      <c r="C393" s="34">
        <v>18</v>
      </c>
      <c r="D393" s="34">
        <v>6361</v>
      </c>
      <c r="E393" s="34">
        <v>41</v>
      </c>
      <c r="F393" s="34" t="s">
        <v>54</v>
      </c>
      <c r="G393" s="34">
        <v>0.38908015114308325</v>
      </c>
    </row>
    <row r="394" spans="1:7" x14ac:dyDescent="0.3">
      <c r="A394" s="34">
        <v>393</v>
      </c>
      <c r="B394" s="34">
        <v>630</v>
      </c>
      <c r="C394" s="34">
        <v>9</v>
      </c>
      <c r="D394" s="34">
        <v>3832</v>
      </c>
      <c r="E394" s="34">
        <v>64</v>
      </c>
      <c r="F394" s="34" t="s">
        <v>54</v>
      </c>
      <c r="G394" s="34">
        <v>0.3922302476715771</v>
      </c>
    </row>
    <row r="395" spans="1:7" x14ac:dyDescent="0.3">
      <c r="A395" s="34">
        <v>394</v>
      </c>
      <c r="B395" s="34">
        <v>618</v>
      </c>
      <c r="C395" s="34">
        <v>6</v>
      </c>
      <c r="D395" s="34">
        <v>3676</v>
      </c>
      <c r="E395" s="34">
        <v>37</v>
      </c>
      <c r="F395" s="34" t="s">
        <v>54</v>
      </c>
      <c r="G395" s="34">
        <v>0.39228952064680567</v>
      </c>
    </row>
    <row r="396" spans="1:7" x14ac:dyDescent="0.3">
      <c r="A396" s="34">
        <v>395</v>
      </c>
      <c r="B396" s="34">
        <v>894</v>
      </c>
      <c r="C396" s="34">
        <v>36</v>
      </c>
      <c r="D396" s="34">
        <v>5800</v>
      </c>
      <c r="E396" s="34">
        <v>34</v>
      </c>
      <c r="F396" s="34" t="s">
        <v>54</v>
      </c>
      <c r="G396" s="34">
        <v>0.39247107292809724</v>
      </c>
    </row>
    <row r="397" spans="1:7" x14ac:dyDescent="0.3">
      <c r="A397" s="34">
        <v>396</v>
      </c>
      <c r="B397" s="34">
        <v>753</v>
      </c>
      <c r="C397" s="34">
        <v>12</v>
      </c>
      <c r="D397" s="34">
        <v>841</v>
      </c>
      <c r="E397" s="34">
        <v>23</v>
      </c>
      <c r="F397" s="34" t="s">
        <v>56</v>
      </c>
      <c r="G397" s="34">
        <v>0.3961955085190717</v>
      </c>
    </row>
    <row r="398" spans="1:7" x14ac:dyDescent="0.3">
      <c r="A398" s="34">
        <v>397</v>
      </c>
      <c r="B398" s="34">
        <v>482</v>
      </c>
      <c r="C398" s="34">
        <v>24</v>
      </c>
      <c r="D398" s="34">
        <v>1201</v>
      </c>
      <c r="E398" s="34">
        <v>26</v>
      </c>
      <c r="F398" s="34" t="s">
        <v>54</v>
      </c>
      <c r="G398" s="34">
        <v>0.39635250321694504</v>
      </c>
    </row>
    <row r="399" spans="1:7" x14ac:dyDescent="0.3">
      <c r="A399" s="34">
        <v>398</v>
      </c>
      <c r="B399" s="34">
        <v>113</v>
      </c>
      <c r="C399" s="34">
        <v>18</v>
      </c>
      <c r="D399" s="34">
        <v>6260</v>
      </c>
      <c r="E399" s="34">
        <v>28</v>
      </c>
      <c r="F399" s="34" t="s">
        <v>54</v>
      </c>
      <c r="G399" s="34">
        <v>0.39753817120319868</v>
      </c>
    </row>
    <row r="400" spans="1:7" x14ac:dyDescent="0.3">
      <c r="A400" s="34">
        <v>399</v>
      </c>
      <c r="B400" s="34">
        <v>739</v>
      </c>
      <c r="C400" s="34">
        <v>6</v>
      </c>
      <c r="D400" s="34">
        <v>6761</v>
      </c>
      <c r="E400" s="34">
        <v>45</v>
      </c>
      <c r="F400" s="34" t="s">
        <v>54</v>
      </c>
      <c r="G400" s="34">
        <v>0.39817709792802203</v>
      </c>
    </row>
    <row r="401" spans="1:7" x14ac:dyDescent="0.3">
      <c r="A401" s="34">
        <v>400</v>
      </c>
      <c r="B401" s="34">
        <v>892</v>
      </c>
      <c r="C401" s="34">
        <v>15</v>
      </c>
      <c r="D401" s="34">
        <v>1829</v>
      </c>
      <c r="E401" s="34">
        <v>46</v>
      </c>
      <c r="F401" s="34" t="s">
        <v>54</v>
      </c>
      <c r="G401" s="34">
        <v>0.39976545474229741</v>
      </c>
    </row>
    <row r="402" spans="1:7" x14ac:dyDescent="0.3">
      <c r="A402" s="34">
        <v>401</v>
      </c>
      <c r="B402" s="34">
        <v>710</v>
      </c>
      <c r="C402" s="34">
        <v>9</v>
      </c>
      <c r="D402" s="34">
        <v>2118</v>
      </c>
      <c r="E402" s="34">
        <v>37</v>
      </c>
      <c r="F402" s="34" t="s">
        <v>54</v>
      </c>
      <c r="G402" s="34">
        <v>0.4002047534094042</v>
      </c>
    </row>
    <row r="403" spans="1:7" x14ac:dyDescent="0.3">
      <c r="A403" s="34">
        <v>402</v>
      </c>
      <c r="B403" s="34">
        <v>458</v>
      </c>
      <c r="C403" s="34">
        <v>12</v>
      </c>
      <c r="D403" s="34">
        <v>3386</v>
      </c>
      <c r="E403" s="34">
        <v>35</v>
      </c>
      <c r="F403" s="34" t="s">
        <v>55</v>
      </c>
      <c r="G403" s="34">
        <v>0.40030310254410761</v>
      </c>
    </row>
    <row r="404" spans="1:7" x14ac:dyDescent="0.3">
      <c r="A404" s="34">
        <v>403</v>
      </c>
      <c r="B404" s="34">
        <v>868</v>
      </c>
      <c r="C404" s="34">
        <v>12</v>
      </c>
      <c r="D404" s="34">
        <v>3331</v>
      </c>
      <c r="E404" s="34">
        <v>42</v>
      </c>
      <c r="F404" s="34" t="s">
        <v>54</v>
      </c>
      <c r="G404" s="34">
        <v>0.40066352412759187</v>
      </c>
    </row>
    <row r="405" spans="1:7" x14ac:dyDescent="0.3">
      <c r="A405" s="34">
        <v>404</v>
      </c>
      <c r="B405" s="34">
        <v>251</v>
      </c>
      <c r="C405" s="34">
        <v>6</v>
      </c>
      <c r="D405" s="34">
        <v>666</v>
      </c>
      <c r="E405" s="34">
        <v>39</v>
      </c>
      <c r="F405" s="34" t="s">
        <v>56</v>
      </c>
      <c r="G405" s="34">
        <v>0.40171907808724328</v>
      </c>
    </row>
    <row r="406" spans="1:7" x14ac:dyDescent="0.3">
      <c r="A406" s="34">
        <v>405</v>
      </c>
      <c r="B406" s="34">
        <v>399</v>
      </c>
      <c r="C406" s="34">
        <v>12</v>
      </c>
      <c r="D406" s="34">
        <v>1223</v>
      </c>
      <c r="E406" s="34">
        <v>46</v>
      </c>
      <c r="F406" s="34" t="s">
        <v>55</v>
      </c>
      <c r="G406" s="34">
        <v>0.40345006345110257</v>
      </c>
    </row>
    <row r="407" spans="1:7" x14ac:dyDescent="0.3">
      <c r="A407" s="34">
        <v>406</v>
      </c>
      <c r="B407" s="34">
        <v>812</v>
      </c>
      <c r="C407" s="34">
        <v>6</v>
      </c>
      <c r="D407" s="34">
        <v>484</v>
      </c>
      <c r="E407" s="34">
        <v>28</v>
      </c>
      <c r="F407" s="34" t="s">
        <v>54</v>
      </c>
      <c r="G407" s="34">
        <v>0.40509661342184611</v>
      </c>
    </row>
    <row r="408" spans="1:7" x14ac:dyDescent="0.3">
      <c r="A408" s="34">
        <v>407</v>
      </c>
      <c r="B408" s="34">
        <v>318</v>
      </c>
      <c r="C408" s="34">
        <v>24</v>
      </c>
      <c r="D408" s="34">
        <v>4351</v>
      </c>
      <c r="E408" s="34">
        <v>48</v>
      </c>
      <c r="F408" s="34" t="s">
        <v>56</v>
      </c>
      <c r="G408" s="34">
        <v>0.405413363586134</v>
      </c>
    </row>
    <row r="409" spans="1:7" x14ac:dyDescent="0.3">
      <c r="A409" s="34">
        <v>408</v>
      </c>
      <c r="B409" s="34">
        <v>52</v>
      </c>
      <c r="C409" s="34">
        <v>27</v>
      </c>
      <c r="D409" s="34">
        <v>5965</v>
      </c>
      <c r="E409" s="34">
        <v>30</v>
      </c>
      <c r="F409" s="34" t="s">
        <v>54</v>
      </c>
      <c r="G409" s="34">
        <v>0.41056595204405666</v>
      </c>
    </row>
    <row r="410" spans="1:7" x14ac:dyDescent="0.3">
      <c r="A410" s="34">
        <v>409</v>
      </c>
      <c r="B410" s="34">
        <v>346</v>
      </c>
      <c r="C410" s="34">
        <v>15</v>
      </c>
      <c r="D410" s="34">
        <v>1459</v>
      </c>
      <c r="E410" s="34">
        <v>43</v>
      </c>
      <c r="F410" s="34" t="s">
        <v>56</v>
      </c>
      <c r="G410" s="34">
        <v>0.41084597494856245</v>
      </c>
    </row>
    <row r="411" spans="1:7" x14ac:dyDescent="0.3">
      <c r="A411" s="34">
        <v>410</v>
      </c>
      <c r="B411" s="34">
        <v>581</v>
      </c>
      <c r="C411" s="34">
        <v>18</v>
      </c>
      <c r="D411" s="34">
        <v>1056</v>
      </c>
      <c r="E411" s="34">
        <v>30</v>
      </c>
      <c r="F411" s="34" t="s">
        <v>55</v>
      </c>
      <c r="G411" s="34">
        <v>0.41226133539112664</v>
      </c>
    </row>
    <row r="412" spans="1:7" x14ac:dyDescent="0.3">
      <c r="A412" s="34">
        <v>411</v>
      </c>
      <c r="B412" s="34">
        <v>880</v>
      </c>
      <c r="C412" s="34">
        <v>30</v>
      </c>
      <c r="D412" s="34">
        <v>6742</v>
      </c>
      <c r="E412" s="34">
        <v>36</v>
      </c>
      <c r="F412" s="34" t="s">
        <v>54</v>
      </c>
      <c r="G412" s="34">
        <v>0.41371590116108492</v>
      </c>
    </row>
    <row r="413" spans="1:7" x14ac:dyDescent="0.3">
      <c r="A413" s="34">
        <v>412</v>
      </c>
      <c r="B413" s="34">
        <v>900</v>
      </c>
      <c r="C413" s="34">
        <v>18</v>
      </c>
      <c r="D413" s="34">
        <v>4153</v>
      </c>
      <c r="E413" s="34">
        <v>42</v>
      </c>
      <c r="F413" s="34" t="s">
        <v>55</v>
      </c>
      <c r="G413" s="34">
        <v>0.41443800207729553</v>
      </c>
    </row>
    <row r="414" spans="1:7" x14ac:dyDescent="0.3">
      <c r="A414" s="34">
        <v>413</v>
      </c>
      <c r="B414" s="34">
        <v>601</v>
      </c>
      <c r="C414" s="34">
        <v>7</v>
      </c>
      <c r="D414" s="34">
        <v>2329</v>
      </c>
      <c r="E414" s="34">
        <v>45</v>
      </c>
      <c r="F414" s="34" t="s">
        <v>56</v>
      </c>
      <c r="G414" s="34">
        <v>0.41508151362718826</v>
      </c>
    </row>
    <row r="415" spans="1:7" x14ac:dyDescent="0.3">
      <c r="A415" s="34">
        <v>414</v>
      </c>
      <c r="B415" s="34">
        <v>443</v>
      </c>
      <c r="C415" s="34">
        <v>20</v>
      </c>
      <c r="D415" s="34">
        <v>2629</v>
      </c>
      <c r="E415" s="34">
        <v>29</v>
      </c>
      <c r="F415" s="34" t="s">
        <v>54</v>
      </c>
      <c r="G415" s="34">
        <v>0.41534247224311527</v>
      </c>
    </row>
    <row r="416" spans="1:7" x14ac:dyDescent="0.3">
      <c r="A416" s="34">
        <v>415</v>
      </c>
      <c r="B416" s="34">
        <v>105</v>
      </c>
      <c r="C416" s="34">
        <v>12</v>
      </c>
      <c r="D416" s="34">
        <v>2445</v>
      </c>
      <c r="E416" s="34">
        <v>26</v>
      </c>
      <c r="F416" s="34" t="s">
        <v>54</v>
      </c>
      <c r="G416" s="34">
        <v>0.41636323059702285</v>
      </c>
    </row>
    <row r="417" spans="1:7" x14ac:dyDescent="0.3">
      <c r="A417" s="34">
        <v>416</v>
      </c>
      <c r="B417" s="34">
        <v>716</v>
      </c>
      <c r="C417" s="34">
        <v>30</v>
      </c>
      <c r="D417" s="34">
        <v>7596</v>
      </c>
      <c r="E417" s="34">
        <v>63</v>
      </c>
      <c r="F417" s="34" t="s">
        <v>54</v>
      </c>
      <c r="G417" s="34">
        <v>0.41736969824774084</v>
      </c>
    </row>
    <row r="418" spans="1:7" x14ac:dyDescent="0.3">
      <c r="A418" s="34">
        <v>417</v>
      </c>
      <c r="B418" s="34">
        <v>167</v>
      </c>
      <c r="C418" s="34">
        <v>18</v>
      </c>
      <c r="D418" s="34">
        <v>1131</v>
      </c>
      <c r="E418" s="34">
        <v>33</v>
      </c>
      <c r="F418" s="34" t="s">
        <v>57</v>
      </c>
      <c r="G418" s="34">
        <v>0.41790482460131895</v>
      </c>
    </row>
    <row r="419" spans="1:7" x14ac:dyDescent="0.3">
      <c r="A419" s="34">
        <v>418</v>
      </c>
      <c r="B419" s="34">
        <v>998</v>
      </c>
      <c r="C419" s="34">
        <v>12</v>
      </c>
      <c r="D419" s="34">
        <v>804</v>
      </c>
      <c r="E419" s="34">
        <v>38</v>
      </c>
      <c r="F419" s="34" t="s">
        <v>54</v>
      </c>
      <c r="G419" s="34">
        <v>0.41934866773817414</v>
      </c>
    </row>
    <row r="420" spans="1:7" x14ac:dyDescent="0.3">
      <c r="A420" s="34">
        <v>419</v>
      </c>
      <c r="B420" s="34">
        <v>794</v>
      </c>
      <c r="C420" s="34">
        <v>24</v>
      </c>
      <c r="D420" s="34">
        <v>2892</v>
      </c>
      <c r="E420" s="34">
        <v>51</v>
      </c>
      <c r="F420" s="34" t="s">
        <v>54</v>
      </c>
      <c r="G420" s="34">
        <v>0.42005017155497104</v>
      </c>
    </row>
    <row r="421" spans="1:7" x14ac:dyDescent="0.3">
      <c r="A421" s="34">
        <v>420</v>
      </c>
      <c r="B421" s="34">
        <v>700</v>
      </c>
      <c r="C421" s="34">
        <v>15</v>
      </c>
      <c r="D421" s="34">
        <v>1905</v>
      </c>
      <c r="E421" s="34">
        <v>40</v>
      </c>
      <c r="F421" s="34" t="s">
        <v>54</v>
      </c>
      <c r="G421" s="34">
        <v>0.42033237102755605</v>
      </c>
    </row>
    <row r="422" spans="1:7" x14ac:dyDescent="0.3">
      <c r="A422" s="34">
        <v>421</v>
      </c>
      <c r="B422" s="34">
        <v>310</v>
      </c>
      <c r="C422" s="34">
        <v>9</v>
      </c>
      <c r="D422" s="34">
        <v>276</v>
      </c>
      <c r="E422" s="34">
        <v>22</v>
      </c>
      <c r="F422" s="34" t="s">
        <v>54</v>
      </c>
      <c r="G422" s="34">
        <v>0.42246606961290034</v>
      </c>
    </row>
    <row r="423" spans="1:7" x14ac:dyDescent="0.3">
      <c r="A423" s="34">
        <v>422</v>
      </c>
      <c r="B423" s="34">
        <v>208</v>
      </c>
      <c r="C423" s="34">
        <v>12</v>
      </c>
      <c r="D423" s="34">
        <v>1424</v>
      </c>
      <c r="E423" s="34">
        <v>26</v>
      </c>
      <c r="F423" s="34" t="s">
        <v>54</v>
      </c>
      <c r="G423" s="34">
        <v>0.42279401986808263</v>
      </c>
    </row>
    <row r="424" spans="1:7" x14ac:dyDescent="0.3">
      <c r="A424" s="34">
        <v>423</v>
      </c>
      <c r="B424" s="34">
        <v>522</v>
      </c>
      <c r="C424" s="34">
        <v>18</v>
      </c>
      <c r="D424" s="34">
        <v>3190</v>
      </c>
      <c r="E424" s="34">
        <v>24</v>
      </c>
      <c r="F424" s="34" t="s">
        <v>57</v>
      </c>
      <c r="G424" s="34">
        <v>0.42466345098183889</v>
      </c>
    </row>
    <row r="425" spans="1:7" x14ac:dyDescent="0.3">
      <c r="A425" s="34">
        <v>424</v>
      </c>
      <c r="B425" s="34">
        <v>648</v>
      </c>
      <c r="C425" s="34">
        <v>12</v>
      </c>
      <c r="D425" s="34">
        <v>1386</v>
      </c>
      <c r="E425" s="34">
        <v>26</v>
      </c>
      <c r="F425" s="34" t="s">
        <v>57</v>
      </c>
      <c r="G425" s="34">
        <v>0.42595608545407715</v>
      </c>
    </row>
    <row r="426" spans="1:7" x14ac:dyDescent="0.3">
      <c r="A426" s="34">
        <v>425</v>
      </c>
      <c r="B426" s="34">
        <v>63</v>
      </c>
      <c r="C426" s="34">
        <v>36</v>
      </c>
      <c r="D426" s="34">
        <v>1953</v>
      </c>
      <c r="E426" s="34">
        <v>61</v>
      </c>
      <c r="F426" s="34" t="s">
        <v>55</v>
      </c>
      <c r="G426" s="34">
        <v>0.42610713017875457</v>
      </c>
    </row>
    <row r="427" spans="1:7" x14ac:dyDescent="0.3">
      <c r="A427" s="34">
        <v>426</v>
      </c>
      <c r="B427" s="34">
        <v>831</v>
      </c>
      <c r="C427" s="34">
        <v>24</v>
      </c>
      <c r="D427" s="34">
        <v>2375</v>
      </c>
      <c r="E427" s="34">
        <v>44</v>
      </c>
      <c r="F427" s="34" t="s">
        <v>54</v>
      </c>
      <c r="G427" s="34">
        <v>0.42656235874278181</v>
      </c>
    </row>
    <row r="428" spans="1:7" x14ac:dyDescent="0.3">
      <c r="A428" s="34">
        <v>427</v>
      </c>
      <c r="B428" s="34">
        <v>896</v>
      </c>
      <c r="C428" s="34">
        <v>36</v>
      </c>
      <c r="D428" s="34">
        <v>8947</v>
      </c>
      <c r="E428" s="34">
        <v>31</v>
      </c>
      <c r="F428" s="34" t="s">
        <v>54</v>
      </c>
      <c r="G428" s="34">
        <v>0.42875244736199036</v>
      </c>
    </row>
    <row r="429" spans="1:7" x14ac:dyDescent="0.3">
      <c r="A429" s="34">
        <v>428</v>
      </c>
      <c r="B429" s="34">
        <v>763</v>
      </c>
      <c r="C429" s="34">
        <v>12</v>
      </c>
      <c r="D429" s="34">
        <v>2214</v>
      </c>
      <c r="E429" s="34">
        <v>24</v>
      </c>
      <c r="F429" s="34" t="s">
        <v>54</v>
      </c>
      <c r="G429" s="34">
        <v>0.42932575897853764</v>
      </c>
    </row>
    <row r="430" spans="1:7" x14ac:dyDescent="0.3">
      <c r="A430" s="34">
        <v>429</v>
      </c>
      <c r="B430" s="34">
        <v>54</v>
      </c>
      <c r="C430" s="34">
        <v>18</v>
      </c>
      <c r="D430" s="34">
        <v>3378</v>
      </c>
      <c r="E430" s="34">
        <v>31</v>
      </c>
      <c r="F430" s="34" t="s">
        <v>54</v>
      </c>
      <c r="G430" s="34">
        <v>0.43055805317349116</v>
      </c>
    </row>
    <row r="431" spans="1:7" x14ac:dyDescent="0.3">
      <c r="A431" s="34">
        <v>430</v>
      </c>
      <c r="B431" s="34">
        <v>411</v>
      </c>
      <c r="C431" s="34">
        <v>24</v>
      </c>
      <c r="D431" s="34">
        <v>1967</v>
      </c>
      <c r="E431" s="34">
        <v>20</v>
      </c>
      <c r="F431" s="34" t="s">
        <v>56</v>
      </c>
      <c r="G431" s="34">
        <v>0.43179648035905727</v>
      </c>
    </row>
    <row r="432" spans="1:7" x14ac:dyDescent="0.3">
      <c r="A432" s="34">
        <v>431</v>
      </c>
      <c r="B432" s="34">
        <v>562</v>
      </c>
      <c r="C432" s="34">
        <v>24</v>
      </c>
      <c r="D432" s="34">
        <v>1546</v>
      </c>
      <c r="E432" s="34">
        <v>24</v>
      </c>
      <c r="F432" s="34" t="s">
        <v>55</v>
      </c>
      <c r="G432" s="34">
        <v>0.43231592205656943</v>
      </c>
    </row>
    <row r="433" spans="1:7" x14ac:dyDescent="0.3">
      <c r="A433" s="34">
        <v>432</v>
      </c>
      <c r="B433" s="34">
        <v>73</v>
      </c>
      <c r="C433" s="34">
        <v>8</v>
      </c>
      <c r="D433" s="34">
        <v>1164</v>
      </c>
      <c r="E433" s="34">
        <v>51</v>
      </c>
      <c r="F433" s="34" t="s">
        <v>54</v>
      </c>
      <c r="G433" s="34">
        <v>0.43248326238917889</v>
      </c>
    </row>
    <row r="434" spans="1:7" x14ac:dyDescent="0.3">
      <c r="A434" s="34">
        <v>433</v>
      </c>
      <c r="B434" s="34">
        <v>847</v>
      </c>
      <c r="C434" s="34">
        <v>18</v>
      </c>
      <c r="D434" s="34">
        <v>6761</v>
      </c>
      <c r="E434" s="34">
        <v>68</v>
      </c>
      <c r="F434" s="34" t="s">
        <v>55</v>
      </c>
      <c r="G434" s="34">
        <v>0.43283578243515952</v>
      </c>
    </row>
    <row r="435" spans="1:7" x14ac:dyDescent="0.3">
      <c r="A435" s="34">
        <v>434</v>
      </c>
      <c r="B435" s="34">
        <v>269</v>
      </c>
      <c r="C435" s="34">
        <v>14</v>
      </c>
      <c r="D435" s="34">
        <v>8978</v>
      </c>
      <c r="E435" s="34">
        <v>45</v>
      </c>
      <c r="F435" s="34" t="s">
        <v>55</v>
      </c>
      <c r="G435" s="34">
        <v>0.4350690342365241</v>
      </c>
    </row>
    <row r="436" spans="1:7" x14ac:dyDescent="0.3">
      <c r="A436" s="34">
        <v>435</v>
      </c>
      <c r="B436" s="34">
        <v>390</v>
      </c>
      <c r="C436" s="34">
        <v>9</v>
      </c>
      <c r="D436" s="34">
        <v>1449</v>
      </c>
      <c r="E436" s="34">
        <v>27</v>
      </c>
      <c r="F436" s="34" t="s">
        <v>56</v>
      </c>
      <c r="G436" s="34">
        <v>0.43634098430612533</v>
      </c>
    </row>
    <row r="437" spans="1:7" x14ac:dyDescent="0.3">
      <c r="A437" s="34">
        <v>436</v>
      </c>
      <c r="B437" s="34">
        <v>740</v>
      </c>
      <c r="C437" s="34">
        <v>30</v>
      </c>
      <c r="D437" s="34">
        <v>4280</v>
      </c>
      <c r="E437" s="34">
        <v>26</v>
      </c>
      <c r="F437" s="34" t="s">
        <v>57</v>
      </c>
      <c r="G437" s="34">
        <v>0.43684037660723618</v>
      </c>
    </row>
    <row r="438" spans="1:7" x14ac:dyDescent="0.3">
      <c r="A438" s="34">
        <v>437</v>
      </c>
      <c r="B438" s="34">
        <v>621</v>
      </c>
      <c r="C438" s="34">
        <v>21</v>
      </c>
      <c r="D438" s="34">
        <v>3652</v>
      </c>
      <c r="E438" s="34">
        <v>27</v>
      </c>
      <c r="F438" s="34" t="s">
        <v>54</v>
      </c>
      <c r="G438" s="34">
        <v>0.43763784107178938</v>
      </c>
    </row>
    <row r="439" spans="1:7" x14ac:dyDescent="0.3">
      <c r="A439" s="34">
        <v>438</v>
      </c>
      <c r="B439" s="34">
        <v>163</v>
      </c>
      <c r="C439" s="34">
        <v>15</v>
      </c>
      <c r="D439" s="34">
        <v>1262</v>
      </c>
      <c r="E439" s="34">
        <v>36</v>
      </c>
      <c r="F439" s="34" t="s">
        <v>54</v>
      </c>
      <c r="G439" s="34">
        <v>0.43775328518660195</v>
      </c>
    </row>
    <row r="440" spans="1:7" x14ac:dyDescent="0.3">
      <c r="A440" s="34">
        <v>439</v>
      </c>
      <c r="B440" s="34">
        <v>767</v>
      </c>
      <c r="C440" s="34">
        <v>30</v>
      </c>
      <c r="D440" s="34">
        <v>3108</v>
      </c>
      <c r="E440" s="34">
        <v>31</v>
      </c>
      <c r="F440" s="34" t="s">
        <v>55</v>
      </c>
      <c r="G440" s="34">
        <v>0.43979344336867521</v>
      </c>
    </row>
    <row r="441" spans="1:7" x14ac:dyDescent="0.3">
      <c r="A441" s="34">
        <v>440</v>
      </c>
      <c r="B441" s="34">
        <v>298</v>
      </c>
      <c r="C441" s="34">
        <v>10</v>
      </c>
      <c r="D441" s="34">
        <v>1287</v>
      </c>
      <c r="E441" s="34">
        <v>45</v>
      </c>
      <c r="F441" s="34" t="s">
        <v>54</v>
      </c>
      <c r="G441" s="34">
        <v>0.44081607947403934</v>
      </c>
    </row>
    <row r="442" spans="1:7" x14ac:dyDescent="0.3">
      <c r="A442" s="34">
        <v>441</v>
      </c>
      <c r="B442" s="34">
        <v>919</v>
      </c>
      <c r="C442" s="34">
        <v>24</v>
      </c>
      <c r="D442" s="34">
        <v>2359</v>
      </c>
      <c r="E442" s="34">
        <v>33</v>
      </c>
      <c r="F442" s="34" t="s">
        <v>55</v>
      </c>
      <c r="G442" s="34">
        <v>0.44084254539595291</v>
      </c>
    </row>
    <row r="443" spans="1:7" x14ac:dyDescent="0.3">
      <c r="A443" s="34">
        <v>442</v>
      </c>
      <c r="B443" s="34">
        <v>307</v>
      </c>
      <c r="C443" s="34">
        <v>30</v>
      </c>
      <c r="D443" s="34">
        <v>4811</v>
      </c>
      <c r="E443" s="34">
        <v>24</v>
      </c>
      <c r="F443" s="34" t="s">
        <v>56</v>
      </c>
      <c r="G443" s="34">
        <v>0.44324766651426395</v>
      </c>
    </row>
    <row r="444" spans="1:7" x14ac:dyDescent="0.3">
      <c r="A444" s="34">
        <v>443</v>
      </c>
      <c r="B444" s="34">
        <v>853</v>
      </c>
      <c r="C444" s="34">
        <v>15</v>
      </c>
      <c r="D444" s="34">
        <v>1471</v>
      </c>
      <c r="E444" s="34">
        <v>35</v>
      </c>
      <c r="F444" s="34" t="s">
        <v>54</v>
      </c>
      <c r="G444" s="34">
        <v>0.44413503013298405</v>
      </c>
    </row>
    <row r="445" spans="1:7" x14ac:dyDescent="0.3">
      <c r="A445" s="34">
        <v>444</v>
      </c>
      <c r="B445" s="34">
        <v>143</v>
      </c>
      <c r="C445" s="34">
        <v>27</v>
      </c>
      <c r="D445" s="34">
        <v>3416</v>
      </c>
      <c r="E445" s="34">
        <v>27</v>
      </c>
      <c r="F445" s="34" t="s">
        <v>54</v>
      </c>
      <c r="G445" s="34">
        <v>0.44671011981251652</v>
      </c>
    </row>
    <row r="446" spans="1:7" x14ac:dyDescent="0.3">
      <c r="A446" s="34">
        <v>445</v>
      </c>
      <c r="B446" s="34">
        <v>984</v>
      </c>
      <c r="C446" s="34">
        <v>36</v>
      </c>
      <c r="D446" s="34">
        <v>8229</v>
      </c>
      <c r="E446" s="34">
        <v>26</v>
      </c>
      <c r="F446" s="34" t="s">
        <v>55</v>
      </c>
      <c r="G446" s="34">
        <v>0.44692623386436192</v>
      </c>
    </row>
    <row r="447" spans="1:7" x14ac:dyDescent="0.3">
      <c r="A447" s="34">
        <v>446</v>
      </c>
      <c r="B447" s="34">
        <v>323</v>
      </c>
      <c r="C447" s="34">
        <v>24</v>
      </c>
      <c r="D447" s="34">
        <v>2910</v>
      </c>
      <c r="E447" s="34">
        <v>34</v>
      </c>
      <c r="F447" s="34" t="s">
        <v>54</v>
      </c>
      <c r="G447" s="34">
        <v>0.44914127488434863</v>
      </c>
    </row>
    <row r="448" spans="1:7" x14ac:dyDescent="0.3">
      <c r="A448" s="34">
        <v>447</v>
      </c>
      <c r="B448" s="34">
        <v>126</v>
      </c>
      <c r="C448" s="34">
        <v>12</v>
      </c>
      <c r="D448" s="34">
        <v>2121</v>
      </c>
      <c r="E448" s="34">
        <v>30</v>
      </c>
      <c r="F448" s="34" t="s">
        <v>54</v>
      </c>
      <c r="G448" s="34">
        <v>0.45061435654835191</v>
      </c>
    </row>
    <row r="449" spans="1:7" x14ac:dyDescent="0.3">
      <c r="A449" s="34">
        <v>448</v>
      </c>
      <c r="B449" s="34">
        <v>655</v>
      </c>
      <c r="C449" s="34">
        <v>24</v>
      </c>
      <c r="D449" s="34">
        <v>2346</v>
      </c>
      <c r="E449" s="34">
        <v>35</v>
      </c>
      <c r="F449" s="34" t="s">
        <v>54</v>
      </c>
      <c r="G449" s="34">
        <v>0.45112281764832773</v>
      </c>
    </row>
    <row r="450" spans="1:7" x14ac:dyDescent="0.3">
      <c r="A450" s="34">
        <v>449</v>
      </c>
      <c r="B450" s="34">
        <v>727</v>
      </c>
      <c r="C450" s="34">
        <v>15</v>
      </c>
      <c r="D450" s="34">
        <v>1316</v>
      </c>
      <c r="E450" s="34">
        <v>47</v>
      </c>
      <c r="F450" s="34" t="s">
        <v>54</v>
      </c>
      <c r="G450" s="34">
        <v>0.45134922306865755</v>
      </c>
    </row>
    <row r="451" spans="1:7" x14ac:dyDescent="0.3">
      <c r="A451" s="34">
        <v>450</v>
      </c>
      <c r="B451" s="34">
        <v>28</v>
      </c>
      <c r="C451" s="34">
        <v>12</v>
      </c>
      <c r="D451" s="34">
        <v>409</v>
      </c>
      <c r="E451" s="34">
        <v>42</v>
      </c>
      <c r="F451" s="34" t="s">
        <v>56</v>
      </c>
      <c r="G451" s="34">
        <v>0.45159049715741795</v>
      </c>
    </row>
    <row r="452" spans="1:7" x14ac:dyDescent="0.3">
      <c r="A452" s="34">
        <v>451</v>
      </c>
      <c r="B452" s="34">
        <v>358</v>
      </c>
      <c r="C452" s="34">
        <v>36</v>
      </c>
      <c r="D452" s="34">
        <v>4463</v>
      </c>
      <c r="E452" s="34">
        <v>26</v>
      </c>
      <c r="F452" s="34" t="s">
        <v>55</v>
      </c>
      <c r="G452" s="34">
        <v>0.46060259413451354</v>
      </c>
    </row>
    <row r="453" spans="1:7" x14ac:dyDescent="0.3">
      <c r="A453" s="34">
        <v>452</v>
      </c>
      <c r="B453" s="34">
        <v>101</v>
      </c>
      <c r="C453" s="34">
        <v>24</v>
      </c>
      <c r="D453" s="34">
        <v>1469</v>
      </c>
      <c r="E453" s="34">
        <v>41</v>
      </c>
      <c r="F453" s="34" t="s">
        <v>54</v>
      </c>
      <c r="G453" s="34">
        <v>0.46129197486175255</v>
      </c>
    </row>
    <row r="454" spans="1:7" x14ac:dyDescent="0.3">
      <c r="A454" s="34">
        <v>453</v>
      </c>
      <c r="B454" s="34">
        <v>549</v>
      </c>
      <c r="C454" s="34">
        <v>12</v>
      </c>
      <c r="D454" s="34">
        <v>626</v>
      </c>
      <c r="E454" s="34">
        <v>24</v>
      </c>
      <c r="F454" s="34" t="s">
        <v>57</v>
      </c>
      <c r="G454" s="34">
        <v>0.46153198327962885</v>
      </c>
    </row>
    <row r="455" spans="1:7" x14ac:dyDescent="0.3">
      <c r="A455" s="34">
        <v>454</v>
      </c>
      <c r="B455" s="34">
        <v>331</v>
      </c>
      <c r="C455" s="34">
        <v>24</v>
      </c>
      <c r="D455" s="34">
        <v>6615</v>
      </c>
      <c r="E455" s="34">
        <v>75</v>
      </c>
      <c r="F455" s="34" t="s">
        <v>54</v>
      </c>
      <c r="G455" s="34">
        <v>0.46647850728458662</v>
      </c>
    </row>
    <row r="456" spans="1:7" x14ac:dyDescent="0.3">
      <c r="A456" s="34">
        <v>455</v>
      </c>
      <c r="B456" s="34">
        <v>433</v>
      </c>
      <c r="C456" s="34">
        <v>6</v>
      </c>
      <c r="D456" s="34">
        <v>1872</v>
      </c>
      <c r="E456" s="34">
        <v>36</v>
      </c>
      <c r="F456" s="34" t="s">
        <v>54</v>
      </c>
      <c r="G456" s="34">
        <v>0.46746962202119779</v>
      </c>
    </row>
    <row r="457" spans="1:7" x14ac:dyDescent="0.3">
      <c r="A457" s="34">
        <v>456</v>
      </c>
      <c r="B457" s="34">
        <v>560</v>
      </c>
      <c r="C457" s="34">
        <v>18</v>
      </c>
      <c r="D457" s="34">
        <v>1928</v>
      </c>
      <c r="E457" s="34">
        <v>31</v>
      </c>
      <c r="F457" s="34" t="s">
        <v>55</v>
      </c>
      <c r="G457" s="34">
        <v>0.46784864557248684</v>
      </c>
    </row>
    <row r="458" spans="1:7" x14ac:dyDescent="0.3">
      <c r="A458" s="34">
        <v>457</v>
      </c>
      <c r="B458" s="34">
        <v>279</v>
      </c>
      <c r="C458" s="34">
        <v>6</v>
      </c>
      <c r="D458" s="34">
        <v>4611</v>
      </c>
      <c r="E458" s="34">
        <v>32</v>
      </c>
      <c r="F458" s="34" t="s">
        <v>57</v>
      </c>
      <c r="G458" s="34">
        <v>0.46846201837879242</v>
      </c>
    </row>
    <row r="459" spans="1:7" x14ac:dyDescent="0.3">
      <c r="A459" s="34">
        <v>458</v>
      </c>
      <c r="B459" s="34">
        <v>666</v>
      </c>
      <c r="C459" s="34">
        <v>24</v>
      </c>
      <c r="D459" s="34">
        <v>6314</v>
      </c>
      <c r="E459" s="34">
        <v>27</v>
      </c>
      <c r="F459" s="34" t="s">
        <v>54</v>
      </c>
      <c r="G459" s="34">
        <v>0.46885621366597652</v>
      </c>
    </row>
    <row r="460" spans="1:7" x14ac:dyDescent="0.3">
      <c r="A460" s="34">
        <v>459</v>
      </c>
      <c r="B460" s="34">
        <v>539</v>
      </c>
      <c r="C460" s="34">
        <v>48</v>
      </c>
      <c r="D460" s="34">
        <v>7763</v>
      </c>
      <c r="E460" s="34">
        <v>42</v>
      </c>
      <c r="F460" s="34" t="s">
        <v>55</v>
      </c>
      <c r="G460" s="34">
        <v>0.47013726135231015</v>
      </c>
    </row>
    <row r="461" spans="1:7" x14ac:dyDescent="0.3">
      <c r="A461" s="34">
        <v>460</v>
      </c>
      <c r="B461" s="34">
        <v>366</v>
      </c>
      <c r="C461" s="34">
        <v>12</v>
      </c>
      <c r="D461" s="34">
        <v>1542</v>
      </c>
      <c r="E461" s="34">
        <v>36</v>
      </c>
      <c r="F461" s="34" t="s">
        <v>54</v>
      </c>
      <c r="G461" s="34">
        <v>0.47032016595386972</v>
      </c>
    </row>
    <row r="462" spans="1:7" x14ac:dyDescent="0.3">
      <c r="A462" s="34">
        <v>461</v>
      </c>
      <c r="B462" s="34">
        <v>714</v>
      </c>
      <c r="C462" s="34">
        <v>9</v>
      </c>
      <c r="D462" s="34">
        <v>1138</v>
      </c>
      <c r="E462" s="34">
        <v>25</v>
      </c>
      <c r="F462" s="34" t="s">
        <v>54</v>
      </c>
      <c r="G462" s="34">
        <v>0.47064009408955021</v>
      </c>
    </row>
    <row r="463" spans="1:7" x14ac:dyDescent="0.3">
      <c r="A463" s="34">
        <v>462</v>
      </c>
      <c r="B463" s="34">
        <v>869</v>
      </c>
      <c r="C463" s="34">
        <v>36</v>
      </c>
      <c r="D463" s="34">
        <v>7409</v>
      </c>
      <c r="E463" s="34">
        <v>37</v>
      </c>
      <c r="F463" s="34" t="s">
        <v>54</v>
      </c>
      <c r="G463" s="34">
        <v>0.47291563316784679</v>
      </c>
    </row>
    <row r="464" spans="1:7" x14ac:dyDescent="0.3">
      <c r="A464" s="34">
        <v>463</v>
      </c>
      <c r="B464" s="34">
        <v>521</v>
      </c>
      <c r="C464" s="34">
        <v>24</v>
      </c>
      <c r="D464" s="34">
        <v>5507</v>
      </c>
      <c r="E464" s="34">
        <v>44</v>
      </c>
      <c r="F464" s="34" t="s">
        <v>54</v>
      </c>
      <c r="G464" s="34">
        <v>0.47367544635838521</v>
      </c>
    </row>
    <row r="465" spans="1:7" x14ac:dyDescent="0.3">
      <c r="A465" s="34">
        <v>464</v>
      </c>
      <c r="B465" s="34">
        <v>66</v>
      </c>
      <c r="C465" s="34">
        <v>27</v>
      </c>
      <c r="D465" s="34">
        <v>5190</v>
      </c>
      <c r="E465" s="34">
        <v>48</v>
      </c>
      <c r="F465" s="34" t="s">
        <v>54</v>
      </c>
      <c r="G465" s="34">
        <v>0.47376463134346469</v>
      </c>
    </row>
    <row r="466" spans="1:7" x14ac:dyDescent="0.3">
      <c r="A466" s="34">
        <v>465</v>
      </c>
      <c r="B466" s="34">
        <v>313</v>
      </c>
      <c r="C466" s="34">
        <v>24</v>
      </c>
      <c r="D466" s="34">
        <v>3749</v>
      </c>
      <c r="E466" s="34">
        <v>26</v>
      </c>
      <c r="F466" s="34" t="s">
        <v>56</v>
      </c>
      <c r="G466" s="34">
        <v>0.47502849718472395</v>
      </c>
    </row>
    <row r="467" spans="1:7" x14ac:dyDescent="0.3">
      <c r="A467" s="34">
        <v>466</v>
      </c>
      <c r="B467" s="34">
        <v>685</v>
      </c>
      <c r="C467" s="34">
        <v>36</v>
      </c>
      <c r="D467" s="34">
        <v>9857</v>
      </c>
      <c r="E467" s="34">
        <v>31</v>
      </c>
      <c r="F467" s="34" t="s">
        <v>54</v>
      </c>
      <c r="G467" s="34">
        <v>0.47574992231851088</v>
      </c>
    </row>
    <row r="468" spans="1:7" x14ac:dyDescent="0.3">
      <c r="A468" s="34">
        <v>467</v>
      </c>
      <c r="B468" s="34">
        <v>14</v>
      </c>
      <c r="C468" s="34">
        <v>24</v>
      </c>
      <c r="D468" s="34">
        <v>1199</v>
      </c>
      <c r="E468" s="34">
        <v>60</v>
      </c>
      <c r="F468" s="34" t="s">
        <v>55</v>
      </c>
      <c r="G468" s="34">
        <v>0.47975470706225221</v>
      </c>
    </row>
    <row r="469" spans="1:7" x14ac:dyDescent="0.3">
      <c r="A469" s="34">
        <v>468</v>
      </c>
      <c r="B469" s="34">
        <v>989</v>
      </c>
      <c r="C469" s="34">
        <v>24</v>
      </c>
      <c r="D469" s="34">
        <v>6579</v>
      </c>
      <c r="E469" s="34">
        <v>29</v>
      </c>
      <c r="F469" s="34" t="s">
        <v>54</v>
      </c>
      <c r="G469" s="34">
        <v>0.4820652781466247</v>
      </c>
    </row>
    <row r="470" spans="1:7" x14ac:dyDescent="0.3">
      <c r="A470" s="34">
        <v>469</v>
      </c>
      <c r="B470" s="34">
        <v>859</v>
      </c>
      <c r="C470" s="34">
        <v>15</v>
      </c>
      <c r="D470" s="34">
        <v>3959</v>
      </c>
      <c r="E470" s="34">
        <v>29</v>
      </c>
      <c r="F470" s="34" t="s">
        <v>57</v>
      </c>
      <c r="G470" s="34">
        <v>0.48210052837337303</v>
      </c>
    </row>
    <row r="471" spans="1:7" x14ac:dyDescent="0.3">
      <c r="A471" s="34">
        <v>470</v>
      </c>
      <c r="B471" s="34">
        <v>19</v>
      </c>
      <c r="C471" s="34">
        <v>24</v>
      </c>
      <c r="D471" s="34">
        <v>12579</v>
      </c>
      <c r="E471" s="34">
        <v>44</v>
      </c>
      <c r="F471" s="34" t="s">
        <v>57</v>
      </c>
      <c r="G471" s="34">
        <v>0.48262797817729919</v>
      </c>
    </row>
    <row r="472" spans="1:7" x14ac:dyDescent="0.3">
      <c r="A472" s="34">
        <v>471</v>
      </c>
      <c r="B472" s="34">
        <v>57</v>
      </c>
      <c r="C472" s="34">
        <v>12</v>
      </c>
      <c r="D472" s="34">
        <v>6468</v>
      </c>
      <c r="E472" s="34">
        <v>52</v>
      </c>
      <c r="F472" s="34" t="s">
        <v>55</v>
      </c>
      <c r="G472" s="34">
        <v>0.48338568812975613</v>
      </c>
    </row>
    <row r="473" spans="1:7" x14ac:dyDescent="0.3">
      <c r="A473" s="34">
        <v>472</v>
      </c>
      <c r="B473" s="34">
        <v>180</v>
      </c>
      <c r="C473" s="34">
        <v>21</v>
      </c>
      <c r="D473" s="34">
        <v>571</v>
      </c>
      <c r="E473" s="34">
        <v>65</v>
      </c>
      <c r="F473" s="34" t="s">
        <v>54</v>
      </c>
      <c r="G473" s="34">
        <v>0.48404731828292658</v>
      </c>
    </row>
    <row r="474" spans="1:7" x14ac:dyDescent="0.3">
      <c r="A474" s="34">
        <v>473</v>
      </c>
      <c r="B474" s="34">
        <v>883</v>
      </c>
      <c r="C474" s="34">
        <v>30</v>
      </c>
      <c r="D474" s="34">
        <v>2181</v>
      </c>
      <c r="E474" s="34">
        <v>36</v>
      </c>
      <c r="F474" s="34" t="s">
        <v>54</v>
      </c>
      <c r="G474" s="34">
        <v>0.48593952073923519</v>
      </c>
    </row>
    <row r="475" spans="1:7" x14ac:dyDescent="0.3">
      <c r="A475" s="34">
        <v>474</v>
      </c>
      <c r="B475" s="34">
        <v>32</v>
      </c>
      <c r="C475" s="34">
        <v>24</v>
      </c>
      <c r="D475" s="34">
        <v>4020</v>
      </c>
      <c r="E475" s="34">
        <v>27</v>
      </c>
      <c r="F475" s="34" t="s">
        <v>54</v>
      </c>
      <c r="G475" s="34">
        <v>0.48596296580794041</v>
      </c>
    </row>
    <row r="476" spans="1:7" x14ac:dyDescent="0.3">
      <c r="A476" s="34">
        <v>475</v>
      </c>
      <c r="B476" s="34">
        <v>236</v>
      </c>
      <c r="C476" s="34">
        <v>24</v>
      </c>
      <c r="D476" s="34">
        <v>1823</v>
      </c>
      <c r="E476" s="34">
        <v>30</v>
      </c>
      <c r="F476" s="34" t="s">
        <v>55</v>
      </c>
      <c r="G476" s="34">
        <v>0.48844429682310408</v>
      </c>
    </row>
    <row r="477" spans="1:7" x14ac:dyDescent="0.3">
      <c r="A477" s="34">
        <v>476</v>
      </c>
      <c r="B477" s="34">
        <v>967</v>
      </c>
      <c r="C477" s="34">
        <v>27</v>
      </c>
      <c r="D477" s="34">
        <v>2520</v>
      </c>
      <c r="E477" s="34">
        <v>23</v>
      </c>
      <c r="F477" s="34" t="s">
        <v>55</v>
      </c>
      <c r="G477" s="34">
        <v>0.48936094611851322</v>
      </c>
    </row>
    <row r="478" spans="1:7" x14ac:dyDescent="0.3">
      <c r="A478" s="34">
        <v>477</v>
      </c>
      <c r="B478" s="34">
        <v>329</v>
      </c>
      <c r="C478" s="34">
        <v>36</v>
      </c>
      <c r="D478" s="34">
        <v>4473</v>
      </c>
      <c r="E478" s="34">
        <v>31</v>
      </c>
      <c r="F478" s="34" t="s">
        <v>54</v>
      </c>
      <c r="G478" s="34">
        <v>0.49054219346013139</v>
      </c>
    </row>
    <row r="479" spans="1:7" x14ac:dyDescent="0.3">
      <c r="A479" s="34">
        <v>478</v>
      </c>
      <c r="B479" s="34">
        <v>598</v>
      </c>
      <c r="C479" s="34">
        <v>24</v>
      </c>
      <c r="D479" s="34">
        <v>4241</v>
      </c>
      <c r="E479" s="34">
        <v>36</v>
      </c>
      <c r="F479" s="34" t="s">
        <v>55</v>
      </c>
      <c r="G479" s="34">
        <v>0.49142003007488111</v>
      </c>
    </row>
    <row r="480" spans="1:7" x14ac:dyDescent="0.3">
      <c r="A480" s="34">
        <v>479</v>
      </c>
      <c r="B480" s="34">
        <v>969</v>
      </c>
      <c r="C480" s="34">
        <v>42</v>
      </c>
      <c r="D480" s="34">
        <v>7166</v>
      </c>
      <c r="E480" s="34">
        <v>29</v>
      </c>
      <c r="F480" s="34" t="s">
        <v>54</v>
      </c>
      <c r="G480" s="34">
        <v>0.49231242613196102</v>
      </c>
    </row>
    <row r="481" spans="1:7" x14ac:dyDescent="0.3">
      <c r="A481" s="34">
        <v>480</v>
      </c>
      <c r="B481" s="34">
        <v>587</v>
      </c>
      <c r="C481" s="34">
        <v>9</v>
      </c>
      <c r="D481" s="34">
        <v>2799</v>
      </c>
      <c r="E481" s="34">
        <v>36</v>
      </c>
      <c r="F481" s="34" t="s">
        <v>54</v>
      </c>
      <c r="G481" s="34">
        <v>0.49330433569090204</v>
      </c>
    </row>
    <row r="482" spans="1:7" x14ac:dyDescent="0.3">
      <c r="A482" s="34">
        <v>481</v>
      </c>
      <c r="B482" s="34">
        <v>937</v>
      </c>
      <c r="C482" s="34">
        <v>9</v>
      </c>
      <c r="D482" s="34">
        <v>745</v>
      </c>
      <c r="E482" s="34">
        <v>28</v>
      </c>
      <c r="F482" s="34" t="s">
        <v>57</v>
      </c>
      <c r="G482" s="34">
        <v>0.4935212212605683</v>
      </c>
    </row>
    <row r="483" spans="1:7" x14ac:dyDescent="0.3">
      <c r="A483" s="34">
        <v>482</v>
      </c>
      <c r="B483" s="34">
        <v>203</v>
      </c>
      <c r="C483" s="34">
        <v>27</v>
      </c>
      <c r="D483" s="34">
        <v>5117</v>
      </c>
      <c r="E483" s="34">
        <v>26</v>
      </c>
      <c r="F483" s="34" t="s">
        <v>54</v>
      </c>
      <c r="G483" s="34">
        <v>0.49401382205924094</v>
      </c>
    </row>
    <row r="484" spans="1:7" x14ac:dyDescent="0.3">
      <c r="A484" s="34">
        <v>483</v>
      </c>
      <c r="B484" s="34">
        <v>731</v>
      </c>
      <c r="C484" s="34">
        <v>24</v>
      </c>
      <c r="D484" s="34">
        <v>6403</v>
      </c>
      <c r="E484" s="34">
        <v>33</v>
      </c>
      <c r="F484" s="34" t="s">
        <v>54</v>
      </c>
      <c r="G484" s="34">
        <v>0.49467169425308855</v>
      </c>
    </row>
    <row r="485" spans="1:7" x14ac:dyDescent="0.3">
      <c r="A485" s="34">
        <v>484</v>
      </c>
      <c r="B485" s="34">
        <v>653</v>
      </c>
      <c r="C485" s="34">
        <v>24</v>
      </c>
      <c r="D485" s="34">
        <v>2303</v>
      </c>
      <c r="E485" s="34">
        <v>45</v>
      </c>
      <c r="F485" s="34" t="s">
        <v>55</v>
      </c>
      <c r="G485" s="34">
        <v>0.49518096015769442</v>
      </c>
    </row>
    <row r="486" spans="1:7" x14ac:dyDescent="0.3">
      <c r="A486" s="34">
        <v>485</v>
      </c>
      <c r="B486" s="34">
        <v>541</v>
      </c>
      <c r="C486" s="34">
        <v>12</v>
      </c>
      <c r="D486" s="34">
        <v>1534</v>
      </c>
      <c r="E486" s="34">
        <v>23</v>
      </c>
      <c r="F486" s="34" t="s">
        <v>55</v>
      </c>
      <c r="G486" s="34">
        <v>0.49585504789229051</v>
      </c>
    </row>
    <row r="487" spans="1:7" x14ac:dyDescent="0.3">
      <c r="A487" s="34">
        <v>486</v>
      </c>
      <c r="B487" s="34">
        <v>745</v>
      </c>
      <c r="C487" s="34">
        <v>39</v>
      </c>
      <c r="D487" s="34">
        <v>14179</v>
      </c>
      <c r="E487" s="34">
        <v>30</v>
      </c>
      <c r="F487" s="34" t="s">
        <v>54</v>
      </c>
      <c r="G487" s="34">
        <v>0.4995050145056471</v>
      </c>
    </row>
    <row r="488" spans="1:7" x14ac:dyDescent="0.3">
      <c r="A488" s="34">
        <v>487</v>
      </c>
      <c r="B488" s="34">
        <v>548</v>
      </c>
      <c r="C488" s="34">
        <v>24</v>
      </c>
      <c r="D488" s="34">
        <v>1552</v>
      </c>
      <c r="E488" s="34">
        <v>32</v>
      </c>
      <c r="F488" s="34" t="s">
        <v>54</v>
      </c>
      <c r="G488" s="34">
        <v>0.49955910413586879</v>
      </c>
    </row>
    <row r="489" spans="1:7" x14ac:dyDescent="0.3">
      <c r="A489" s="34">
        <v>488</v>
      </c>
      <c r="B489" s="34">
        <v>408</v>
      </c>
      <c r="C489" s="34">
        <v>15</v>
      </c>
      <c r="D489" s="34">
        <v>1053</v>
      </c>
      <c r="E489" s="34">
        <v>27</v>
      </c>
      <c r="F489" s="34" t="s">
        <v>54</v>
      </c>
      <c r="G489" s="34">
        <v>0.49956333750312631</v>
      </c>
    </row>
    <row r="490" spans="1:7" x14ac:dyDescent="0.3">
      <c r="A490" s="34">
        <v>489</v>
      </c>
      <c r="B490" s="34">
        <v>455</v>
      </c>
      <c r="C490" s="34">
        <v>24</v>
      </c>
      <c r="D490" s="34">
        <v>4817</v>
      </c>
      <c r="E490" s="34">
        <v>31</v>
      </c>
      <c r="F490" s="34" t="s">
        <v>55</v>
      </c>
      <c r="G490" s="34">
        <v>0.5012706438778769</v>
      </c>
    </row>
    <row r="491" spans="1:7" x14ac:dyDescent="0.3">
      <c r="A491" s="34">
        <v>490</v>
      </c>
      <c r="B491" s="34">
        <v>845</v>
      </c>
      <c r="C491" s="34">
        <v>18</v>
      </c>
      <c r="D491" s="34">
        <v>3422</v>
      </c>
      <c r="E491" s="34">
        <v>47</v>
      </c>
      <c r="F491" s="34" t="s">
        <v>54</v>
      </c>
      <c r="G491" s="34">
        <v>0.50136532059845362</v>
      </c>
    </row>
    <row r="492" spans="1:7" x14ac:dyDescent="0.3">
      <c r="A492" s="34">
        <v>491</v>
      </c>
      <c r="B492" s="34">
        <v>64</v>
      </c>
      <c r="C492" s="34">
        <v>48</v>
      </c>
      <c r="D492" s="34">
        <v>14421</v>
      </c>
      <c r="E492" s="34">
        <v>25</v>
      </c>
      <c r="F492" s="34" t="s">
        <v>55</v>
      </c>
      <c r="G492" s="34">
        <v>0.50185865087321824</v>
      </c>
    </row>
    <row r="493" spans="1:7" x14ac:dyDescent="0.3">
      <c r="A493" s="34">
        <v>492</v>
      </c>
      <c r="B493" s="34">
        <v>669</v>
      </c>
      <c r="C493" s="34">
        <v>12</v>
      </c>
      <c r="D493" s="34">
        <v>4843</v>
      </c>
      <c r="E493" s="34">
        <v>43</v>
      </c>
      <c r="F493" s="34" t="s">
        <v>55</v>
      </c>
      <c r="G493" s="34">
        <v>0.50194707355561285</v>
      </c>
    </row>
    <row r="494" spans="1:7" x14ac:dyDescent="0.3">
      <c r="A494" s="34">
        <v>493</v>
      </c>
      <c r="B494" s="34">
        <v>12</v>
      </c>
      <c r="C494" s="34">
        <v>48</v>
      </c>
      <c r="D494" s="34">
        <v>4308</v>
      </c>
      <c r="E494" s="34">
        <v>24</v>
      </c>
      <c r="F494" s="34" t="s">
        <v>57</v>
      </c>
      <c r="G494" s="34">
        <v>0.50236272425382433</v>
      </c>
    </row>
    <row r="495" spans="1:7" x14ac:dyDescent="0.3">
      <c r="A495" s="34">
        <v>494</v>
      </c>
      <c r="B495" s="34">
        <v>161</v>
      </c>
      <c r="C495" s="34">
        <v>24</v>
      </c>
      <c r="D495" s="34">
        <v>2872</v>
      </c>
      <c r="E495" s="34">
        <v>36</v>
      </c>
      <c r="F495" s="34" t="s">
        <v>54</v>
      </c>
      <c r="G495" s="34">
        <v>0.50753014037346578</v>
      </c>
    </row>
    <row r="496" spans="1:7" x14ac:dyDescent="0.3">
      <c r="A496" s="34">
        <v>495</v>
      </c>
      <c r="B496" s="34">
        <v>146</v>
      </c>
      <c r="C496" s="34">
        <v>48</v>
      </c>
      <c r="D496" s="34">
        <v>3566</v>
      </c>
      <c r="E496" s="34">
        <v>30</v>
      </c>
      <c r="F496" s="34" t="s">
        <v>54</v>
      </c>
      <c r="G496" s="34">
        <v>0.50949970530422106</v>
      </c>
    </row>
    <row r="497" spans="1:7" x14ac:dyDescent="0.3">
      <c r="A497" s="34">
        <v>496</v>
      </c>
      <c r="B497" s="34">
        <v>931</v>
      </c>
      <c r="C497" s="34">
        <v>24</v>
      </c>
      <c r="D497" s="34">
        <v>1747</v>
      </c>
      <c r="E497" s="34">
        <v>24</v>
      </c>
      <c r="F497" s="34" t="s">
        <v>54</v>
      </c>
      <c r="G497" s="34">
        <v>0.50961489557336148</v>
      </c>
    </row>
    <row r="498" spans="1:7" x14ac:dyDescent="0.3">
      <c r="A498" s="34">
        <v>497</v>
      </c>
      <c r="B498" s="34">
        <v>108</v>
      </c>
      <c r="C498" s="34">
        <v>12</v>
      </c>
      <c r="D498" s="34">
        <v>6078</v>
      </c>
      <c r="E498" s="34">
        <v>32</v>
      </c>
      <c r="F498" s="34" t="s">
        <v>54</v>
      </c>
      <c r="G498" s="34">
        <v>0.51157011554575849</v>
      </c>
    </row>
    <row r="499" spans="1:7" x14ac:dyDescent="0.3">
      <c r="A499" s="34">
        <v>498</v>
      </c>
      <c r="B499" s="34">
        <v>93</v>
      </c>
      <c r="C499" s="34">
        <v>12</v>
      </c>
      <c r="D499" s="34">
        <v>797</v>
      </c>
      <c r="E499" s="34">
        <v>33</v>
      </c>
      <c r="F499" s="34" t="s">
        <v>57</v>
      </c>
      <c r="G499" s="34">
        <v>0.5115814543085736</v>
      </c>
    </row>
    <row r="500" spans="1:7" x14ac:dyDescent="0.3">
      <c r="A500" s="34">
        <v>499</v>
      </c>
      <c r="B500" s="34">
        <v>87</v>
      </c>
      <c r="C500" s="34">
        <v>18</v>
      </c>
      <c r="D500" s="34">
        <v>1295</v>
      </c>
      <c r="E500" s="34">
        <v>27</v>
      </c>
      <c r="F500" s="34" t="s">
        <v>56</v>
      </c>
      <c r="G500" s="34">
        <v>0.51171063402171935</v>
      </c>
    </row>
    <row r="501" spans="1:7" x14ac:dyDescent="0.3">
      <c r="A501" s="34">
        <v>500</v>
      </c>
      <c r="B501" s="34">
        <v>683</v>
      </c>
      <c r="C501" s="34">
        <v>15</v>
      </c>
      <c r="D501" s="34">
        <v>1478</v>
      </c>
      <c r="E501" s="34">
        <v>33</v>
      </c>
      <c r="F501" s="34" t="s">
        <v>54</v>
      </c>
      <c r="G501" s="34">
        <v>0.51234129185133881</v>
      </c>
    </row>
    <row r="502" spans="1:7" x14ac:dyDescent="0.3">
      <c r="A502" s="34">
        <v>501</v>
      </c>
      <c r="B502" s="34">
        <v>951</v>
      </c>
      <c r="C502" s="34">
        <v>18</v>
      </c>
      <c r="D502" s="34">
        <v>3590</v>
      </c>
      <c r="E502" s="34">
        <v>40</v>
      </c>
      <c r="F502" s="34" t="s">
        <v>54</v>
      </c>
      <c r="G502" s="34">
        <v>0.51338675358961394</v>
      </c>
    </row>
    <row r="503" spans="1:7" x14ac:dyDescent="0.3">
      <c r="A503" s="34">
        <v>502</v>
      </c>
      <c r="B503" s="34">
        <v>821</v>
      </c>
      <c r="C503" s="34">
        <v>12</v>
      </c>
      <c r="D503" s="34">
        <v>1101</v>
      </c>
      <c r="E503" s="34">
        <v>27</v>
      </c>
      <c r="F503" s="34" t="s">
        <v>54</v>
      </c>
      <c r="G503" s="34">
        <v>0.51721605291569317</v>
      </c>
    </row>
    <row r="504" spans="1:7" x14ac:dyDescent="0.3">
      <c r="A504" s="34">
        <v>503</v>
      </c>
      <c r="B504" s="34">
        <v>21</v>
      </c>
      <c r="C504" s="34">
        <v>9</v>
      </c>
      <c r="D504" s="34">
        <v>2134</v>
      </c>
      <c r="E504" s="34">
        <v>48</v>
      </c>
      <c r="F504" s="34" t="s">
        <v>54</v>
      </c>
      <c r="G504" s="34">
        <v>0.51780774008633224</v>
      </c>
    </row>
    <row r="505" spans="1:7" x14ac:dyDescent="0.3">
      <c r="A505" s="34">
        <v>504</v>
      </c>
      <c r="B505" s="34">
        <v>416</v>
      </c>
      <c r="C505" s="34">
        <v>36</v>
      </c>
      <c r="D505" s="34">
        <v>5842</v>
      </c>
      <c r="E505" s="34">
        <v>35</v>
      </c>
      <c r="F505" s="34" t="s">
        <v>54</v>
      </c>
      <c r="G505" s="34">
        <v>0.51832332991246688</v>
      </c>
    </row>
    <row r="506" spans="1:7" x14ac:dyDescent="0.3">
      <c r="A506" s="34">
        <v>505</v>
      </c>
      <c r="B506" s="34">
        <v>500</v>
      </c>
      <c r="C506" s="34">
        <v>6</v>
      </c>
      <c r="D506" s="34">
        <v>1323</v>
      </c>
      <c r="E506" s="34">
        <v>28</v>
      </c>
      <c r="F506" s="34" t="s">
        <v>54</v>
      </c>
      <c r="G506" s="34">
        <v>0.51913522189053041</v>
      </c>
    </row>
    <row r="507" spans="1:7" x14ac:dyDescent="0.3">
      <c r="A507" s="34">
        <v>506</v>
      </c>
      <c r="B507" s="34">
        <v>987</v>
      </c>
      <c r="C507" s="34">
        <v>42</v>
      </c>
      <c r="D507" s="34">
        <v>6289</v>
      </c>
      <c r="E507" s="34">
        <v>33</v>
      </c>
      <c r="F507" s="34" t="s">
        <v>54</v>
      </c>
      <c r="G507" s="34">
        <v>0.5198141913672466</v>
      </c>
    </row>
    <row r="508" spans="1:7" x14ac:dyDescent="0.3">
      <c r="A508" s="34">
        <v>507</v>
      </c>
      <c r="B508" s="34">
        <v>430</v>
      </c>
      <c r="C508" s="34">
        <v>18</v>
      </c>
      <c r="D508" s="34">
        <v>1190</v>
      </c>
      <c r="E508" s="34">
        <v>55</v>
      </c>
      <c r="F508" s="34" t="s">
        <v>57</v>
      </c>
      <c r="G508" s="34">
        <v>0.52065733385624324</v>
      </c>
    </row>
    <row r="509" spans="1:7" x14ac:dyDescent="0.3">
      <c r="A509" s="34">
        <v>508</v>
      </c>
      <c r="B509" s="34">
        <v>395</v>
      </c>
      <c r="C509" s="34">
        <v>9</v>
      </c>
      <c r="D509" s="34">
        <v>2406</v>
      </c>
      <c r="E509" s="34">
        <v>31</v>
      </c>
      <c r="F509" s="34" t="s">
        <v>54</v>
      </c>
      <c r="G509" s="34">
        <v>0.52082672420594822</v>
      </c>
    </row>
    <row r="510" spans="1:7" x14ac:dyDescent="0.3">
      <c r="A510" s="34">
        <v>509</v>
      </c>
      <c r="B510" s="34">
        <v>600</v>
      </c>
      <c r="C510" s="34">
        <v>24</v>
      </c>
      <c r="D510" s="34">
        <v>3863</v>
      </c>
      <c r="E510" s="34">
        <v>32</v>
      </c>
      <c r="F510" s="34" t="s">
        <v>54</v>
      </c>
      <c r="G510" s="34">
        <v>0.52167373713531728</v>
      </c>
    </row>
    <row r="511" spans="1:7" x14ac:dyDescent="0.3">
      <c r="A511" s="34">
        <v>510</v>
      </c>
      <c r="B511" s="34">
        <v>68</v>
      </c>
      <c r="C511" s="34">
        <v>12</v>
      </c>
      <c r="D511" s="34">
        <v>1007</v>
      </c>
      <c r="E511" s="34">
        <v>22</v>
      </c>
      <c r="F511" s="34" t="s">
        <v>54</v>
      </c>
      <c r="G511" s="34">
        <v>0.52168325204970456</v>
      </c>
    </row>
    <row r="512" spans="1:7" x14ac:dyDescent="0.3">
      <c r="A512" s="34">
        <v>511</v>
      </c>
      <c r="B512" s="34">
        <v>876</v>
      </c>
      <c r="C512" s="34">
        <v>11</v>
      </c>
      <c r="D512" s="34">
        <v>1322</v>
      </c>
      <c r="E512" s="34">
        <v>40</v>
      </c>
      <c r="F512" s="34" t="s">
        <v>56</v>
      </c>
      <c r="G512" s="34">
        <v>0.52342038947681413</v>
      </c>
    </row>
    <row r="513" spans="1:7" x14ac:dyDescent="0.3">
      <c r="A513" s="34">
        <v>512</v>
      </c>
      <c r="B513" s="34">
        <v>647</v>
      </c>
      <c r="C513" s="34">
        <v>30</v>
      </c>
      <c r="D513" s="34">
        <v>4583</v>
      </c>
      <c r="E513" s="34">
        <v>32</v>
      </c>
      <c r="F513" s="34" t="s">
        <v>54</v>
      </c>
      <c r="G513" s="34">
        <v>0.52854223643875065</v>
      </c>
    </row>
    <row r="514" spans="1:7" x14ac:dyDescent="0.3">
      <c r="A514" s="34">
        <v>513</v>
      </c>
      <c r="B514" s="34">
        <v>305</v>
      </c>
      <c r="C514" s="34">
        <v>48</v>
      </c>
      <c r="D514" s="34">
        <v>10127</v>
      </c>
      <c r="E514" s="34">
        <v>44</v>
      </c>
      <c r="F514" s="34" t="s">
        <v>55</v>
      </c>
      <c r="G514" s="34">
        <v>0.52905222882343406</v>
      </c>
    </row>
    <row r="515" spans="1:7" x14ac:dyDescent="0.3">
      <c r="A515" s="34">
        <v>514</v>
      </c>
      <c r="B515" s="34">
        <v>810</v>
      </c>
      <c r="C515" s="34">
        <v>15</v>
      </c>
      <c r="D515" s="34">
        <v>1778</v>
      </c>
      <c r="E515" s="34">
        <v>26</v>
      </c>
      <c r="F515" s="34" t="s">
        <v>57</v>
      </c>
      <c r="G515" s="34">
        <v>0.52913058206402397</v>
      </c>
    </row>
    <row r="516" spans="1:7" x14ac:dyDescent="0.3">
      <c r="A516" s="34">
        <v>515</v>
      </c>
      <c r="B516" s="34">
        <v>7</v>
      </c>
      <c r="C516" s="34">
        <v>24</v>
      </c>
      <c r="D516" s="34">
        <v>2835</v>
      </c>
      <c r="E516" s="34">
        <v>53</v>
      </c>
      <c r="F516" s="34" t="s">
        <v>54</v>
      </c>
      <c r="G516" s="34">
        <v>0.52913312492338604</v>
      </c>
    </row>
    <row r="517" spans="1:7" x14ac:dyDescent="0.3">
      <c r="A517" s="34">
        <v>516</v>
      </c>
      <c r="B517" s="34">
        <v>58</v>
      </c>
      <c r="C517" s="34">
        <v>36</v>
      </c>
      <c r="D517" s="34">
        <v>9566</v>
      </c>
      <c r="E517" s="34">
        <v>31</v>
      </c>
      <c r="F517" s="34" t="s">
        <v>56</v>
      </c>
      <c r="G517" s="34">
        <v>0.53001885987970343</v>
      </c>
    </row>
    <row r="518" spans="1:7" x14ac:dyDescent="0.3">
      <c r="A518" s="34">
        <v>517</v>
      </c>
      <c r="B518" s="34">
        <v>973</v>
      </c>
      <c r="C518" s="34">
        <v>24</v>
      </c>
      <c r="D518" s="34">
        <v>1193</v>
      </c>
      <c r="E518" s="34">
        <v>29</v>
      </c>
      <c r="F518" s="34" t="s">
        <v>57</v>
      </c>
      <c r="G518" s="34">
        <v>0.53029281891855051</v>
      </c>
    </row>
    <row r="519" spans="1:7" x14ac:dyDescent="0.3">
      <c r="A519" s="34">
        <v>518</v>
      </c>
      <c r="B519" s="34">
        <v>823</v>
      </c>
      <c r="C519" s="34">
        <v>36</v>
      </c>
      <c r="D519" s="34">
        <v>2712</v>
      </c>
      <c r="E519" s="34">
        <v>41</v>
      </c>
      <c r="F519" s="34" t="s">
        <v>55</v>
      </c>
      <c r="G519" s="34">
        <v>0.53058679264948527</v>
      </c>
    </row>
    <row r="520" spans="1:7" x14ac:dyDescent="0.3">
      <c r="A520" s="34">
        <v>519</v>
      </c>
      <c r="B520" s="34">
        <v>525</v>
      </c>
      <c r="C520" s="34">
        <v>18</v>
      </c>
      <c r="D520" s="34">
        <v>1113</v>
      </c>
      <c r="E520" s="34">
        <v>26</v>
      </c>
      <c r="F520" s="34" t="s">
        <v>56</v>
      </c>
      <c r="G520" s="34">
        <v>0.53356421609425109</v>
      </c>
    </row>
    <row r="521" spans="1:7" x14ac:dyDescent="0.3">
      <c r="A521" s="34">
        <v>520</v>
      </c>
      <c r="B521" s="34">
        <v>332</v>
      </c>
      <c r="C521" s="34">
        <v>18</v>
      </c>
      <c r="D521" s="34">
        <v>1864</v>
      </c>
      <c r="E521" s="34">
        <v>30</v>
      </c>
      <c r="F521" s="34" t="s">
        <v>57</v>
      </c>
      <c r="G521" s="34">
        <v>0.53493451678360293</v>
      </c>
    </row>
    <row r="522" spans="1:7" x14ac:dyDescent="0.3">
      <c r="A522" s="34">
        <v>521</v>
      </c>
      <c r="B522" s="34">
        <v>964</v>
      </c>
      <c r="C522" s="34">
        <v>24</v>
      </c>
      <c r="D522" s="34">
        <v>2397</v>
      </c>
      <c r="E522" s="34">
        <v>35</v>
      </c>
      <c r="F522" s="34" t="s">
        <v>55</v>
      </c>
      <c r="G522" s="34">
        <v>0.53535309507155771</v>
      </c>
    </row>
    <row r="523" spans="1:7" x14ac:dyDescent="0.3">
      <c r="A523" s="34">
        <v>522</v>
      </c>
      <c r="B523" s="34">
        <v>566</v>
      </c>
      <c r="C523" s="34">
        <v>24</v>
      </c>
      <c r="D523" s="34">
        <v>1553</v>
      </c>
      <c r="E523" s="34">
        <v>23</v>
      </c>
      <c r="F523" s="34" t="s">
        <v>56</v>
      </c>
      <c r="G523" s="34">
        <v>0.53567390089735578</v>
      </c>
    </row>
    <row r="524" spans="1:7" x14ac:dyDescent="0.3">
      <c r="A524" s="34">
        <v>523</v>
      </c>
      <c r="B524" s="34">
        <v>130</v>
      </c>
      <c r="C524" s="34">
        <v>12</v>
      </c>
      <c r="D524" s="34">
        <v>3499</v>
      </c>
      <c r="E524" s="34">
        <v>29</v>
      </c>
      <c r="F524" s="34" t="s">
        <v>57</v>
      </c>
      <c r="G524" s="34">
        <v>0.53646539986925301</v>
      </c>
    </row>
    <row r="525" spans="1:7" x14ac:dyDescent="0.3">
      <c r="A525" s="34">
        <v>524</v>
      </c>
      <c r="B525" s="34">
        <v>72</v>
      </c>
      <c r="C525" s="34">
        <v>7</v>
      </c>
      <c r="D525" s="34">
        <v>730</v>
      </c>
      <c r="E525" s="34">
        <v>46</v>
      </c>
      <c r="F525" s="34" t="s">
        <v>54</v>
      </c>
      <c r="G525" s="34">
        <v>0.53648132603001264</v>
      </c>
    </row>
    <row r="526" spans="1:7" x14ac:dyDescent="0.3">
      <c r="A526" s="34">
        <v>525</v>
      </c>
      <c r="B526" s="34">
        <v>1</v>
      </c>
      <c r="C526" s="34">
        <v>6</v>
      </c>
      <c r="D526" s="34">
        <v>1169</v>
      </c>
      <c r="E526" s="34">
        <v>67</v>
      </c>
      <c r="F526" s="34" t="s">
        <v>54</v>
      </c>
      <c r="G526" s="34">
        <v>0.53982165175639663</v>
      </c>
    </row>
    <row r="527" spans="1:7" x14ac:dyDescent="0.3">
      <c r="A527" s="34">
        <v>526</v>
      </c>
      <c r="B527" s="34">
        <v>494</v>
      </c>
      <c r="C527" s="34">
        <v>6</v>
      </c>
      <c r="D527" s="34">
        <v>368</v>
      </c>
      <c r="E527" s="34">
        <v>38</v>
      </c>
      <c r="F527" s="34" t="s">
        <v>54</v>
      </c>
      <c r="G527" s="34">
        <v>0.54189504840738656</v>
      </c>
    </row>
    <row r="528" spans="1:7" x14ac:dyDescent="0.3">
      <c r="A528" s="34">
        <v>527</v>
      </c>
      <c r="B528" s="34">
        <v>670</v>
      </c>
      <c r="C528" s="34">
        <v>30</v>
      </c>
      <c r="D528" s="34">
        <v>3017</v>
      </c>
      <c r="E528" s="34">
        <v>47</v>
      </c>
      <c r="F528" s="34" t="s">
        <v>54</v>
      </c>
      <c r="G528" s="34">
        <v>0.54238212326308211</v>
      </c>
    </row>
    <row r="529" spans="1:7" x14ac:dyDescent="0.3">
      <c r="A529" s="34">
        <v>528</v>
      </c>
      <c r="B529" s="34">
        <v>827</v>
      </c>
      <c r="C529" s="34">
        <v>18</v>
      </c>
      <c r="D529" s="34">
        <v>3966</v>
      </c>
      <c r="E529" s="34">
        <v>33</v>
      </c>
      <c r="F529" s="34" t="s">
        <v>57</v>
      </c>
      <c r="G529" s="34">
        <v>0.54267352505173805</v>
      </c>
    </row>
    <row r="530" spans="1:7" x14ac:dyDescent="0.3">
      <c r="A530" s="34">
        <v>529</v>
      </c>
      <c r="B530" s="34">
        <v>717</v>
      </c>
      <c r="C530" s="34">
        <v>30</v>
      </c>
      <c r="D530" s="34">
        <v>3077</v>
      </c>
      <c r="E530" s="34">
        <v>40</v>
      </c>
      <c r="F530" s="34" t="s">
        <v>54</v>
      </c>
      <c r="G530" s="34">
        <v>0.54304744578706921</v>
      </c>
    </row>
    <row r="531" spans="1:7" x14ac:dyDescent="0.3">
      <c r="A531" s="34">
        <v>530</v>
      </c>
      <c r="B531" s="34">
        <v>913</v>
      </c>
      <c r="C531" s="34">
        <v>30</v>
      </c>
      <c r="D531" s="34">
        <v>2991</v>
      </c>
      <c r="E531" s="34">
        <v>25</v>
      </c>
      <c r="F531" s="34" t="s">
        <v>56</v>
      </c>
      <c r="G531" s="34">
        <v>0.54523606813227721</v>
      </c>
    </row>
    <row r="532" spans="1:7" x14ac:dyDescent="0.3">
      <c r="A532" s="34">
        <v>531</v>
      </c>
      <c r="B532" s="34">
        <v>299</v>
      </c>
      <c r="C532" s="34">
        <v>18</v>
      </c>
      <c r="D532" s="34">
        <v>2515</v>
      </c>
      <c r="E532" s="34">
        <v>43</v>
      </c>
      <c r="F532" s="34" t="s">
        <v>54</v>
      </c>
      <c r="G532" s="34">
        <v>0.54533173058960605</v>
      </c>
    </row>
    <row r="533" spans="1:7" x14ac:dyDescent="0.3">
      <c r="A533" s="34">
        <v>532</v>
      </c>
      <c r="B533" s="34">
        <v>661</v>
      </c>
      <c r="C533" s="34">
        <v>12</v>
      </c>
      <c r="D533" s="34">
        <v>1297</v>
      </c>
      <c r="E533" s="34">
        <v>23</v>
      </c>
      <c r="F533" s="34" t="s">
        <v>54</v>
      </c>
      <c r="G533" s="34">
        <v>0.54602777439072603</v>
      </c>
    </row>
    <row r="534" spans="1:7" x14ac:dyDescent="0.3">
      <c r="A534" s="34">
        <v>533</v>
      </c>
      <c r="B534" s="34">
        <v>633</v>
      </c>
      <c r="C534" s="34">
        <v>15</v>
      </c>
      <c r="D534" s="34">
        <v>1444</v>
      </c>
      <c r="E534" s="34">
        <v>23</v>
      </c>
      <c r="F534" s="34" t="s">
        <v>54</v>
      </c>
      <c r="G534" s="34">
        <v>0.54637966849715447</v>
      </c>
    </row>
    <row r="535" spans="1:7" x14ac:dyDescent="0.3">
      <c r="A535" s="34">
        <v>534</v>
      </c>
      <c r="B535" s="34">
        <v>996</v>
      </c>
      <c r="C535" s="34">
        <v>12</v>
      </c>
      <c r="D535" s="34">
        <v>1736</v>
      </c>
      <c r="E535" s="34">
        <v>31</v>
      </c>
      <c r="F535" s="34" t="s">
        <v>56</v>
      </c>
      <c r="G535" s="34">
        <v>0.54822511732685475</v>
      </c>
    </row>
    <row r="536" spans="1:7" x14ac:dyDescent="0.3">
      <c r="A536" s="34">
        <v>535</v>
      </c>
      <c r="B536" s="34">
        <v>815</v>
      </c>
      <c r="C536" s="34">
        <v>48</v>
      </c>
      <c r="D536" s="34">
        <v>3931</v>
      </c>
      <c r="E536" s="34">
        <v>46</v>
      </c>
      <c r="F536" s="34" t="s">
        <v>55</v>
      </c>
      <c r="G536" s="34">
        <v>0.54831473621360471</v>
      </c>
    </row>
    <row r="537" spans="1:7" x14ac:dyDescent="0.3">
      <c r="A537" s="34">
        <v>536</v>
      </c>
      <c r="B537" s="34">
        <v>5</v>
      </c>
      <c r="C537" s="34">
        <v>24</v>
      </c>
      <c r="D537" s="34">
        <v>4870</v>
      </c>
      <c r="E537" s="34">
        <v>53</v>
      </c>
      <c r="F537" s="34" t="s">
        <v>55</v>
      </c>
      <c r="G537" s="34">
        <v>0.54835374123364777</v>
      </c>
    </row>
    <row r="538" spans="1:7" x14ac:dyDescent="0.3">
      <c r="A538" s="34">
        <v>537</v>
      </c>
      <c r="B538" s="34">
        <v>884</v>
      </c>
      <c r="C538" s="34">
        <v>18</v>
      </c>
      <c r="D538" s="34">
        <v>1098</v>
      </c>
      <c r="E538" s="34">
        <v>65</v>
      </c>
      <c r="F538" s="34" t="s">
        <v>56</v>
      </c>
      <c r="G538" s="34">
        <v>0.54961806594677143</v>
      </c>
    </row>
    <row r="539" spans="1:7" x14ac:dyDescent="0.3">
      <c r="A539" s="34">
        <v>538</v>
      </c>
      <c r="B539" s="34">
        <v>504</v>
      </c>
      <c r="C539" s="34">
        <v>24</v>
      </c>
      <c r="D539" s="34">
        <v>1216</v>
      </c>
      <c r="E539" s="34">
        <v>38</v>
      </c>
      <c r="F539" s="34" t="s">
        <v>55</v>
      </c>
      <c r="G539" s="34">
        <v>0.5508416196970094</v>
      </c>
    </row>
    <row r="540" spans="1:7" x14ac:dyDescent="0.3">
      <c r="A540" s="34">
        <v>539</v>
      </c>
      <c r="B540" s="34">
        <v>339</v>
      </c>
      <c r="C540" s="34">
        <v>24</v>
      </c>
      <c r="D540" s="34">
        <v>4169</v>
      </c>
      <c r="E540" s="34">
        <v>28</v>
      </c>
      <c r="F540" s="34" t="s">
        <v>54</v>
      </c>
      <c r="G540" s="34">
        <v>0.55253689069244338</v>
      </c>
    </row>
    <row r="541" spans="1:7" x14ac:dyDescent="0.3">
      <c r="A541" s="34">
        <v>540</v>
      </c>
      <c r="B541" s="34">
        <v>563</v>
      </c>
      <c r="C541" s="34">
        <v>6</v>
      </c>
      <c r="D541" s="34">
        <v>683</v>
      </c>
      <c r="E541" s="34">
        <v>29</v>
      </c>
      <c r="F541" s="34" t="s">
        <v>56</v>
      </c>
      <c r="G541" s="34">
        <v>0.55526620085316702</v>
      </c>
    </row>
    <row r="542" spans="1:7" x14ac:dyDescent="0.3">
      <c r="A542" s="34">
        <v>541</v>
      </c>
      <c r="B542" s="34">
        <v>214</v>
      </c>
      <c r="C542" s="34">
        <v>30</v>
      </c>
      <c r="D542" s="34">
        <v>1908</v>
      </c>
      <c r="E542" s="34">
        <v>66</v>
      </c>
      <c r="F542" s="34" t="s">
        <v>55</v>
      </c>
      <c r="G542" s="34">
        <v>0.55536233119078182</v>
      </c>
    </row>
    <row r="543" spans="1:7" x14ac:dyDescent="0.3">
      <c r="A543" s="34">
        <v>542</v>
      </c>
      <c r="B543" s="34">
        <v>825</v>
      </c>
      <c r="C543" s="34">
        <v>18</v>
      </c>
      <c r="D543" s="34">
        <v>3780</v>
      </c>
      <c r="E543" s="34">
        <v>35</v>
      </c>
      <c r="F543" s="34" t="s">
        <v>54</v>
      </c>
      <c r="G543" s="34">
        <v>0.55553505491216471</v>
      </c>
    </row>
    <row r="544" spans="1:7" x14ac:dyDescent="0.3">
      <c r="A544" s="34">
        <v>543</v>
      </c>
      <c r="B544" s="34">
        <v>245</v>
      </c>
      <c r="C544" s="34">
        <v>12</v>
      </c>
      <c r="D544" s="34">
        <v>3447</v>
      </c>
      <c r="E544" s="34">
        <v>35</v>
      </c>
      <c r="F544" s="34" t="s">
        <v>56</v>
      </c>
      <c r="G544" s="34">
        <v>0.55659066580163208</v>
      </c>
    </row>
    <row r="545" spans="1:7" x14ac:dyDescent="0.3">
      <c r="A545" s="34">
        <v>544</v>
      </c>
      <c r="B545" s="34">
        <v>471</v>
      </c>
      <c r="C545" s="34">
        <v>24</v>
      </c>
      <c r="D545" s="34">
        <v>3092</v>
      </c>
      <c r="E545" s="34">
        <v>22</v>
      </c>
      <c r="F545" s="34" t="s">
        <v>55</v>
      </c>
      <c r="G545" s="34">
        <v>0.55719279533347565</v>
      </c>
    </row>
    <row r="546" spans="1:7" x14ac:dyDescent="0.3">
      <c r="A546" s="34">
        <v>545</v>
      </c>
      <c r="B546" s="34">
        <v>492</v>
      </c>
      <c r="C546" s="34">
        <v>27</v>
      </c>
      <c r="D546" s="34">
        <v>8318</v>
      </c>
      <c r="E546" s="34">
        <v>42</v>
      </c>
      <c r="F546" s="34" t="s">
        <v>57</v>
      </c>
      <c r="G546" s="34">
        <v>0.5584937322168767</v>
      </c>
    </row>
    <row r="547" spans="1:7" x14ac:dyDescent="0.3">
      <c r="A547" s="34">
        <v>546</v>
      </c>
      <c r="B547" s="34">
        <v>682</v>
      </c>
      <c r="C547" s="34">
        <v>12</v>
      </c>
      <c r="D547" s="34">
        <v>2279</v>
      </c>
      <c r="E547" s="34">
        <v>37</v>
      </c>
      <c r="F547" s="34" t="s">
        <v>54</v>
      </c>
      <c r="G547" s="34">
        <v>0.55925444024739779</v>
      </c>
    </row>
    <row r="548" spans="1:7" x14ac:dyDescent="0.3">
      <c r="A548" s="34">
        <v>547</v>
      </c>
      <c r="B548" s="34">
        <v>558</v>
      </c>
      <c r="C548" s="34">
        <v>21</v>
      </c>
      <c r="D548" s="34">
        <v>5003</v>
      </c>
      <c r="E548" s="34">
        <v>29</v>
      </c>
      <c r="F548" s="34" t="s">
        <v>57</v>
      </c>
      <c r="G548" s="34">
        <v>0.55925620702712719</v>
      </c>
    </row>
    <row r="549" spans="1:7" x14ac:dyDescent="0.3">
      <c r="A549" s="34">
        <v>548</v>
      </c>
      <c r="B549" s="34">
        <v>593</v>
      </c>
      <c r="C549" s="34">
        <v>21</v>
      </c>
      <c r="D549" s="34">
        <v>1572</v>
      </c>
      <c r="E549" s="34">
        <v>36</v>
      </c>
      <c r="F549" s="34" t="s">
        <v>56</v>
      </c>
      <c r="G549" s="34">
        <v>0.56057374500565393</v>
      </c>
    </row>
    <row r="550" spans="1:7" x14ac:dyDescent="0.3">
      <c r="A550" s="34">
        <v>549</v>
      </c>
      <c r="B550" s="34">
        <v>911</v>
      </c>
      <c r="C550" s="34">
        <v>36</v>
      </c>
      <c r="D550" s="34">
        <v>4454</v>
      </c>
      <c r="E550" s="34">
        <v>34</v>
      </c>
      <c r="F550" s="34" t="s">
        <v>56</v>
      </c>
      <c r="G550" s="34">
        <v>0.56508025181431065</v>
      </c>
    </row>
    <row r="551" spans="1:7" x14ac:dyDescent="0.3">
      <c r="A551" s="34">
        <v>550</v>
      </c>
      <c r="B551" s="34">
        <v>290</v>
      </c>
      <c r="C551" s="34">
        <v>24</v>
      </c>
      <c r="D551" s="34">
        <v>1024</v>
      </c>
      <c r="E551" s="34">
        <v>48</v>
      </c>
      <c r="F551" s="34" t="s">
        <v>55</v>
      </c>
      <c r="G551" s="34">
        <v>0.56564384422798653</v>
      </c>
    </row>
    <row r="552" spans="1:7" x14ac:dyDescent="0.3">
      <c r="A552" s="34">
        <v>551</v>
      </c>
      <c r="B552" s="34">
        <v>486</v>
      </c>
      <c r="C552" s="34">
        <v>6</v>
      </c>
      <c r="D552" s="34">
        <v>1209</v>
      </c>
      <c r="E552" s="34">
        <v>47</v>
      </c>
      <c r="F552" s="34" t="s">
        <v>55</v>
      </c>
      <c r="G552" s="34">
        <v>0.56637288532708419</v>
      </c>
    </row>
    <row r="553" spans="1:7" x14ac:dyDescent="0.3">
      <c r="A553" s="34">
        <v>552</v>
      </c>
      <c r="B553" s="34">
        <v>77</v>
      </c>
      <c r="C553" s="34">
        <v>42</v>
      </c>
      <c r="D553" s="34">
        <v>3965</v>
      </c>
      <c r="E553" s="34">
        <v>34</v>
      </c>
      <c r="F553" s="34" t="s">
        <v>55</v>
      </c>
      <c r="G553" s="34">
        <v>0.56687663616969364</v>
      </c>
    </row>
    <row r="554" spans="1:7" x14ac:dyDescent="0.3">
      <c r="A554" s="34">
        <v>553</v>
      </c>
      <c r="B554" s="34">
        <v>361</v>
      </c>
      <c r="C554" s="34">
        <v>18</v>
      </c>
      <c r="D554" s="34">
        <v>1239</v>
      </c>
      <c r="E554" s="34">
        <v>61</v>
      </c>
      <c r="F554" s="34" t="s">
        <v>54</v>
      </c>
      <c r="G554" s="34">
        <v>0.56712050963877636</v>
      </c>
    </row>
    <row r="555" spans="1:7" x14ac:dyDescent="0.3">
      <c r="A555" s="34">
        <v>554</v>
      </c>
      <c r="B555" s="34">
        <v>410</v>
      </c>
      <c r="C555" s="34">
        <v>12</v>
      </c>
      <c r="D555" s="34">
        <v>939</v>
      </c>
      <c r="E555" s="34">
        <v>28</v>
      </c>
      <c r="F555" s="34" t="s">
        <v>55</v>
      </c>
      <c r="G555" s="34">
        <v>0.56730241418156446</v>
      </c>
    </row>
    <row r="556" spans="1:7" x14ac:dyDescent="0.3">
      <c r="A556" s="34">
        <v>555</v>
      </c>
      <c r="B556" s="34">
        <v>955</v>
      </c>
      <c r="C556" s="34">
        <v>12</v>
      </c>
      <c r="D556" s="34">
        <v>1893</v>
      </c>
      <c r="E556" s="34">
        <v>29</v>
      </c>
      <c r="F556" s="34" t="s">
        <v>56</v>
      </c>
      <c r="G556" s="34">
        <v>0.56803540685473908</v>
      </c>
    </row>
    <row r="557" spans="1:7" x14ac:dyDescent="0.3">
      <c r="A557" s="34">
        <v>556</v>
      </c>
      <c r="B557" s="34">
        <v>459</v>
      </c>
      <c r="C557" s="34">
        <v>6</v>
      </c>
      <c r="D557" s="34">
        <v>343</v>
      </c>
      <c r="E557" s="34">
        <v>27</v>
      </c>
      <c r="F557" s="34" t="s">
        <v>56</v>
      </c>
      <c r="G557" s="34">
        <v>0.56834807942994148</v>
      </c>
    </row>
    <row r="558" spans="1:7" x14ac:dyDescent="0.3">
      <c r="A558" s="34">
        <v>557</v>
      </c>
      <c r="B558" s="34">
        <v>496</v>
      </c>
      <c r="C558" s="34">
        <v>24</v>
      </c>
      <c r="D558" s="34">
        <v>2996</v>
      </c>
      <c r="E558" s="34">
        <v>20</v>
      </c>
      <c r="F558" s="34" t="s">
        <v>55</v>
      </c>
      <c r="G558" s="34">
        <v>0.56973002171643738</v>
      </c>
    </row>
    <row r="559" spans="1:7" x14ac:dyDescent="0.3">
      <c r="A559" s="34">
        <v>558</v>
      </c>
      <c r="B559" s="34">
        <v>20</v>
      </c>
      <c r="C559" s="34">
        <v>24</v>
      </c>
      <c r="D559" s="34">
        <v>3430</v>
      </c>
      <c r="E559" s="34">
        <v>31</v>
      </c>
      <c r="F559" s="34" t="s">
        <v>54</v>
      </c>
      <c r="G559" s="34">
        <v>0.57004825385581481</v>
      </c>
    </row>
    <row r="560" spans="1:7" x14ac:dyDescent="0.3">
      <c r="A560" s="34">
        <v>559</v>
      </c>
      <c r="B560" s="34">
        <v>188</v>
      </c>
      <c r="C560" s="34">
        <v>16</v>
      </c>
      <c r="D560" s="34">
        <v>1175</v>
      </c>
      <c r="E560" s="34">
        <v>68</v>
      </c>
      <c r="F560" s="34" t="s">
        <v>54</v>
      </c>
      <c r="G560" s="34">
        <v>0.57066740790890969</v>
      </c>
    </row>
    <row r="561" spans="1:7" x14ac:dyDescent="0.3">
      <c r="A561" s="34">
        <v>560</v>
      </c>
      <c r="B561" s="34">
        <v>532</v>
      </c>
      <c r="C561" s="34">
        <v>15</v>
      </c>
      <c r="D561" s="34">
        <v>2631</v>
      </c>
      <c r="E561" s="34">
        <v>28</v>
      </c>
      <c r="F561" s="34" t="s">
        <v>57</v>
      </c>
      <c r="G561" s="34">
        <v>0.57069646261380447</v>
      </c>
    </row>
    <row r="562" spans="1:7" x14ac:dyDescent="0.3">
      <c r="A562" s="34">
        <v>561</v>
      </c>
      <c r="B562" s="34">
        <v>679</v>
      </c>
      <c r="C562" s="34">
        <v>24</v>
      </c>
      <c r="D562" s="34">
        <v>2384</v>
      </c>
      <c r="E562" s="34">
        <v>64</v>
      </c>
      <c r="F562" s="34" t="s">
        <v>54</v>
      </c>
      <c r="G562" s="34">
        <v>0.57176681880505498</v>
      </c>
    </row>
    <row r="563" spans="1:7" x14ac:dyDescent="0.3">
      <c r="A563" s="34">
        <v>562</v>
      </c>
      <c r="B563" s="34">
        <v>966</v>
      </c>
      <c r="C563" s="34">
        <v>30</v>
      </c>
      <c r="D563" s="34">
        <v>1715</v>
      </c>
      <c r="E563" s="34">
        <v>26</v>
      </c>
      <c r="F563" s="34" t="s">
        <v>56</v>
      </c>
      <c r="G563" s="34">
        <v>0.5720667823312392</v>
      </c>
    </row>
    <row r="564" spans="1:7" x14ac:dyDescent="0.3">
      <c r="A564" s="34">
        <v>563</v>
      </c>
      <c r="B564" s="34">
        <v>826</v>
      </c>
      <c r="C564" s="34">
        <v>21</v>
      </c>
      <c r="D564" s="34">
        <v>1602</v>
      </c>
      <c r="E564" s="34">
        <v>30</v>
      </c>
      <c r="F564" s="34" t="s">
        <v>54</v>
      </c>
      <c r="G564" s="34">
        <v>0.5723731908330747</v>
      </c>
    </row>
    <row r="565" spans="1:7" x14ac:dyDescent="0.3">
      <c r="A565" s="34">
        <v>564</v>
      </c>
      <c r="B565" s="34">
        <v>957</v>
      </c>
      <c r="C565" s="34">
        <v>30</v>
      </c>
      <c r="D565" s="34">
        <v>3656</v>
      </c>
      <c r="E565" s="34">
        <v>49</v>
      </c>
      <c r="F565" s="34" t="s">
        <v>54</v>
      </c>
      <c r="G565" s="34">
        <v>0.57275156716626452</v>
      </c>
    </row>
    <row r="566" spans="1:7" x14ac:dyDescent="0.3">
      <c r="A566" s="34">
        <v>565</v>
      </c>
      <c r="B566" s="34">
        <v>602</v>
      </c>
      <c r="C566" s="34">
        <v>9</v>
      </c>
      <c r="D566" s="34">
        <v>918</v>
      </c>
      <c r="E566" s="34">
        <v>30</v>
      </c>
      <c r="F566" s="34" t="s">
        <v>57</v>
      </c>
      <c r="G566" s="34">
        <v>0.57378481552463723</v>
      </c>
    </row>
    <row r="567" spans="1:7" x14ac:dyDescent="0.3">
      <c r="A567" s="34">
        <v>566</v>
      </c>
      <c r="B567" s="34">
        <v>818</v>
      </c>
      <c r="C567" s="34">
        <v>6</v>
      </c>
      <c r="D567" s="34">
        <v>1554</v>
      </c>
      <c r="E567" s="34">
        <v>24</v>
      </c>
      <c r="F567" s="34" t="s">
        <v>56</v>
      </c>
      <c r="G567" s="34">
        <v>0.57518147966116129</v>
      </c>
    </row>
    <row r="568" spans="1:7" x14ac:dyDescent="0.3">
      <c r="A568" s="34">
        <v>567</v>
      </c>
      <c r="B568" s="34">
        <v>62</v>
      </c>
      <c r="C568" s="34">
        <v>15</v>
      </c>
      <c r="D568" s="34">
        <v>1537</v>
      </c>
      <c r="E568" s="34">
        <v>50</v>
      </c>
      <c r="F568" s="34" t="s">
        <v>54</v>
      </c>
      <c r="G568" s="34">
        <v>0.57740194348978602</v>
      </c>
    </row>
    <row r="569" spans="1:7" x14ac:dyDescent="0.3">
      <c r="A569" s="34">
        <v>568</v>
      </c>
      <c r="B569" s="34">
        <v>707</v>
      </c>
      <c r="C569" s="34">
        <v>48</v>
      </c>
      <c r="D569" s="34">
        <v>6560</v>
      </c>
      <c r="E569" s="34">
        <v>24</v>
      </c>
      <c r="F569" s="34" t="s">
        <v>55</v>
      </c>
      <c r="G569" s="34">
        <v>0.57740786032301106</v>
      </c>
    </row>
    <row r="570" spans="1:7" x14ac:dyDescent="0.3">
      <c r="A570" s="34">
        <v>569</v>
      </c>
      <c r="B570" s="34">
        <v>337</v>
      </c>
      <c r="C570" s="34">
        <v>13</v>
      </c>
      <c r="D570" s="34">
        <v>2101</v>
      </c>
      <c r="E570" s="34">
        <v>23</v>
      </c>
      <c r="F570" s="34" t="s">
        <v>56</v>
      </c>
      <c r="G570" s="34">
        <v>0.57790826421750363</v>
      </c>
    </row>
    <row r="571" spans="1:7" x14ac:dyDescent="0.3">
      <c r="A571" s="34">
        <v>570</v>
      </c>
      <c r="B571" s="34">
        <v>314</v>
      </c>
      <c r="C571" s="34">
        <v>12</v>
      </c>
      <c r="D571" s="34">
        <v>685</v>
      </c>
      <c r="E571" s="34">
        <v>25</v>
      </c>
      <c r="F571" s="34" t="s">
        <v>55</v>
      </c>
      <c r="G571" s="34">
        <v>0.58108530298128125</v>
      </c>
    </row>
    <row r="572" spans="1:7" x14ac:dyDescent="0.3">
      <c r="A572" s="34">
        <v>571</v>
      </c>
      <c r="B572" s="34">
        <v>978</v>
      </c>
      <c r="C572" s="34">
        <v>18</v>
      </c>
      <c r="D572" s="34">
        <v>2427</v>
      </c>
      <c r="E572" s="34">
        <v>42</v>
      </c>
      <c r="F572" s="34" t="s">
        <v>54</v>
      </c>
      <c r="G572" s="34">
        <v>0.58213096382895158</v>
      </c>
    </row>
    <row r="573" spans="1:7" x14ac:dyDescent="0.3">
      <c r="A573" s="34">
        <v>572</v>
      </c>
      <c r="B573" s="34">
        <v>460</v>
      </c>
      <c r="C573" s="34">
        <v>18</v>
      </c>
      <c r="D573" s="34">
        <v>4594</v>
      </c>
      <c r="E573" s="34">
        <v>32</v>
      </c>
      <c r="F573" s="34" t="s">
        <v>54</v>
      </c>
      <c r="G573" s="34">
        <v>0.58233644194481671</v>
      </c>
    </row>
    <row r="574" spans="1:7" x14ac:dyDescent="0.3">
      <c r="A574" s="34">
        <v>573</v>
      </c>
      <c r="B574" s="34">
        <v>35</v>
      </c>
      <c r="C574" s="34">
        <v>12</v>
      </c>
      <c r="D574" s="34">
        <v>1474</v>
      </c>
      <c r="E574" s="34">
        <v>33</v>
      </c>
      <c r="F574" s="34" t="s">
        <v>56</v>
      </c>
      <c r="G574" s="34">
        <v>0.58305061601296726</v>
      </c>
    </row>
    <row r="575" spans="1:7" x14ac:dyDescent="0.3">
      <c r="A575" s="34">
        <v>574</v>
      </c>
      <c r="B575" s="34">
        <v>895</v>
      </c>
      <c r="C575" s="34">
        <v>18</v>
      </c>
      <c r="D575" s="34">
        <v>1169</v>
      </c>
      <c r="E575" s="34">
        <v>29</v>
      </c>
      <c r="F575" s="34" t="s">
        <v>54</v>
      </c>
      <c r="G575" s="34">
        <v>0.58336499406087994</v>
      </c>
    </row>
    <row r="576" spans="1:7" x14ac:dyDescent="0.3">
      <c r="A576" s="34">
        <v>575</v>
      </c>
      <c r="B576" s="34">
        <v>152</v>
      </c>
      <c r="C576" s="34">
        <v>10</v>
      </c>
      <c r="D576" s="34">
        <v>1924</v>
      </c>
      <c r="E576" s="34">
        <v>38</v>
      </c>
      <c r="F576" s="34" t="s">
        <v>54</v>
      </c>
      <c r="G576" s="34">
        <v>0.58419878501209366</v>
      </c>
    </row>
    <row r="577" spans="1:7" x14ac:dyDescent="0.3">
      <c r="A577" s="34">
        <v>576</v>
      </c>
      <c r="B577" s="34">
        <v>11</v>
      </c>
      <c r="C577" s="34">
        <v>12</v>
      </c>
      <c r="D577" s="34">
        <v>1295</v>
      </c>
      <c r="E577" s="34">
        <v>25</v>
      </c>
      <c r="F577" s="34" t="s">
        <v>57</v>
      </c>
      <c r="G577" s="34">
        <v>0.58572689689694712</v>
      </c>
    </row>
    <row r="578" spans="1:7" x14ac:dyDescent="0.3">
      <c r="A578" s="34">
        <v>577</v>
      </c>
      <c r="B578" s="34">
        <v>41</v>
      </c>
      <c r="C578" s="34">
        <v>30</v>
      </c>
      <c r="D578" s="34">
        <v>2333</v>
      </c>
      <c r="E578" s="34">
        <v>30</v>
      </c>
      <c r="F578" s="34" t="s">
        <v>54</v>
      </c>
      <c r="G578" s="34">
        <v>0.58718336929697978</v>
      </c>
    </row>
    <row r="579" spans="1:7" x14ac:dyDescent="0.3">
      <c r="A579" s="34">
        <v>578</v>
      </c>
      <c r="B579" s="34">
        <v>190</v>
      </c>
      <c r="C579" s="34">
        <v>18</v>
      </c>
      <c r="D579" s="34">
        <v>3244</v>
      </c>
      <c r="E579" s="34">
        <v>33</v>
      </c>
      <c r="F579" s="34" t="s">
        <v>56</v>
      </c>
      <c r="G579" s="34">
        <v>0.58834031195758119</v>
      </c>
    </row>
    <row r="580" spans="1:7" x14ac:dyDescent="0.3">
      <c r="A580" s="34">
        <v>579</v>
      </c>
      <c r="B580" s="34">
        <v>153</v>
      </c>
      <c r="C580" s="34">
        <v>36</v>
      </c>
      <c r="D580" s="34">
        <v>5848</v>
      </c>
      <c r="E580" s="34">
        <v>24</v>
      </c>
      <c r="F580" s="34" t="s">
        <v>54</v>
      </c>
      <c r="G580" s="34">
        <v>0.58867787610588029</v>
      </c>
    </row>
    <row r="581" spans="1:7" x14ac:dyDescent="0.3">
      <c r="A581" s="34">
        <v>580</v>
      </c>
      <c r="B581" s="34">
        <v>953</v>
      </c>
      <c r="C581" s="34">
        <v>24</v>
      </c>
      <c r="D581" s="34">
        <v>4113</v>
      </c>
      <c r="E581" s="34">
        <v>28</v>
      </c>
      <c r="F581" s="34" t="s">
        <v>57</v>
      </c>
      <c r="G581" s="34">
        <v>0.58928204214282343</v>
      </c>
    </row>
    <row r="582" spans="1:7" x14ac:dyDescent="0.3">
      <c r="A582" s="34">
        <v>581</v>
      </c>
      <c r="B582" s="34">
        <v>219</v>
      </c>
      <c r="C582" s="34">
        <v>24</v>
      </c>
      <c r="D582" s="34">
        <v>3021</v>
      </c>
      <c r="E582" s="34">
        <v>24</v>
      </c>
      <c r="F582" s="34" t="s">
        <v>54</v>
      </c>
      <c r="G582" s="34">
        <v>0.59243662102210393</v>
      </c>
    </row>
    <row r="583" spans="1:7" x14ac:dyDescent="0.3">
      <c r="A583" s="34">
        <v>582</v>
      </c>
      <c r="B583" s="34">
        <v>840</v>
      </c>
      <c r="C583" s="34">
        <v>24</v>
      </c>
      <c r="D583" s="34">
        <v>2611</v>
      </c>
      <c r="E583" s="34">
        <v>46</v>
      </c>
      <c r="F583" s="34" t="s">
        <v>54</v>
      </c>
      <c r="G583" s="34">
        <v>0.59268370924420022</v>
      </c>
    </row>
    <row r="584" spans="1:7" x14ac:dyDescent="0.3">
      <c r="A584" s="34">
        <v>583</v>
      </c>
      <c r="B584" s="34">
        <v>672</v>
      </c>
      <c r="C584" s="34">
        <v>36</v>
      </c>
      <c r="D584" s="34">
        <v>5742</v>
      </c>
      <c r="E584" s="34">
        <v>31</v>
      </c>
      <c r="F584" s="34" t="s">
        <v>54</v>
      </c>
      <c r="G584" s="34">
        <v>0.59368444256833297</v>
      </c>
    </row>
    <row r="585" spans="1:7" x14ac:dyDescent="0.3">
      <c r="A585" s="34">
        <v>584</v>
      </c>
      <c r="B585" s="34">
        <v>668</v>
      </c>
      <c r="C585" s="34">
        <v>48</v>
      </c>
      <c r="D585" s="34">
        <v>3609</v>
      </c>
      <c r="E585" s="34">
        <v>27</v>
      </c>
      <c r="F585" s="34" t="s">
        <v>56</v>
      </c>
      <c r="G585" s="34">
        <v>0.59400969929816794</v>
      </c>
    </row>
    <row r="586" spans="1:7" x14ac:dyDescent="0.3">
      <c r="A586" s="34">
        <v>585</v>
      </c>
      <c r="B586" s="34">
        <v>43</v>
      </c>
      <c r="C586" s="34">
        <v>18</v>
      </c>
      <c r="D586" s="34">
        <v>6204</v>
      </c>
      <c r="E586" s="34">
        <v>44</v>
      </c>
      <c r="F586" s="34" t="s">
        <v>54</v>
      </c>
      <c r="G586" s="34">
        <v>0.59468221811741662</v>
      </c>
    </row>
    <row r="587" spans="1:7" x14ac:dyDescent="0.3">
      <c r="A587" s="34">
        <v>586</v>
      </c>
      <c r="B587" s="34">
        <v>216</v>
      </c>
      <c r="C587" s="34">
        <v>6</v>
      </c>
      <c r="D587" s="34">
        <v>932</v>
      </c>
      <c r="E587" s="34">
        <v>39</v>
      </c>
      <c r="F587" s="34" t="s">
        <v>56</v>
      </c>
      <c r="G587" s="34">
        <v>0.59487063326069878</v>
      </c>
    </row>
    <row r="588" spans="1:7" x14ac:dyDescent="0.3">
      <c r="A588" s="34">
        <v>587</v>
      </c>
      <c r="B588" s="34">
        <v>952</v>
      </c>
      <c r="C588" s="34">
        <v>36</v>
      </c>
      <c r="D588" s="34">
        <v>2145</v>
      </c>
      <c r="E588" s="34">
        <v>24</v>
      </c>
      <c r="F588" s="34" t="s">
        <v>55</v>
      </c>
      <c r="G588" s="34">
        <v>0.59544230029853373</v>
      </c>
    </row>
    <row r="589" spans="1:7" x14ac:dyDescent="0.3">
      <c r="A589" s="34">
        <v>588</v>
      </c>
      <c r="B589" s="34">
        <v>963</v>
      </c>
      <c r="C589" s="34">
        <v>15</v>
      </c>
      <c r="D589" s="34">
        <v>3556</v>
      </c>
      <c r="E589" s="34">
        <v>29</v>
      </c>
      <c r="F589" s="34" t="s">
        <v>54</v>
      </c>
      <c r="G589" s="34">
        <v>0.59636119465458348</v>
      </c>
    </row>
    <row r="590" spans="1:7" x14ac:dyDescent="0.3">
      <c r="A590" s="34">
        <v>589</v>
      </c>
      <c r="B590" s="34">
        <v>461</v>
      </c>
      <c r="C590" s="34">
        <v>36</v>
      </c>
      <c r="D590" s="34">
        <v>3620</v>
      </c>
      <c r="E590" s="34">
        <v>37</v>
      </c>
      <c r="F590" s="34" t="s">
        <v>54</v>
      </c>
      <c r="G590" s="34">
        <v>0.59648882353872634</v>
      </c>
    </row>
    <row r="591" spans="1:7" x14ac:dyDescent="0.3">
      <c r="A591" s="34">
        <v>590</v>
      </c>
      <c r="B591" s="34">
        <v>779</v>
      </c>
      <c r="C591" s="34">
        <v>36</v>
      </c>
      <c r="D591" s="34">
        <v>5711</v>
      </c>
      <c r="E591" s="34">
        <v>38</v>
      </c>
      <c r="F591" s="34" t="s">
        <v>54</v>
      </c>
      <c r="G591" s="34">
        <v>0.59696215082131998</v>
      </c>
    </row>
    <row r="592" spans="1:7" x14ac:dyDescent="0.3">
      <c r="A592" s="34">
        <v>591</v>
      </c>
      <c r="B592" s="34">
        <v>352</v>
      </c>
      <c r="C592" s="34">
        <v>9</v>
      </c>
      <c r="D592" s="34">
        <v>959</v>
      </c>
      <c r="E592" s="34">
        <v>29</v>
      </c>
      <c r="F592" s="34" t="s">
        <v>57</v>
      </c>
      <c r="G592" s="34">
        <v>0.59821059763590911</v>
      </c>
    </row>
    <row r="593" spans="1:7" x14ac:dyDescent="0.3">
      <c r="A593" s="34">
        <v>592</v>
      </c>
      <c r="B593" s="34">
        <v>954</v>
      </c>
      <c r="C593" s="34">
        <v>36</v>
      </c>
      <c r="D593" s="34">
        <v>10974</v>
      </c>
      <c r="E593" s="34">
        <v>26</v>
      </c>
      <c r="F593" s="34" t="s">
        <v>57</v>
      </c>
      <c r="G593" s="34">
        <v>0.5993573379038144</v>
      </c>
    </row>
    <row r="594" spans="1:7" x14ac:dyDescent="0.3">
      <c r="A594" s="34">
        <v>593</v>
      </c>
      <c r="B594" s="34">
        <v>975</v>
      </c>
      <c r="C594" s="34">
        <v>30</v>
      </c>
      <c r="D594" s="34">
        <v>2831</v>
      </c>
      <c r="E594" s="34">
        <v>33</v>
      </c>
      <c r="F594" s="34" t="s">
        <v>56</v>
      </c>
      <c r="G594" s="34">
        <v>0.59988280629922808</v>
      </c>
    </row>
    <row r="595" spans="1:7" x14ac:dyDescent="0.3">
      <c r="A595" s="34">
        <v>594</v>
      </c>
      <c r="B595" s="34">
        <v>156</v>
      </c>
      <c r="C595" s="34">
        <v>12</v>
      </c>
      <c r="D595" s="34">
        <v>1282</v>
      </c>
      <c r="E595" s="34">
        <v>20</v>
      </c>
      <c r="F595" s="34" t="s">
        <v>57</v>
      </c>
      <c r="G595" s="34">
        <v>0.60027098313845273</v>
      </c>
    </row>
    <row r="596" spans="1:7" x14ac:dyDescent="0.3">
      <c r="A596" s="34">
        <v>595</v>
      </c>
      <c r="B596" s="34">
        <v>341</v>
      </c>
      <c r="C596" s="34">
        <v>24</v>
      </c>
      <c r="D596" s="34">
        <v>5743</v>
      </c>
      <c r="E596" s="34">
        <v>24</v>
      </c>
      <c r="F596" s="34" t="s">
        <v>56</v>
      </c>
      <c r="G596" s="34">
        <v>0.60032867119671462</v>
      </c>
    </row>
    <row r="597" spans="1:7" x14ac:dyDescent="0.3">
      <c r="A597" s="34">
        <v>596</v>
      </c>
      <c r="B597" s="34">
        <v>215</v>
      </c>
      <c r="C597" s="34">
        <v>36</v>
      </c>
      <c r="D597" s="34">
        <v>3342</v>
      </c>
      <c r="E597" s="34">
        <v>51</v>
      </c>
      <c r="F597" s="34" t="s">
        <v>54</v>
      </c>
      <c r="G597" s="34">
        <v>0.60052281695701237</v>
      </c>
    </row>
    <row r="598" spans="1:7" x14ac:dyDescent="0.3">
      <c r="A598" s="34">
        <v>597</v>
      </c>
      <c r="B598" s="34">
        <v>270</v>
      </c>
      <c r="C598" s="34">
        <v>24</v>
      </c>
      <c r="D598" s="34">
        <v>999</v>
      </c>
      <c r="E598" s="34">
        <v>25</v>
      </c>
      <c r="F598" s="34" t="s">
        <v>54</v>
      </c>
      <c r="G598" s="34">
        <v>0.60117040859844895</v>
      </c>
    </row>
    <row r="599" spans="1:7" x14ac:dyDescent="0.3">
      <c r="A599" s="34">
        <v>598</v>
      </c>
      <c r="B599" s="34">
        <v>55</v>
      </c>
      <c r="C599" s="34">
        <v>36</v>
      </c>
      <c r="D599" s="34">
        <v>2225</v>
      </c>
      <c r="E599" s="34">
        <v>57</v>
      </c>
      <c r="F599" s="34" t="s">
        <v>55</v>
      </c>
      <c r="G599" s="34">
        <v>0.60228916363026375</v>
      </c>
    </row>
    <row r="600" spans="1:7" x14ac:dyDescent="0.3">
      <c r="A600" s="34">
        <v>599</v>
      </c>
      <c r="B600" s="34">
        <v>971</v>
      </c>
      <c r="C600" s="34">
        <v>15</v>
      </c>
      <c r="D600" s="34">
        <v>1514</v>
      </c>
      <c r="E600" s="34">
        <v>22</v>
      </c>
      <c r="F600" s="34" t="s">
        <v>54</v>
      </c>
      <c r="G600" s="34">
        <v>0.60314215475596866</v>
      </c>
    </row>
    <row r="601" spans="1:7" x14ac:dyDescent="0.3">
      <c r="A601" s="34">
        <v>600</v>
      </c>
      <c r="B601" s="34">
        <v>551</v>
      </c>
      <c r="C601" s="34">
        <v>12</v>
      </c>
      <c r="D601" s="34">
        <v>996</v>
      </c>
      <c r="E601" s="34">
        <v>23</v>
      </c>
      <c r="F601" s="34" t="s">
        <v>56</v>
      </c>
      <c r="G601" s="34">
        <v>0.60423067314312706</v>
      </c>
    </row>
    <row r="602" spans="1:7" x14ac:dyDescent="0.3">
      <c r="A602" s="34">
        <v>601</v>
      </c>
      <c r="B602" s="34">
        <v>177</v>
      </c>
      <c r="C602" s="34">
        <v>12</v>
      </c>
      <c r="D602" s="34">
        <v>2577</v>
      </c>
      <c r="E602" s="34">
        <v>42</v>
      </c>
      <c r="F602" s="34" t="s">
        <v>54</v>
      </c>
      <c r="G602" s="34">
        <v>0.60449742492480896</v>
      </c>
    </row>
    <row r="603" spans="1:7" x14ac:dyDescent="0.3">
      <c r="A603" s="34">
        <v>602</v>
      </c>
      <c r="B603" s="34">
        <v>456</v>
      </c>
      <c r="C603" s="34">
        <v>24</v>
      </c>
      <c r="D603" s="34">
        <v>2679</v>
      </c>
      <c r="E603" s="34">
        <v>29</v>
      </c>
      <c r="F603" s="34" t="s">
        <v>56</v>
      </c>
      <c r="G603" s="34">
        <v>0.60451214373385265</v>
      </c>
    </row>
    <row r="604" spans="1:7" x14ac:dyDescent="0.3">
      <c r="A604" s="34">
        <v>603</v>
      </c>
      <c r="B604" s="34">
        <v>335</v>
      </c>
      <c r="C604" s="34">
        <v>24</v>
      </c>
      <c r="D604" s="34">
        <v>4110</v>
      </c>
      <c r="E604" s="34">
        <v>23</v>
      </c>
      <c r="F604" s="34" t="s">
        <v>55</v>
      </c>
      <c r="G604" s="34">
        <v>0.60635316967050901</v>
      </c>
    </row>
    <row r="605" spans="1:7" x14ac:dyDescent="0.3">
      <c r="A605" s="34">
        <v>604</v>
      </c>
      <c r="B605" s="34">
        <v>643</v>
      </c>
      <c r="C605" s="34">
        <v>15</v>
      </c>
      <c r="D605" s="34">
        <v>4623</v>
      </c>
      <c r="E605" s="34">
        <v>40</v>
      </c>
      <c r="F605" s="34" t="s">
        <v>55</v>
      </c>
      <c r="G605" s="34">
        <v>0.60768690230291944</v>
      </c>
    </row>
    <row r="606" spans="1:7" x14ac:dyDescent="0.3">
      <c r="A606" s="34">
        <v>605</v>
      </c>
      <c r="B606" s="34">
        <v>355</v>
      </c>
      <c r="C606" s="34">
        <v>10</v>
      </c>
      <c r="D606" s="34">
        <v>727</v>
      </c>
      <c r="E606" s="34">
        <v>46</v>
      </c>
      <c r="F606" s="34" t="s">
        <v>54</v>
      </c>
      <c r="G606" s="34">
        <v>0.6077550516661715</v>
      </c>
    </row>
    <row r="607" spans="1:7" x14ac:dyDescent="0.3">
      <c r="A607" s="34">
        <v>606</v>
      </c>
      <c r="B607" s="34">
        <v>223</v>
      </c>
      <c r="C607" s="34">
        <v>12</v>
      </c>
      <c r="D607" s="34">
        <v>707</v>
      </c>
      <c r="E607" s="34">
        <v>30</v>
      </c>
      <c r="F607" s="34" t="s">
        <v>54</v>
      </c>
      <c r="G607" s="34">
        <v>0.60843058792824967</v>
      </c>
    </row>
    <row r="608" spans="1:7" x14ac:dyDescent="0.3">
      <c r="A608" s="34">
        <v>607</v>
      </c>
      <c r="B608" s="34">
        <v>783</v>
      </c>
      <c r="C608" s="34">
        <v>12</v>
      </c>
      <c r="D608" s="34">
        <v>1410</v>
      </c>
      <c r="E608" s="34">
        <v>31</v>
      </c>
      <c r="F608" s="34" t="s">
        <v>54</v>
      </c>
      <c r="G608" s="34">
        <v>0.61035568688696007</v>
      </c>
    </row>
    <row r="609" spans="1:7" x14ac:dyDescent="0.3">
      <c r="A609" s="34">
        <v>608</v>
      </c>
      <c r="B609" s="34">
        <v>628</v>
      </c>
      <c r="C609" s="34">
        <v>9</v>
      </c>
      <c r="D609" s="34">
        <v>1437</v>
      </c>
      <c r="E609" s="34">
        <v>29</v>
      </c>
      <c r="F609" s="34" t="s">
        <v>55</v>
      </c>
      <c r="G609" s="34">
        <v>0.61047239198102021</v>
      </c>
    </row>
    <row r="610" spans="1:7" x14ac:dyDescent="0.3">
      <c r="A610" s="34">
        <v>609</v>
      </c>
      <c r="B610" s="34">
        <v>692</v>
      </c>
      <c r="C610" s="34">
        <v>15</v>
      </c>
      <c r="D610" s="34">
        <v>2631</v>
      </c>
      <c r="E610" s="34">
        <v>25</v>
      </c>
      <c r="F610" s="34" t="s">
        <v>56</v>
      </c>
      <c r="G610" s="34">
        <v>0.61140452661730349</v>
      </c>
    </row>
    <row r="611" spans="1:7" x14ac:dyDescent="0.3">
      <c r="A611" s="34">
        <v>610</v>
      </c>
      <c r="B611" s="34">
        <v>616</v>
      </c>
      <c r="C611" s="34">
        <v>48</v>
      </c>
      <c r="D611" s="34">
        <v>12204</v>
      </c>
      <c r="E611" s="34">
        <v>48</v>
      </c>
      <c r="F611" s="34" t="s">
        <v>54</v>
      </c>
      <c r="G611" s="34">
        <v>0.61239436248912005</v>
      </c>
    </row>
    <row r="612" spans="1:7" x14ac:dyDescent="0.3">
      <c r="A612" s="34">
        <v>611</v>
      </c>
      <c r="B612" s="34">
        <v>824</v>
      </c>
      <c r="C612" s="34">
        <v>8</v>
      </c>
      <c r="D612" s="34">
        <v>731</v>
      </c>
      <c r="E612" s="34">
        <v>47</v>
      </c>
      <c r="F612" s="34" t="s">
        <v>54</v>
      </c>
      <c r="G612" s="34">
        <v>0.61252947705337146</v>
      </c>
    </row>
    <row r="613" spans="1:7" x14ac:dyDescent="0.3">
      <c r="A613" s="34">
        <v>612</v>
      </c>
      <c r="B613" s="34">
        <v>738</v>
      </c>
      <c r="C613" s="34">
        <v>18</v>
      </c>
      <c r="D613" s="34">
        <v>4380</v>
      </c>
      <c r="E613" s="34">
        <v>35</v>
      </c>
      <c r="F613" s="34" t="s">
        <v>54</v>
      </c>
      <c r="G613" s="34">
        <v>0.61292181750339203</v>
      </c>
    </row>
    <row r="614" spans="1:7" x14ac:dyDescent="0.3">
      <c r="A614" s="34">
        <v>613</v>
      </c>
      <c r="B614" s="34">
        <v>545</v>
      </c>
      <c r="C614" s="34">
        <v>12</v>
      </c>
      <c r="D614" s="34">
        <v>1255</v>
      </c>
      <c r="E614" s="34">
        <v>61</v>
      </c>
      <c r="F614" s="34" t="s">
        <v>54</v>
      </c>
      <c r="G614" s="34">
        <v>0.61317596118648354</v>
      </c>
    </row>
    <row r="615" spans="1:7" x14ac:dyDescent="0.3">
      <c r="A615" s="34">
        <v>614</v>
      </c>
      <c r="B615" s="34">
        <v>104</v>
      </c>
      <c r="C615" s="34">
        <v>9</v>
      </c>
      <c r="D615" s="34">
        <v>1919</v>
      </c>
      <c r="E615" s="34">
        <v>35</v>
      </c>
      <c r="F615" s="34" t="s">
        <v>54</v>
      </c>
      <c r="G615" s="34">
        <v>0.61344551919376755</v>
      </c>
    </row>
    <row r="616" spans="1:7" x14ac:dyDescent="0.3">
      <c r="A616" s="34">
        <v>615</v>
      </c>
      <c r="B616" s="34">
        <v>929</v>
      </c>
      <c r="C616" s="34">
        <v>30</v>
      </c>
      <c r="D616" s="34">
        <v>1867</v>
      </c>
      <c r="E616" s="34">
        <v>58</v>
      </c>
      <c r="F616" s="34" t="s">
        <v>54</v>
      </c>
      <c r="G616" s="34">
        <v>0.61405514890283341</v>
      </c>
    </row>
    <row r="617" spans="1:7" x14ac:dyDescent="0.3">
      <c r="A617" s="34">
        <v>616</v>
      </c>
      <c r="B617" s="34">
        <v>89</v>
      </c>
      <c r="C617" s="34">
        <v>18</v>
      </c>
      <c r="D617" s="34">
        <v>2249</v>
      </c>
      <c r="E617" s="34">
        <v>30</v>
      </c>
      <c r="F617" s="34" t="s">
        <v>54</v>
      </c>
      <c r="G617" s="34">
        <v>0.61410924626269559</v>
      </c>
    </row>
    <row r="618" spans="1:7" x14ac:dyDescent="0.3">
      <c r="A618" s="34">
        <v>617</v>
      </c>
      <c r="B618" s="34">
        <v>575</v>
      </c>
      <c r="C618" s="34">
        <v>9</v>
      </c>
      <c r="D618" s="34">
        <v>1082</v>
      </c>
      <c r="E618" s="34">
        <v>27</v>
      </c>
      <c r="F618" s="34" t="s">
        <v>54</v>
      </c>
      <c r="G618" s="34">
        <v>0.61452101176342877</v>
      </c>
    </row>
    <row r="619" spans="1:7" x14ac:dyDescent="0.3">
      <c r="A619" s="34">
        <v>618</v>
      </c>
      <c r="B619" s="34">
        <v>554</v>
      </c>
      <c r="C619" s="34">
        <v>12</v>
      </c>
      <c r="D619" s="34">
        <v>1995</v>
      </c>
      <c r="E619" s="34">
        <v>27</v>
      </c>
      <c r="F619" s="34" t="s">
        <v>54</v>
      </c>
      <c r="G619" s="34">
        <v>0.61707420439440064</v>
      </c>
    </row>
    <row r="620" spans="1:7" x14ac:dyDescent="0.3">
      <c r="A620" s="34">
        <v>619</v>
      </c>
      <c r="B620" s="34">
        <v>877</v>
      </c>
      <c r="C620" s="34">
        <v>18</v>
      </c>
      <c r="D620" s="34">
        <v>1940</v>
      </c>
      <c r="E620" s="34">
        <v>36</v>
      </c>
      <c r="F620" s="34" t="s">
        <v>54</v>
      </c>
      <c r="G620" s="34">
        <v>0.61993702141375362</v>
      </c>
    </row>
    <row r="621" spans="1:7" x14ac:dyDescent="0.3">
      <c r="A621" s="34">
        <v>620</v>
      </c>
      <c r="B621" s="34">
        <v>907</v>
      </c>
      <c r="C621" s="34">
        <v>21</v>
      </c>
      <c r="D621" s="34">
        <v>3763</v>
      </c>
      <c r="E621" s="34">
        <v>24</v>
      </c>
      <c r="F621" s="34" t="s">
        <v>54</v>
      </c>
      <c r="G621" s="34">
        <v>0.6203314894276063</v>
      </c>
    </row>
    <row r="622" spans="1:7" x14ac:dyDescent="0.3">
      <c r="A622" s="34">
        <v>621</v>
      </c>
      <c r="B622" s="34">
        <v>210</v>
      </c>
      <c r="C622" s="34">
        <v>12</v>
      </c>
      <c r="D622" s="34">
        <v>1413</v>
      </c>
      <c r="E622" s="34">
        <v>55</v>
      </c>
      <c r="F622" s="34" t="s">
        <v>54</v>
      </c>
      <c r="G622" s="34">
        <v>0.62141564367738145</v>
      </c>
    </row>
    <row r="623" spans="1:7" x14ac:dyDescent="0.3">
      <c r="A623" s="34">
        <v>622</v>
      </c>
      <c r="B623" s="34">
        <v>401</v>
      </c>
      <c r="C623" s="34">
        <v>18</v>
      </c>
      <c r="D623" s="34">
        <v>1473</v>
      </c>
      <c r="E623" s="34">
        <v>39</v>
      </c>
      <c r="F623" s="34" t="s">
        <v>54</v>
      </c>
      <c r="G623" s="34">
        <v>0.6217271549732426</v>
      </c>
    </row>
    <row r="624" spans="1:7" x14ac:dyDescent="0.3">
      <c r="A624" s="34">
        <v>623</v>
      </c>
      <c r="B624" s="34">
        <v>754</v>
      </c>
      <c r="C624" s="34">
        <v>30</v>
      </c>
      <c r="D624" s="34">
        <v>5771</v>
      </c>
      <c r="E624" s="34">
        <v>25</v>
      </c>
      <c r="F624" s="34" t="s">
        <v>56</v>
      </c>
      <c r="G624" s="34">
        <v>0.62265765498340442</v>
      </c>
    </row>
    <row r="625" spans="1:7" x14ac:dyDescent="0.3">
      <c r="A625" s="34">
        <v>624</v>
      </c>
      <c r="B625" s="34">
        <v>923</v>
      </c>
      <c r="C625" s="34">
        <v>9</v>
      </c>
      <c r="D625" s="34">
        <v>1366</v>
      </c>
      <c r="E625" s="34">
        <v>22</v>
      </c>
      <c r="F625" s="34" t="s">
        <v>57</v>
      </c>
      <c r="G625" s="34">
        <v>0.62267515621851532</v>
      </c>
    </row>
    <row r="626" spans="1:7" x14ac:dyDescent="0.3">
      <c r="A626" s="34">
        <v>625</v>
      </c>
      <c r="B626" s="34">
        <v>420</v>
      </c>
      <c r="C626" s="34">
        <v>18</v>
      </c>
      <c r="D626" s="34">
        <v>1042</v>
      </c>
      <c r="E626" s="34">
        <v>33</v>
      </c>
      <c r="F626" s="34" t="s">
        <v>57</v>
      </c>
      <c r="G626" s="34">
        <v>0.62329544489626154</v>
      </c>
    </row>
    <row r="627" spans="1:7" x14ac:dyDescent="0.3">
      <c r="A627" s="34">
        <v>626</v>
      </c>
      <c r="B627" s="34">
        <v>610</v>
      </c>
      <c r="C627" s="34">
        <v>15</v>
      </c>
      <c r="D627" s="34">
        <v>1300</v>
      </c>
      <c r="E627" s="34">
        <v>45</v>
      </c>
      <c r="F627" s="34" t="s">
        <v>54</v>
      </c>
      <c r="G627" s="34">
        <v>0.62357240765158561</v>
      </c>
    </row>
    <row r="628" spans="1:7" x14ac:dyDescent="0.3">
      <c r="A628" s="34">
        <v>627</v>
      </c>
      <c r="B628" s="34">
        <v>817</v>
      </c>
      <c r="C628" s="34">
        <v>6</v>
      </c>
      <c r="D628" s="34">
        <v>1338</v>
      </c>
      <c r="E628" s="34">
        <v>62</v>
      </c>
      <c r="F628" s="34" t="s">
        <v>54</v>
      </c>
      <c r="G628" s="34">
        <v>0.62784865611131924</v>
      </c>
    </row>
    <row r="629" spans="1:7" x14ac:dyDescent="0.3">
      <c r="A629" s="34">
        <v>628</v>
      </c>
      <c r="B629" s="34">
        <v>109</v>
      </c>
      <c r="C629" s="34">
        <v>24</v>
      </c>
      <c r="D629" s="34">
        <v>7721</v>
      </c>
      <c r="E629" s="34">
        <v>30</v>
      </c>
      <c r="F629" s="34" t="s">
        <v>56</v>
      </c>
      <c r="G629" s="34">
        <v>0.62877231025984404</v>
      </c>
    </row>
    <row r="630" spans="1:7" x14ac:dyDescent="0.3">
      <c r="A630" s="34">
        <v>629</v>
      </c>
      <c r="B630" s="34">
        <v>483</v>
      </c>
      <c r="C630" s="34">
        <v>30</v>
      </c>
      <c r="D630" s="34">
        <v>3622</v>
      </c>
      <c r="E630" s="34">
        <v>57</v>
      </c>
      <c r="F630" s="34" t="s">
        <v>56</v>
      </c>
      <c r="G630" s="34">
        <v>0.62963600756987825</v>
      </c>
    </row>
    <row r="631" spans="1:7" x14ac:dyDescent="0.3">
      <c r="A631" s="34">
        <v>630</v>
      </c>
      <c r="B631" s="34">
        <v>770</v>
      </c>
      <c r="C631" s="34">
        <v>12</v>
      </c>
      <c r="D631" s="34">
        <v>1655</v>
      </c>
      <c r="E631" s="34">
        <v>63</v>
      </c>
      <c r="F631" s="34" t="s">
        <v>54</v>
      </c>
      <c r="G631" s="34">
        <v>0.63038962924784803</v>
      </c>
    </row>
    <row r="632" spans="1:7" x14ac:dyDescent="0.3">
      <c r="A632" s="34">
        <v>631</v>
      </c>
      <c r="B632" s="34">
        <v>781</v>
      </c>
      <c r="C632" s="34">
        <v>39</v>
      </c>
      <c r="D632" s="34">
        <v>4933</v>
      </c>
      <c r="E632" s="34">
        <v>25</v>
      </c>
      <c r="F632" s="34" t="s">
        <v>55</v>
      </c>
      <c r="G632" s="34">
        <v>0.63059511949787728</v>
      </c>
    </row>
    <row r="633" spans="1:7" x14ac:dyDescent="0.3">
      <c r="A633" s="34">
        <v>632</v>
      </c>
      <c r="B633" s="34">
        <v>39</v>
      </c>
      <c r="C633" s="34">
        <v>10</v>
      </c>
      <c r="D633" s="34">
        <v>1225</v>
      </c>
      <c r="E633" s="34">
        <v>37</v>
      </c>
      <c r="F633" s="34" t="s">
        <v>54</v>
      </c>
      <c r="G633" s="34">
        <v>0.63333194438561258</v>
      </c>
    </row>
    <row r="634" spans="1:7" x14ac:dyDescent="0.3">
      <c r="A634" s="34">
        <v>633</v>
      </c>
      <c r="B634" s="34">
        <v>622</v>
      </c>
      <c r="C634" s="34">
        <v>18</v>
      </c>
      <c r="D634" s="34">
        <v>1530</v>
      </c>
      <c r="E634" s="34">
        <v>32</v>
      </c>
      <c r="F634" s="34" t="s">
        <v>55</v>
      </c>
      <c r="G634" s="34">
        <v>0.63375953263405749</v>
      </c>
    </row>
    <row r="635" spans="1:7" x14ac:dyDescent="0.3">
      <c r="A635" s="34">
        <v>634</v>
      </c>
      <c r="B635" s="34">
        <v>427</v>
      </c>
      <c r="C635" s="34">
        <v>28</v>
      </c>
      <c r="D635" s="34">
        <v>2743</v>
      </c>
      <c r="E635" s="34">
        <v>29</v>
      </c>
      <c r="F635" s="34" t="s">
        <v>54</v>
      </c>
      <c r="G635" s="34">
        <v>0.63666331962124478</v>
      </c>
    </row>
    <row r="636" spans="1:7" x14ac:dyDescent="0.3">
      <c r="A636" s="34">
        <v>635</v>
      </c>
      <c r="B636" s="34">
        <v>729</v>
      </c>
      <c r="C636" s="34">
        <v>48</v>
      </c>
      <c r="D636" s="34">
        <v>6416</v>
      </c>
      <c r="E636" s="34">
        <v>59</v>
      </c>
      <c r="F636" s="34" t="s">
        <v>57</v>
      </c>
      <c r="G636" s="34">
        <v>0.63688692659354162</v>
      </c>
    </row>
    <row r="637" spans="1:7" x14ac:dyDescent="0.3">
      <c r="A637" s="34">
        <v>636</v>
      </c>
      <c r="B637" s="34">
        <v>363</v>
      </c>
      <c r="C637" s="34">
        <v>12</v>
      </c>
      <c r="D637" s="34">
        <v>2247</v>
      </c>
      <c r="E637" s="34">
        <v>36</v>
      </c>
      <c r="F637" s="34" t="s">
        <v>56</v>
      </c>
      <c r="G637" s="34">
        <v>0.63932941794810882</v>
      </c>
    </row>
    <row r="638" spans="1:7" x14ac:dyDescent="0.3">
      <c r="A638" s="34">
        <v>637</v>
      </c>
      <c r="B638" s="34">
        <v>44</v>
      </c>
      <c r="C638" s="34">
        <v>30</v>
      </c>
      <c r="D638" s="34">
        <v>6187</v>
      </c>
      <c r="E638" s="34">
        <v>24</v>
      </c>
      <c r="F638" s="34" t="s">
        <v>54</v>
      </c>
      <c r="G638" s="34">
        <v>0.64079842341551319</v>
      </c>
    </row>
    <row r="639" spans="1:7" x14ac:dyDescent="0.3">
      <c r="A639" s="34">
        <v>638</v>
      </c>
      <c r="B639" s="34">
        <v>357</v>
      </c>
      <c r="C639" s="34">
        <v>12</v>
      </c>
      <c r="D639" s="34">
        <v>2331</v>
      </c>
      <c r="E639" s="34">
        <v>49</v>
      </c>
      <c r="F639" s="34" t="s">
        <v>54</v>
      </c>
      <c r="G639" s="34">
        <v>0.64114503736716777</v>
      </c>
    </row>
    <row r="640" spans="1:7" x14ac:dyDescent="0.3">
      <c r="A640" s="34">
        <v>639</v>
      </c>
      <c r="B640" s="34">
        <v>71</v>
      </c>
      <c r="C640" s="34">
        <v>36</v>
      </c>
      <c r="D640" s="34">
        <v>8133</v>
      </c>
      <c r="E640" s="34">
        <v>30</v>
      </c>
      <c r="F640" s="34" t="s">
        <v>56</v>
      </c>
      <c r="G640" s="34">
        <v>0.64203318451657443</v>
      </c>
    </row>
    <row r="641" spans="1:7" x14ac:dyDescent="0.3">
      <c r="A641" s="34">
        <v>640</v>
      </c>
      <c r="B641" s="34">
        <v>657</v>
      </c>
      <c r="C641" s="34">
        <v>12</v>
      </c>
      <c r="D641" s="34">
        <v>888</v>
      </c>
      <c r="E641" s="34">
        <v>41</v>
      </c>
      <c r="F641" s="34" t="s">
        <v>55</v>
      </c>
      <c r="G641" s="34">
        <v>0.64268354764527091</v>
      </c>
    </row>
    <row r="642" spans="1:7" x14ac:dyDescent="0.3">
      <c r="A642" s="34">
        <v>641</v>
      </c>
      <c r="B642" s="34">
        <v>791</v>
      </c>
      <c r="C642" s="34">
        <v>21</v>
      </c>
      <c r="D642" s="34">
        <v>1188</v>
      </c>
      <c r="E642" s="34">
        <v>39</v>
      </c>
      <c r="F642" s="34" t="s">
        <v>57</v>
      </c>
      <c r="G642" s="34">
        <v>0.6428406701075059</v>
      </c>
    </row>
    <row r="643" spans="1:7" x14ac:dyDescent="0.3">
      <c r="A643" s="34">
        <v>642</v>
      </c>
      <c r="B643" s="34">
        <v>25</v>
      </c>
      <c r="C643" s="34">
        <v>10</v>
      </c>
      <c r="D643" s="34">
        <v>2069</v>
      </c>
      <c r="E643" s="34">
        <v>26</v>
      </c>
      <c r="F643" s="34" t="s">
        <v>54</v>
      </c>
      <c r="G643" s="34">
        <v>0.64319712557214348</v>
      </c>
    </row>
    <row r="644" spans="1:7" x14ac:dyDescent="0.3">
      <c r="A644" s="34">
        <v>643</v>
      </c>
      <c r="B644" s="34">
        <v>512</v>
      </c>
      <c r="C644" s="34">
        <v>36</v>
      </c>
      <c r="D644" s="34">
        <v>4686</v>
      </c>
      <c r="E644" s="34">
        <v>32</v>
      </c>
      <c r="F644" s="34" t="s">
        <v>54</v>
      </c>
      <c r="G644" s="34">
        <v>0.64445345417376787</v>
      </c>
    </row>
    <row r="645" spans="1:7" x14ac:dyDescent="0.3">
      <c r="A645" s="34">
        <v>644</v>
      </c>
      <c r="B645" s="34">
        <v>342</v>
      </c>
      <c r="C645" s="34">
        <v>21</v>
      </c>
      <c r="D645" s="34">
        <v>3599</v>
      </c>
      <c r="E645" s="34">
        <v>26</v>
      </c>
      <c r="F645" s="34" t="s">
        <v>56</v>
      </c>
      <c r="G645" s="34">
        <v>0.64619646305963152</v>
      </c>
    </row>
    <row r="646" spans="1:7" x14ac:dyDescent="0.3">
      <c r="A646" s="34">
        <v>645</v>
      </c>
      <c r="B646" s="34">
        <v>324</v>
      </c>
      <c r="C646" s="34">
        <v>18</v>
      </c>
      <c r="D646" s="34">
        <v>2659</v>
      </c>
      <c r="E646" s="34">
        <v>28</v>
      </c>
      <c r="F646" s="34" t="s">
        <v>54</v>
      </c>
      <c r="G646" s="34">
        <v>0.64801091458129334</v>
      </c>
    </row>
    <row r="647" spans="1:7" x14ac:dyDescent="0.3">
      <c r="A647" s="34">
        <v>646</v>
      </c>
      <c r="B647" s="34">
        <v>759</v>
      </c>
      <c r="C647" s="34">
        <v>24</v>
      </c>
      <c r="D647" s="34">
        <v>1393</v>
      </c>
      <c r="E647" s="34">
        <v>31</v>
      </c>
      <c r="F647" s="34" t="s">
        <v>54</v>
      </c>
      <c r="G647" s="34">
        <v>0.64866661363940381</v>
      </c>
    </row>
    <row r="648" spans="1:7" x14ac:dyDescent="0.3">
      <c r="A648" s="34">
        <v>647</v>
      </c>
      <c r="B648" s="34">
        <v>218</v>
      </c>
      <c r="C648" s="34">
        <v>36</v>
      </c>
      <c r="D648" s="34">
        <v>3913</v>
      </c>
      <c r="E648" s="34">
        <v>23</v>
      </c>
      <c r="F648" s="34" t="s">
        <v>54</v>
      </c>
      <c r="G648" s="34">
        <v>0.64985426622881803</v>
      </c>
    </row>
    <row r="649" spans="1:7" x14ac:dyDescent="0.3">
      <c r="A649" s="34">
        <v>648</v>
      </c>
      <c r="B649" s="34">
        <v>495</v>
      </c>
      <c r="C649" s="34">
        <v>12</v>
      </c>
      <c r="D649" s="34">
        <v>2122</v>
      </c>
      <c r="E649" s="34">
        <v>39</v>
      </c>
      <c r="F649" s="34" t="s">
        <v>54</v>
      </c>
      <c r="G649" s="34">
        <v>0.65032672581028161</v>
      </c>
    </row>
    <row r="650" spans="1:7" x14ac:dyDescent="0.3">
      <c r="A650" s="34">
        <v>649</v>
      </c>
      <c r="B650" s="34">
        <v>709</v>
      </c>
      <c r="C650" s="34">
        <v>9</v>
      </c>
      <c r="D650" s="34">
        <v>1206</v>
      </c>
      <c r="E650" s="34">
        <v>25</v>
      </c>
      <c r="F650" s="34" t="s">
        <v>56</v>
      </c>
      <c r="G650" s="34">
        <v>0.65039209134155207</v>
      </c>
    </row>
    <row r="651" spans="1:7" x14ac:dyDescent="0.3">
      <c r="A651" s="34">
        <v>650</v>
      </c>
      <c r="B651" s="34">
        <v>100</v>
      </c>
      <c r="C651" s="34">
        <v>20</v>
      </c>
      <c r="D651" s="34">
        <v>7057</v>
      </c>
      <c r="E651" s="34">
        <v>36</v>
      </c>
      <c r="F651" s="34" t="s">
        <v>54</v>
      </c>
      <c r="G651" s="34">
        <v>0.65089708599889828</v>
      </c>
    </row>
    <row r="652" spans="1:7" x14ac:dyDescent="0.3">
      <c r="A652" s="34">
        <v>651</v>
      </c>
      <c r="B652" s="34">
        <v>450</v>
      </c>
      <c r="C652" s="34">
        <v>15</v>
      </c>
      <c r="D652" s="34">
        <v>1512</v>
      </c>
      <c r="E652" s="34">
        <v>61</v>
      </c>
      <c r="F652" s="34" t="s">
        <v>55</v>
      </c>
      <c r="G652" s="34">
        <v>0.65109164711238876</v>
      </c>
    </row>
    <row r="653" spans="1:7" x14ac:dyDescent="0.3">
      <c r="A653" s="34">
        <v>652</v>
      </c>
      <c r="B653" s="34">
        <v>849</v>
      </c>
      <c r="C653" s="34">
        <v>9</v>
      </c>
      <c r="D653" s="34">
        <v>1364</v>
      </c>
      <c r="E653" s="34">
        <v>59</v>
      </c>
      <c r="F653" s="34" t="s">
        <v>54</v>
      </c>
      <c r="G653" s="34">
        <v>0.6523141723098721</v>
      </c>
    </row>
    <row r="654" spans="1:7" x14ac:dyDescent="0.3">
      <c r="A654" s="34">
        <v>653</v>
      </c>
      <c r="B654" s="34">
        <v>302</v>
      </c>
      <c r="C654" s="34">
        <v>36</v>
      </c>
      <c r="D654" s="34">
        <v>3804</v>
      </c>
      <c r="E654" s="34">
        <v>42</v>
      </c>
      <c r="F654" s="34" t="s">
        <v>57</v>
      </c>
      <c r="G654" s="34">
        <v>0.65236768736392303</v>
      </c>
    </row>
    <row r="655" spans="1:7" x14ac:dyDescent="0.3">
      <c r="A655" s="34">
        <v>654</v>
      </c>
      <c r="B655" s="34">
        <v>858</v>
      </c>
      <c r="C655" s="34">
        <v>15</v>
      </c>
      <c r="D655" s="34">
        <v>3343</v>
      </c>
      <c r="E655" s="34">
        <v>28</v>
      </c>
      <c r="F655" s="34" t="s">
        <v>54</v>
      </c>
      <c r="G655" s="34">
        <v>0.65365096779091347</v>
      </c>
    </row>
    <row r="656" spans="1:7" x14ac:dyDescent="0.3">
      <c r="A656" s="34">
        <v>655</v>
      </c>
      <c r="B656" s="34">
        <v>449</v>
      </c>
      <c r="C656" s="34">
        <v>12</v>
      </c>
      <c r="D656" s="34">
        <v>1424</v>
      </c>
      <c r="E656" s="34">
        <v>55</v>
      </c>
      <c r="F656" s="34" t="s">
        <v>56</v>
      </c>
      <c r="G656" s="34">
        <v>0.65396812193631781</v>
      </c>
    </row>
    <row r="657" spans="1:7" x14ac:dyDescent="0.3">
      <c r="A657" s="34">
        <v>656</v>
      </c>
      <c r="B657" s="34">
        <v>266</v>
      </c>
      <c r="C657" s="34">
        <v>15</v>
      </c>
      <c r="D657" s="34">
        <v>802</v>
      </c>
      <c r="E657" s="34">
        <v>37</v>
      </c>
      <c r="F657" s="34" t="s">
        <v>55</v>
      </c>
      <c r="G657" s="34">
        <v>0.65484106763090744</v>
      </c>
    </row>
    <row r="658" spans="1:7" x14ac:dyDescent="0.3">
      <c r="A658" s="34">
        <v>657</v>
      </c>
      <c r="B658" s="34">
        <v>234</v>
      </c>
      <c r="C658" s="34">
        <v>18</v>
      </c>
      <c r="D658" s="34">
        <v>866</v>
      </c>
      <c r="E658" s="34">
        <v>25</v>
      </c>
      <c r="F658" s="34" t="s">
        <v>54</v>
      </c>
      <c r="G658" s="34">
        <v>0.65527432353415183</v>
      </c>
    </row>
    <row r="659" spans="1:7" x14ac:dyDescent="0.3">
      <c r="A659" s="34">
        <v>658</v>
      </c>
      <c r="B659" s="34">
        <v>386</v>
      </c>
      <c r="C659" s="34">
        <v>18</v>
      </c>
      <c r="D659" s="34">
        <v>2238</v>
      </c>
      <c r="E659" s="34">
        <v>25</v>
      </c>
      <c r="F659" s="34" t="s">
        <v>56</v>
      </c>
      <c r="G659" s="34">
        <v>0.65665226348230732</v>
      </c>
    </row>
    <row r="660" spans="1:7" x14ac:dyDescent="0.3">
      <c r="A660" s="34">
        <v>659</v>
      </c>
      <c r="B660" s="34">
        <v>15</v>
      </c>
      <c r="C660" s="34">
        <v>15</v>
      </c>
      <c r="D660" s="34">
        <v>1403</v>
      </c>
      <c r="E660" s="34">
        <v>28</v>
      </c>
      <c r="F660" s="34" t="s">
        <v>56</v>
      </c>
      <c r="G660" s="34">
        <v>0.65754300264066745</v>
      </c>
    </row>
    <row r="661" spans="1:7" x14ac:dyDescent="0.3">
      <c r="A661" s="34">
        <v>660</v>
      </c>
      <c r="B661" s="34">
        <v>202</v>
      </c>
      <c r="C661" s="34">
        <v>12</v>
      </c>
      <c r="D661" s="34">
        <v>1168</v>
      </c>
      <c r="E661" s="34">
        <v>27</v>
      </c>
      <c r="F661" s="34" t="s">
        <v>54</v>
      </c>
      <c r="G661" s="34">
        <v>0.65862206506356658</v>
      </c>
    </row>
    <row r="662" spans="1:7" x14ac:dyDescent="0.3">
      <c r="A662" s="34">
        <v>661</v>
      </c>
      <c r="B662" s="34">
        <v>222</v>
      </c>
      <c r="C662" s="34">
        <v>12</v>
      </c>
      <c r="D662" s="34">
        <v>1200</v>
      </c>
      <c r="E662" s="34">
        <v>23</v>
      </c>
      <c r="F662" s="34" t="s">
        <v>56</v>
      </c>
      <c r="G662" s="34">
        <v>0.65892461191212703</v>
      </c>
    </row>
    <row r="663" spans="1:7" x14ac:dyDescent="0.3">
      <c r="A663" s="34">
        <v>662</v>
      </c>
      <c r="B663" s="34">
        <v>454</v>
      </c>
      <c r="C663" s="34">
        <v>24</v>
      </c>
      <c r="D663" s="34">
        <v>2670</v>
      </c>
      <c r="E663" s="34">
        <v>35</v>
      </c>
      <c r="F663" s="34" t="s">
        <v>54</v>
      </c>
      <c r="G663" s="34">
        <v>0.65937843973855181</v>
      </c>
    </row>
    <row r="664" spans="1:7" x14ac:dyDescent="0.3">
      <c r="A664" s="34">
        <v>663</v>
      </c>
      <c r="B664" s="34">
        <v>713</v>
      </c>
      <c r="C664" s="34">
        <v>21</v>
      </c>
      <c r="D664" s="34">
        <v>2476</v>
      </c>
      <c r="E664" s="34">
        <v>46</v>
      </c>
      <c r="F664" s="34" t="s">
        <v>54</v>
      </c>
      <c r="G664" s="34">
        <v>0.66035951868949527</v>
      </c>
    </row>
    <row r="665" spans="1:7" x14ac:dyDescent="0.3">
      <c r="A665" s="34">
        <v>664</v>
      </c>
      <c r="B665" s="34">
        <v>677</v>
      </c>
      <c r="C665" s="34">
        <v>24</v>
      </c>
      <c r="D665" s="34">
        <v>5150</v>
      </c>
      <c r="E665" s="34">
        <v>33</v>
      </c>
      <c r="F665" s="34" t="s">
        <v>54</v>
      </c>
      <c r="G665" s="34">
        <v>0.66055283094797601</v>
      </c>
    </row>
    <row r="666" spans="1:7" x14ac:dyDescent="0.3">
      <c r="A666" s="34">
        <v>665</v>
      </c>
      <c r="B666" s="34">
        <v>580</v>
      </c>
      <c r="C666" s="34">
        <v>24</v>
      </c>
      <c r="D666" s="34">
        <v>937</v>
      </c>
      <c r="E666" s="34">
        <v>27</v>
      </c>
      <c r="F666" s="34" t="s">
        <v>54</v>
      </c>
      <c r="G666" s="34">
        <v>0.66075706863787032</v>
      </c>
    </row>
    <row r="667" spans="1:7" x14ac:dyDescent="0.3">
      <c r="A667" s="34">
        <v>666</v>
      </c>
      <c r="B667" s="34">
        <v>192</v>
      </c>
      <c r="C667" s="34">
        <v>48</v>
      </c>
      <c r="D667" s="34">
        <v>3844</v>
      </c>
      <c r="E667" s="34">
        <v>34</v>
      </c>
      <c r="F667" s="34" t="s">
        <v>55</v>
      </c>
      <c r="G667" s="34">
        <v>0.66130491819301052</v>
      </c>
    </row>
    <row r="668" spans="1:7" x14ac:dyDescent="0.3">
      <c r="A668" s="34">
        <v>667</v>
      </c>
      <c r="B668" s="34">
        <v>238</v>
      </c>
      <c r="C668" s="34">
        <v>21</v>
      </c>
      <c r="D668" s="34">
        <v>2767</v>
      </c>
      <c r="E668" s="34">
        <v>61</v>
      </c>
      <c r="F668" s="34" t="s">
        <v>55</v>
      </c>
      <c r="G668" s="34">
        <v>0.66215113460617026</v>
      </c>
    </row>
    <row r="669" spans="1:7" x14ac:dyDescent="0.3">
      <c r="A669" s="34">
        <v>668</v>
      </c>
      <c r="B669" s="34">
        <v>316</v>
      </c>
      <c r="C669" s="34">
        <v>36</v>
      </c>
      <c r="D669" s="34">
        <v>2746</v>
      </c>
      <c r="E669" s="34">
        <v>31</v>
      </c>
      <c r="F669" s="34" t="s">
        <v>55</v>
      </c>
      <c r="G669" s="34">
        <v>0.66265293684048787</v>
      </c>
    </row>
    <row r="670" spans="1:7" x14ac:dyDescent="0.3">
      <c r="A670" s="34">
        <v>669</v>
      </c>
      <c r="B670" s="34">
        <v>417</v>
      </c>
      <c r="C670" s="34">
        <v>12</v>
      </c>
      <c r="D670" s="34">
        <v>2579</v>
      </c>
      <c r="E670" s="34">
        <v>33</v>
      </c>
      <c r="F670" s="34" t="s">
        <v>55</v>
      </c>
      <c r="G670" s="34">
        <v>0.66306388910785441</v>
      </c>
    </row>
    <row r="671" spans="1:7" x14ac:dyDescent="0.3">
      <c r="A671" s="34">
        <v>670</v>
      </c>
      <c r="B671" s="34">
        <v>291</v>
      </c>
      <c r="C671" s="34">
        <v>12</v>
      </c>
      <c r="D671" s="34">
        <v>1076</v>
      </c>
      <c r="E671" s="34">
        <v>26</v>
      </c>
      <c r="F671" s="34" t="s">
        <v>54</v>
      </c>
      <c r="G671" s="34">
        <v>0.66373733412222646</v>
      </c>
    </row>
    <row r="672" spans="1:7" x14ac:dyDescent="0.3">
      <c r="A672" s="34">
        <v>671</v>
      </c>
      <c r="B672" s="34">
        <v>652</v>
      </c>
      <c r="C672" s="34">
        <v>12</v>
      </c>
      <c r="D672" s="34">
        <v>1922</v>
      </c>
      <c r="E672" s="34">
        <v>37</v>
      </c>
      <c r="F672" s="34" t="s">
        <v>55</v>
      </c>
      <c r="G672" s="34">
        <v>0.66655725501039675</v>
      </c>
    </row>
    <row r="673" spans="1:7" x14ac:dyDescent="0.3">
      <c r="A673" s="34">
        <v>672</v>
      </c>
      <c r="B673" s="34">
        <v>941</v>
      </c>
      <c r="C673" s="34">
        <v>12</v>
      </c>
      <c r="D673" s="34">
        <v>3527</v>
      </c>
      <c r="E673" s="34">
        <v>45</v>
      </c>
      <c r="F673" s="34" t="s">
        <v>54</v>
      </c>
      <c r="G673" s="34">
        <v>0.66748671756023148</v>
      </c>
    </row>
    <row r="674" spans="1:7" x14ac:dyDescent="0.3">
      <c r="A674" s="34">
        <v>673</v>
      </c>
      <c r="B674" s="34">
        <v>253</v>
      </c>
      <c r="C674" s="34">
        <v>30</v>
      </c>
      <c r="D674" s="34">
        <v>2150</v>
      </c>
      <c r="E674" s="34">
        <v>24</v>
      </c>
      <c r="F674" s="34" t="s">
        <v>57</v>
      </c>
      <c r="G674" s="34">
        <v>0.66821585516116322</v>
      </c>
    </row>
    <row r="675" spans="1:7" x14ac:dyDescent="0.3">
      <c r="A675" s="34">
        <v>674</v>
      </c>
      <c r="B675" s="34">
        <v>582</v>
      </c>
      <c r="C675" s="34">
        <v>12</v>
      </c>
      <c r="D675" s="34">
        <v>3124</v>
      </c>
      <c r="E675" s="34">
        <v>49</v>
      </c>
      <c r="F675" s="34" t="s">
        <v>54</v>
      </c>
      <c r="G675" s="34">
        <v>0.66885435605564136</v>
      </c>
    </row>
    <row r="676" spans="1:7" x14ac:dyDescent="0.3">
      <c r="A676" s="34">
        <v>675</v>
      </c>
      <c r="B676" s="34">
        <v>263</v>
      </c>
      <c r="C676" s="34">
        <v>18</v>
      </c>
      <c r="D676" s="34">
        <v>5302</v>
      </c>
      <c r="E676" s="34">
        <v>36</v>
      </c>
      <c r="F676" s="34" t="s">
        <v>54</v>
      </c>
      <c r="G676" s="34">
        <v>0.66886196040383472</v>
      </c>
    </row>
    <row r="677" spans="1:7" x14ac:dyDescent="0.3">
      <c r="A677" s="34">
        <v>676</v>
      </c>
      <c r="B677" s="34">
        <v>851</v>
      </c>
      <c r="C677" s="34">
        <v>20</v>
      </c>
      <c r="D677" s="34">
        <v>2235</v>
      </c>
      <c r="E677" s="34">
        <v>33</v>
      </c>
      <c r="F677" s="34" t="s">
        <v>55</v>
      </c>
      <c r="G677" s="34">
        <v>0.67033095251857377</v>
      </c>
    </row>
    <row r="678" spans="1:7" x14ac:dyDescent="0.3">
      <c r="A678" s="34">
        <v>677</v>
      </c>
      <c r="B678" s="34">
        <v>90</v>
      </c>
      <c r="C678" s="34">
        <v>12</v>
      </c>
      <c r="D678" s="34">
        <v>1108</v>
      </c>
      <c r="E678" s="34">
        <v>28</v>
      </c>
      <c r="F678" s="34" t="s">
        <v>55</v>
      </c>
      <c r="G678" s="34">
        <v>0.67292423187850881</v>
      </c>
    </row>
    <row r="679" spans="1:7" x14ac:dyDescent="0.3">
      <c r="A679" s="34">
        <v>678</v>
      </c>
      <c r="B679" s="34">
        <v>798</v>
      </c>
      <c r="C679" s="34">
        <v>12</v>
      </c>
      <c r="D679" s="34">
        <v>1258</v>
      </c>
      <c r="E679" s="34">
        <v>22</v>
      </c>
      <c r="F679" s="34" t="s">
        <v>56</v>
      </c>
      <c r="G679" s="34">
        <v>0.67439261148488416</v>
      </c>
    </row>
    <row r="680" spans="1:7" x14ac:dyDescent="0.3">
      <c r="A680" s="34">
        <v>679</v>
      </c>
      <c r="B680" s="34">
        <v>165</v>
      </c>
      <c r="C680" s="34">
        <v>36</v>
      </c>
      <c r="D680" s="34">
        <v>909</v>
      </c>
      <c r="E680" s="34">
        <v>36</v>
      </c>
      <c r="F680" s="34" t="s">
        <v>54</v>
      </c>
      <c r="G680" s="34">
        <v>0.67535150717849957</v>
      </c>
    </row>
    <row r="681" spans="1:7" x14ac:dyDescent="0.3">
      <c r="A681" s="34">
        <v>680</v>
      </c>
      <c r="B681" s="34">
        <v>209</v>
      </c>
      <c r="C681" s="34">
        <v>24</v>
      </c>
      <c r="D681" s="34">
        <v>6568</v>
      </c>
      <c r="E681" s="34">
        <v>21</v>
      </c>
      <c r="F681" s="34" t="s">
        <v>54</v>
      </c>
      <c r="G681" s="34">
        <v>0.67538862957729495</v>
      </c>
    </row>
    <row r="682" spans="1:7" x14ac:dyDescent="0.3">
      <c r="A682" s="34">
        <v>681</v>
      </c>
      <c r="B682" s="34">
        <v>9</v>
      </c>
      <c r="C682" s="34">
        <v>12</v>
      </c>
      <c r="D682" s="34">
        <v>3059</v>
      </c>
      <c r="E682" s="34">
        <v>61</v>
      </c>
      <c r="F682" s="34" t="s">
        <v>54</v>
      </c>
      <c r="G682" s="34">
        <v>0.67694950346269156</v>
      </c>
    </row>
    <row r="683" spans="1:7" x14ac:dyDescent="0.3">
      <c r="A683" s="34">
        <v>682</v>
      </c>
      <c r="B683" s="34">
        <v>986</v>
      </c>
      <c r="C683" s="34">
        <v>15</v>
      </c>
      <c r="D683" s="34">
        <v>1433</v>
      </c>
      <c r="E683" s="34">
        <v>25</v>
      </c>
      <c r="F683" s="34" t="s">
        <v>56</v>
      </c>
      <c r="G683" s="34">
        <v>0.68018394834333162</v>
      </c>
    </row>
    <row r="684" spans="1:7" x14ac:dyDescent="0.3">
      <c r="A684" s="34">
        <v>683</v>
      </c>
      <c r="B684" s="34">
        <v>267</v>
      </c>
      <c r="C684" s="34">
        <v>36</v>
      </c>
      <c r="D684" s="34">
        <v>6304</v>
      </c>
      <c r="E684" s="34">
        <v>36</v>
      </c>
      <c r="F684" s="34" t="s">
        <v>54</v>
      </c>
      <c r="G684" s="34">
        <v>0.6807237476769491</v>
      </c>
    </row>
    <row r="685" spans="1:7" x14ac:dyDescent="0.3">
      <c r="A685" s="34">
        <v>684</v>
      </c>
      <c r="B685" s="34">
        <v>259</v>
      </c>
      <c r="C685" s="34">
        <v>15</v>
      </c>
      <c r="D685" s="34">
        <v>3812</v>
      </c>
      <c r="E685" s="34">
        <v>23</v>
      </c>
      <c r="F685" s="34" t="s">
        <v>56</v>
      </c>
      <c r="G685" s="34">
        <v>0.68189739876992006</v>
      </c>
    </row>
    <row r="686" spans="1:7" x14ac:dyDescent="0.3">
      <c r="A686" s="34">
        <v>685</v>
      </c>
      <c r="B686" s="34">
        <v>546</v>
      </c>
      <c r="C686" s="34">
        <v>24</v>
      </c>
      <c r="D686" s="34">
        <v>1333</v>
      </c>
      <c r="E686" s="34">
        <v>43</v>
      </c>
      <c r="F686" s="34" t="s">
        <v>55</v>
      </c>
      <c r="G686" s="34">
        <v>0.68217046363238232</v>
      </c>
    </row>
    <row r="687" spans="1:7" x14ac:dyDescent="0.3">
      <c r="A687" s="34">
        <v>686</v>
      </c>
      <c r="B687" s="34">
        <v>338</v>
      </c>
      <c r="C687" s="34">
        <v>15</v>
      </c>
      <c r="D687" s="34">
        <v>1275</v>
      </c>
      <c r="E687" s="34">
        <v>24</v>
      </c>
      <c r="F687" s="34" t="s">
        <v>57</v>
      </c>
      <c r="G687" s="34">
        <v>0.68233491173773031</v>
      </c>
    </row>
    <row r="688" spans="1:7" x14ac:dyDescent="0.3">
      <c r="A688" s="34">
        <v>687</v>
      </c>
      <c r="B688" s="34">
        <v>1000</v>
      </c>
      <c r="C688" s="34">
        <v>45</v>
      </c>
      <c r="D688" s="34">
        <v>4576</v>
      </c>
      <c r="E688" s="34">
        <v>27</v>
      </c>
      <c r="F688" s="34" t="s">
        <v>54</v>
      </c>
      <c r="G688" s="34">
        <v>0.68307886667064166</v>
      </c>
    </row>
    <row r="689" spans="1:7" x14ac:dyDescent="0.3">
      <c r="A689" s="34">
        <v>688</v>
      </c>
      <c r="B689" s="34">
        <v>166</v>
      </c>
      <c r="C689" s="34">
        <v>6</v>
      </c>
      <c r="D689" s="34">
        <v>2978</v>
      </c>
      <c r="E689" s="34">
        <v>32</v>
      </c>
      <c r="F689" s="34" t="s">
        <v>54</v>
      </c>
      <c r="G689" s="34">
        <v>0.68309335474577026</v>
      </c>
    </row>
    <row r="690" spans="1:7" x14ac:dyDescent="0.3">
      <c r="A690" s="34">
        <v>689</v>
      </c>
      <c r="B690" s="34">
        <v>415</v>
      </c>
      <c r="C690" s="34">
        <v>24</v>
      </c>
      <c r="D690" s="34">
        <v>1381</v>
      </c>
      <c r="E690" s="34">
        <v>35</v>
      </c>
      <c r="F690" s="34" t="s">
        <v>57</v>
      </c>
      <c r="G690" s="34">
        <v>0.68393482656732973</v>
      </c>
    </row>
    <row r="691" spans="1:7" x14ac:dyDescent="0.3">
      <c r="A691" s="34">
        <v>690</v>
      </c>
      <c r="B691" s="34">
        <v>457</v>
      </c>
      <c r="C691" s="34">
        <v>11</v>
      </c>
      <c r="D691" s="34">
        <v>3905</v>
      </c>
      <c r="E691" s="34">
        <v>36</v>
      </c>
      <c r="F691" s="34" t="s">
        <v>54</v>
      </c>
      <c r="G691" s="34">
        <v>0.68419529664257506</v>
      </c>
    </row>
    <row r="692" spans="1:7" x14ac:dyDescent="0.3">
      <c r="A692" s="34">
        <v>691</v>
      </c>
      <c r="B692" s="34">
        <v>398</v>
      </c>
      <c r="C692" s="34">
        <v>36</v>
      </c>
      <c r="D692" s="34">
        <v>2348</v>
      </c>
      <c r="E692" s="34">
        <v>46</v>
      </c>
      <c r="F692" s="34" t="s">
        <v>54</v>
      </c>
      <c r="G692" s="34">
        <v>0.68449426540388902</v>
      </c>
    </row>
    <row r="693" spans="1:7" x14ac:dyDescent="0.3">
      <c r="A693" s="34">
        <v>692</v>
      </c>
      <c r="B693" s="34">
        <v>936</v>
      </c>
      <c r="C693" s="34">
        <v>30</v>
      </c>
      <c r="D693" s="34">
        <v>1919</v>
      </c>
      <c r="E693" s="34">
        <v>30</v>
      </c>
      <c r="F693" s="34" t="s">
        <v>55</v>
      </c>
      <c r="G693" s="34">
        <v>0.68524423998824191</v>
      </c>
    </row>
    <row r="694" spans="1:7" x14ac:dyDescent="0.3">
      <c r="A694" s="34">
        <v>693</v>
      </c>
      <c r="B694" s="34">
        <v>392</v>
      </c>
      <c r="C694" s="34">
        <v>12</v>
      </c>
      <c r="D694" s="34">
        <v>983</v>
      </c>
      <c r="E694" s="34">
        <v>19</v>
      </c>
      <c r="F694" s="34" t="s">
        <v>56</v>
      </c>
      <c r="G694" s="34">
        <v>0.68678900531325748</v>
      </c>
    </row>
    <row r="695" spans="1:7" x14ac:dyDescent="0.3">
      <c r="A695" s="34">
        <v>694</v>
      </c>
      <c r="B695" s="34">
        <v>725</v>
      </c>
      <c r="C695" s="34">
        <v>27</v>
      </c>
      <c r="D695" s="34">
        <v>2570</v>
      </c>
      <c r="E695" s="34">
        <v>21</v>
      </c>
      <c r="F695" s="34" t="s">
        <v>57</v>
      </c>
      <c r="G695" s="34">
        <v>0.68850715909157778</v>
      </c>
    </row>
    <row r="696" spans="1:7" x14ac:dyDescent="0.3">
      <c r="A696" s="34">
        <v>695</v>
      </c>
      <c r="B696" s="34">
        <v>904</v>
      </c>
      <c r="C696" s="34">
        <v>15</v>
      </c>
      <c r="D696" s="34">
        <v>1386</v>
      </c>
      <c r="E696" s="34">
        <v>40</v>
      </c>
      <c r="F696" s="34" t="s">
        <v>54</v>
      </c>
      <c r="G696" s="34">
        <v>0.68907688017629487</v>
      </c>
    </row>
    <row r="697" spans="1:7" x14ac:dyDescent="0.3">
      <c r="A697" s="34">
        <v>696</v>
      </c>
      <c r="B697" s="34">
        <v>925</v>
      </c>
      <c r="C697" s="34">
        <v>24</v>
      </c>
      <c r="D697" s="34">
        <v>6872</v>
      </c>
      <c r="E697" s="34">
        <v>55</v>
      </c>
      <c r="F697" s="34" t="s">
        <v>55</v>
      </c>
      <c r="G697" s="34">
        <v>0.68954527941439092</v>
      </c>
    </row>
    <row r="698" spans="1:7" x14ac:dyDescent="0.3">
      <c r="A698" s="34">
        <v>697</v>
      </c>
      <c r="B698" s="34">
        <v>800</v>
      </c>
      <c r="C698" s="34">
        <v>9</v>
      </c>
      <c r="D698" s="34">
        <v>1549</v>
      </c>
      <c r="E698" s="34">
        <v>35</v>
      </c>
      <c r="F698" s="34" t="s">
        <v>54</v>
      </c>
      <c r="G698" s="34">
        <v>0.69103787306790232</v>
      </c>
    </row>
    <row r="699" spans="1:7" x14ac:dyDescent="0.3">
      <c r="A699" s="34">
        <v>698</v>
      </c>
      <c r="B699" s="34">
        <v>479</v>
      </c>
      <c r="C699" s="34">
        <v>12</v>
      </c>
      <c r="D699" s="34">
        <v>1037</v>
      </c>
      <c r="E699" s="34">
        <v>39</v>
      </c>
      <c r="F699" s="34" t="s">
        <v>54</v>
      </c>
      <c r="G699" s="34">
        <v>0.69115563597786001</v>
      </c>
    </row>
    <row r="700" spans="1:7" x14ac:dyDescent="0.3">
      <c r="A700" s="34">
        <v>699</v>
      </c>
      <c r="B700" s="34">
        <v>784</v>
      </c>
      <c r="C700" s="34">
        <v>12</v>
      </c>
      <c r="D700" s="34">
        <v>836</v>
      </c>
      <c r="E700" s="34">
        <v>23</v>
      </c>
      <c r="F700" s="34" t="s">
        <v>57</v>
      </c>
      <c r="G700" s="34">
        <v>0.69169287690426118</v>
      </c>
    </row>
    <row r="701" spans="1:7" x14ac:dyDescent="0.3">
      <c r="A701" s="34">
        <v>700</v>
      </c>
      <c r="B701" s="34">
        <v>140</v>
      </c>
      <c r="C701" s="34">
        <v>12</v>
      </c>
      <c r="D701" s="34">
        <v>1881</v>
      </c>
      <c r="E701" s="34">
        <v>44</v>
      </c>
      <c r="F701" s="34" t="s">
        <v>56</v>
      </c>
      <c r="G701" s="34">
        <v>0.69226344279662499</v>
      </c>
    </row>
    <row r="702" spans="1:7" x14ac:dyDescent="0.3">
      <c r="A702" s="34">
        <v>701</v>
      </c>
      <c r="B702" s="34">
        <v>694</v>
      </c>
      <c r="C702" s="34">
        <v>6</v>
      </c>
      <c r="D702" s="34">
        <v>4716</v>
      </c>
      <c r="E702" s="34">
        <v>44</v>
      </c>
      <c r="F702" s="34" t="s">
        <v>54</v>
      </c>
      <c r="G702" s="34">
        <v>0.69456573462605664</v>
      </c>
    </row>
    <row r="703" spans="1:7" x14ac:dyDescent="0.3">
      <c r="A703" s="34">
        <v>702</v>
      </c>
      <c r="B703" s="34">
        <v>905</v>
      </c>
      <c r="C703" s="34">
        <v>24</v>
      </c>
      <c r="D703" s="34">
        <v>1278</v>
      </c>
      <c r="E703" s="34">
        <v>36</v>
      </c>
      <c r="F703" s="34" t="s">
        <v>54</v>
      </c>
      <c r="G703" s="34">
        <v>0.6945756684375769</v>
      </c>
    </row>
    <row r="704" spans="1:7" x14ac:dyDescent="0.3">
      <c r="A704" s="34">
        <v>703</v>
      </c>
      <c r="B704" s="34">
        <v>23</v>
      </c>
      <c r="C704" s="34">
        <v>10</v>
      </c>
      <c r="D704" s="34">
        <v>2241</v>
      </c>
      <c r="E704" s="34">
        <v>48</v>
      </c>
      <c r="F704" s="34" t="s">
        <v>54</v>
      </c>
      <c r="G704" s="34">
        <v>0.69639981108124427</v>
      </c>
    </row>
    <row r="705" spans="1:7" x14ac:dyDescent="0.3">
      <c r="A705" s="34">
        <v>704</v>
      </c>
      <c r="B705" s="34">
        <v>651</v>
      </c>
      <c r="C705" s="34">
        <v>48</v>
      </c>
      <c r="D705" s="34">
        <v>7476</v>
      </c>
      <c r="E705" s="34">
        <v>50</v>
      </c>
      <c r="F705" s="34" t="s">
        <v>54</v>
      </c>
      <c r="G705" s="34">
        <v>0.6974168541391903</v>
      </c>
    </row>
    <row r="706" spans="1:7" x14ac:dyDescent="0.3">
      <c r="A706" s="34">
        <v>705</v>
      </c>
      <c r="B706" s="34">
        <v>797</v>
      </c>
      <c r="C706" s="34">
        <v>18</v>
      </c>
      <c r="D706" s="34">
        <v>7511</v>
      </c>
      <c r="E706" s="34">
        <v>51</v>
      </c>
      <c r="F706" s="34" t="s">
        <v>55</v>
      </c>
      <c r="G706" s="34">
        <v>0.69829958398682423</v>
      </c>
    </row>
    <row r="707" spans="1:7" x14ac:dyDescent="0.3">
      <c r="A707" s="34">
        <v>706</v>
      </c>
      <c r="B707" s="34">
        <v>757</v>
      </c>
      <c r="C707" s="34">
        <v>6</v>
      </c>
      <c r="D707" s="34">
        <v>1299</v>
      </c>
      <c r="E707" s="34">
        <v>74</v>
      </c>
      <c r="F707" s="34" t="s">
        <v>54</v>
      </c>
      <c r="G707" s="34">
        <v>0.70165447991696961</v>
      </c>
    </row>
    <row r="708" spans="1:7" x14ac:dyDescent="0.3">
      <c r="A708" s="34">
        <v>707</v>
      </c>
      <c r="B708" s="34">
        <v>446</v>
      </c>
      <c r="C708" s="34">
        <v>9</v>
      </c>
      <c r="D708" s="34">
        <v>1244</v>
      </c>
      <c r="E708" s="34">
        <v>41</v>
      </c>
      <c r="F708" s="34" t="s">
        <v>56</v>
      </c>
      <c r="G708" s="34">
        <v>0.70236130575518396</v>
      </c>
    </row>
    <row r="709" spans="1:7" x14ac:dyDescent="0.3">
      <c r="A709" s="34">
        <v>708</v>
      </c>
      <c r="B709" s="34">
        <v>887</v>
      </c>
      <c r="C709" s="34">
        <v>24</v>
      </c>
      <c r="D709" s="34">
        <v>2825</v>
      </c>
      <c r="E709" s="34">
        <v>34</v>
      </c>
      <c r="F709" s="34" t="s">
        <v>54</v>
      </c>
      <c r="G709" s="34">
        <v>0.7025352436518898</v>
      </c>
    </row>
    <row r="710" spans="1:7" x14ac:dyDescent="0.3">
      <c r="A710" s="34">
        <v>709</v>
      </c>
      <c r="B710" s="34">
        <v>311</v>
      </c>
      <c r="C710" s="34">
        <v>48</v>
      </c>
      <c r="D710" s="34">
        <v>5381</v>
      </c>
      <c r="E710" s="34">
        <v>40</v>
      </c>
      <c r="F710" s="34" t="s">
        <v>54</v>
      </c>
      <c r="G710" s="34">
        <v>0.7043860833074953</v>
      </c>
    </row>
    <row r="711" spans="1:7" x14ac:dyDescent="0.3">
      <c r="A711" s="34">
        <v>710</v>
      </c>
      <c r="B711" s="34">
        <v>833</v>
      </c>
      <c r="C711" s="34">
        <v>45</v>
      </c>
      <c r="D711" s="34">
        <v>11816</v>
      </c>
      <c r="E711" s="34">
        <v>29</v>
      </c>
      <c r="F711" s="34" t="s">
        <v>55</v>
      </c>
      <c r="G711" s="34">
        <v>0.70516087881199263</v>
      </c>
    </row>
    <row r="712" spans="1:7" x14ac:dyDescent="0.3">
      <c r="A712" s="34">
        <v>711</v>
      </c>
      <c r="B712" s="34">
        <v>88</v>
      </c>
      <c r="C712" s="34">
        <v>36</v>
      </c>
      <c r="D712" s="34">
        <v>12612</v>
      </c>
      <c r="E712" s="34">
        <v>47</v>
      </c>
      <c r="F712" s="34" t="s">
        <v>55</v>
      </c>
      <c r="G712" s="34">
        <v>0.7052479970601172</v>
      </c>
    </row>
    <row r="713" spans="1:7" x14ac:dyDescent="0.3">
      <c r="A713" s="34">
        <v>712</v>
      </c>
      <c r="B713" s="34">
        <v>142</v>
      </c>
      <c r="C713" s="34">
        <v>36</v>
      </c>
      <c r="D713" s="34">
        <v>4795</v>
      </c>
      <c r="E713" s="34">
        <v>30</v>
      </c>
      <c r="F713" s="34" t="s">
        <v>56</v>
      </c>
      <c r="G713" s="34">
        <v>0.70537586918108219</v>
      </c>
    </row>
    <row r="714" spans="1:7" x14ac:dyDescent="0.3">
      <c r="A714" s="34">
        <v>713</v>
      </c>
      <c r="B714" s="34">
        <v>103</v>
      </c>
      <c r="C714" s="34">
        <v>6</v>
      </c>
      <c r="D714" s="34">
        <v>932</v>
      </c>
      <c r="E714" s="34">
        <v>24</v>
      </c>
      <c r="F714" s="34" t="s">
        <v>56</v>
      </c>
      <c r="G714" s="34">
        <v>0.70883714215659033</v>
      </c>
    </row>
    <row r="715" spans="1:7" x14ac:dyDescent="0.3">
      <c r="A715" s="34">
        <v>714</v>
      </c>
      <c r="B715" s="34">
        <v>406</v>
      </c>
      <c r="C715" s="34">
        <v>24</v>
      </c>
      <c r="D715" s="34">
        <v>2039</v>
      </c>
      <c r="E715" s="34">
        <v>22</v>
      </c>
      <c r="F715" s="34" t="s">
        <v>55</v>
      </c>
      <c r="G715" s="34">
        <v>0.71097886304832947</v>
      </c>
    </row>
    <row r="716" spans="1:7" x14ac:dyDescent="0.3">
      <c r="A716" s="34">
        <v>715</v>
      </c>
      <c r="B716" s="34">
        <v>656</v>
      </c>
      <c r="C716" s="34">
        <v>14</v>
      </c>
      <c r="D716" s="34">
        <v>3973</v>
      </c>
      <c r="E716" s="34">
        <v>22</v>
      </c>
      <c r="F716" s="34" t="s">
        <v>54</v>
      </c>
      <c r="G716" s="34">
        <v>0.71418514713141368</v>
      </c>
    </row>
    <row r="717" spans="1:7" x14ac:dyDescent="0.3">
      <c r="A717" s="34">
        <v>716</v>
      </c>
      <c r="B717" s="34">
        <v>191</v>
      </c>
      <c r="C717" s="34">
        <v>24</v>
      </c>
      <c r="D717" s="34">
        <v>4591</v>
      </c>
      <c r="E717" s="34">
        <v>54</v>
      </c>
      <c r="F717" s="34" t="s">
        <v>55</v>
      </c>
      <c r="G717" s="34">
        <v>0.71464575874292013</v>
      </c>
    </row>
    <row r="718" spans="1:7" x14ac:dyDescent="0.3">
      <c r="A718" s="34">
        <v>717</v>
      </c>
      <c r="B718" s="34">
        <v>490</v>
      </c>
      <c r="C718" s="34">
        <v>6</v>
      </c>
      <c r="D718" s="34">
        <v>3518</v>
      </c>
      <c r="E718" s="34">
        <v>26</v>
      </c>
      <c r="F718" s="34" t="s">
        <v>54</v>
      </c>
      <c r="G718" s="34">
        <v>0.71516480722850739</v>
      </c>
    </row>
    <row r="719" spans="1:7" x14ac:dyDescent="0.3">
      <c r="A719" s="34">
        <v>718</v>
      </c>
      <c r="B719" s="34">
        <v>102</v>
      </c>
      <c r="C719" s="34">
        <v>36</v>
      </c>
      <c r="D719" s="34">
        <v>2323</v>
      </c>
      <c r="E719" s="34">
        <v>24</v>
      </c>
      <c r="F719" s="34" t="s">
        <v>54</v>
      </c>
      <c r="G719" s="34">
        <v>0.71523185700910485</v>
      </c>
    </row>
    <row r="720" spans="1:7" x14ac:dyDescent="0.3">
      <c r="A720" s="34">
        <v>719</v>
      </c>
      <c r="B720" s="34">
        <v>380</v>
      </c>
      <c r="C720" s="34">
        <v>6</v>
      </c>
      <c r="D720" s="34">
        <v>362</v>
      </c>
      <c r="E720" s="34">
        <v>52</v>
      </c>
      <c r="F720" s="34" t="s">
        <v>56</v>
      </c>
      <c r="G720" s="34">
        <v>0.71550827529908889</v>
      </c>
    </row>
    <row r="721" spans="1:7" x14ac:dyDescent="0.3">
      <c r="A721" s="34">
        <v>720</v>
      </c>
      <c r="B721" s="34">
        <v>231</v>
      </c>
      <c r="C721" s="34">
        <v>36</v>
      </c>
      <c r="D721" s="34">
        <v>4210</v>
      </c>
      <c r="E721" s="34">
        <v>26</v>
      </c>
      <c r="F721" s="34" t="s">
        <v>55</v>
      </c>
      <c r="G721" s="34">
        <v>0.71612678544415909</v>
      </c>
    </row>
    <row r="722" spans="1:7" x14ac:dyDescent="0.3">
      <c r="A722" s="34">
        <v>721</v>
      </c>
      <c r="B722" s="34">
        <v>69</v>
      </c>
      <c r="C722" s="34">
        <v>36</v>
      </c>
      <c r="D722" s="34">
        <v>1819</v>
      </c>
      <c r="E722" s="34">
        <v>37</v>
      </c>
      <c r="F722" s="34" t="s">
        <v>55</v>
      </c>
      <c r="G722" s="34">
        <v>0.71803242773993392</v>
      </c>
    </row>
    <row r="723" spans="1:7" x14ac:dyDescent="0.3">
      <c r="A723" s="34">
        <v>722</v>
      </c>
      <c r="B723" s="34">
        <v>788</v>
      </c>
      <c r="C723" s="34">
        <v>48</v>
      </c>
      <c r="D723" s="34">
        <v>2751</v>
      </c>
      <c r="E723" s="34">
        <v>38</v>
      </c>
      <c r="F723" s="34" t="s">
        <v>54</v>
      </c>
      <c r="G723" s="34">
        <v>0.71833543988599335</v>
      </c>
    </row>
    <row r="724" spans="1:7" x14ac:dyDescent="0.3">
      <c r="A724" s="34">
        <v>723</v>
      </c>
      <c r="B724" s="34">
        <v>262</v>
      </c>
      <c r="C724" s="34">
        <v>24</v>
      </c>
      <c r="D724" s="34">
        <v>1603</v>
      </c>
      <c r="E724" s="34">
        <v>55</v>
      </c>
      <c r="F724" s="34" t="s">
        <v>56</v>
      </c>
      <c r="G724" s="34">
        <v>0.718523990075151</v>
      </c>
    </row>
    <row r="725" spans="1:7" x14ac:dyDescent="0.3">
      <c r="A725" s="34">
        <v>724</v>
      </c>
      <c r="B725" s="34">
        <v>536</v>
      </c>
      <c r="C725" s="34">
        <v>21</v>
      </c>
      <c r="D725" s="34">
        <v>2319</v>
      </c>
      <c r="E725" s="34">
        <v>33</v>
      </c>
      <c r="F725" s="34" t="s">
        <v>55</v>
      </c>
      <c r="G725" s="34">
        <v>0.71867246690527664</v>
      </c>
    </row>
    <row r="726" spans="1:7" x14ac:dyDescent="0.3">
      <c r="A726" s="34">
        <v>725</v>
      </c>
      <c r="B726" s="34">
        <v>922</v>
      </c>
      <c r="C726" s="34">
        <v>48</v>
      </c>
      <c r="D726" s="34">
        <v>12749</v>
      </c>
      <c r="E726" s="34">
        <v>37</v>
      </c>
      <c r="F726" s="34" t="s">
        <v>54</v>
      </c>
      <c r="G726" s="34">
        <v>0.71899289833711855</v>
      </c>
    </row>
    <row r="727" spans="1:7" x14ac:dyDescent="0.3">
      <c r="A727" s="34">
        <v>726</v>
      </c>
      <c r="B727" s="34">
        <v>149</v>
      </c>
      <c r="C727" s="34">
        <v>36</v>
      </c>
      <c r="D727" s="34">
        <v>5371</v>
      </c>
      <c r="E727" s="34">
        <v>28</v>
      </c>
      <c r="F727" s="34" t="s">
        <v>54</v>
      </c>
      <c r="G727" s="34">
        <v>0.71941730672727611</v>
      </c>
    </row>
    <row r="728" spans="1:7" x14ac:dyDescent="0.3">
      <c r="A728" s="34">
        <v>727</v>
      </c>
      <c r="B728" s="34">
        <v>844</v>
      </c>
      <c r="C728" s="34">
        <v>24</v>
      </c>
      <c r="D728" s="34">
        <v>1559</v>
      </c>
      <c r="E728" s="34">
        <v>50</v>
      </c>
      <c r="F728" s="34" t="s">
        <v>54</v>
      </c>
      <c r="G728" s="34">
        <v>0.72322008528713044</v>
      </c>
    </row>
    <row r="729" spans="1:7" x14ac:dyDescent="0.3">
      <c r="A729" s="34">
        <v>728</v>
      </c>
      <c r="B729" s="34">
        <v>286</v>
      </c>
      <c r="C729" s="34">
        <v>47</v>
      </c>
      <c r="D729" s="34">
        <v>10722</v>
      </c>
      <c r="E729" s="34">
        <v>35</v>
      </c>
      <c r="F729" s="34" t="s">
        <v>56</v>
      </c>
      <c r="G729" s="34">
        <v>0.72440762536271786</v>
      </c>
    </row>
    <row r="730" spans="1:7" x14ac:dyDescent="0.3">
      <c r="A730" s="34">
        <v>729</v>
      </c>
      <c r="B730" s="34">
        <v>179</v>
      </c>
      <c r="C730" s="34">
        <v>12</v>
      </c>
      <c r="D730" s="34">
        <v>1963</v>
      </c>
      <c r="E730" s="34">
        <v>31</v>
      </c>
      <c r="F730" s="34" t="s">
        <v>54</v>
      </c>
      <c r="G730" s="34">
        <v>0.72447533652770757</v>
      </c>
    </row>
    <row r="731" spans="1:7" x14ac:dyDescent="0.3">
      <c r="A731" s="34">
        <v>730</v>
      </c>
      <c r="B731" s="34">
        <v>732</v>
      </c>
      <c r="C731" s="34">
        <v>24</v>
      </c>
      <c r="D731" s="34">
        <v>1987</v>
      </c>
      <c r="E731" s="34">
        <v>21</v>
      </c>
      <c r="F731" s="34" t="s">
        <v>55</v>
      </c>
      <c r="G731" s="34">
        <v>0.72537354668991494</v>
      </c>
    </row>
    <row r="732" spans="1:7" x14ac:dyDescent="0.3">
      <c r="A732" s="34">
        <v>731</v>
      </c>
      <c r="B732" s="34">
        <v>958</v>
      </c>
      <c r="C732" s="34">
        <v>9</v>
      </c>
      <c r="D732" s="34">
        <v>1154</v>
      </c>
      <c r="E732" s="34">
        <v>37</v>
      </c>
      <c r="F732" s="34" t="s">
        <v>54</v>
      </c>
      <c r="G732" s="34">
        <v>0.72725279899881767</v>
      </c>
    </row>
    <row r="733" spans="1:7" x14ac:dyDescent="0.3">
      <c r="A733" s="34">
        <v>732</v>
      </c>
      <c r="B733" s="34">
        <v>336</v>
      </c>
      <c r="C733" s="34">
        <v>6</v>
      </c>
      <c r="D733" s="34">
        <v>3384</v>
      </c>
      <c r="E733" s="34">
        <v>44</v>
      </c>
      <c r="F733" s="34" t="s">
        <v>55</v>
      </c>
      <c r="G733" s="34">
        <v>0.73023778810320461</v>
      </c>
    </row>
    <row r="734" spans="1:7" x14ac:dyDescent="0.3">
      <c r="A734" s="34">
        <v>733</v>
      </c>
      <c r="B734" s="34">
        <v>642</v>
      </c>
      <c r="C734" s="34">
        <v>15</v>
      </c>
      <c r="D734" s="34">
        <v>1308</v>
      </c>
      <c r="E734" s="34">
        <v>38</v>
      </c>
      <c r="F734" s="34" t="s">
        <v>54</v>
      </c>
      <c r="G734" s="34">
        <v>0.73046132089420279</v>
      </c>
    </row>
    <row r="735" spans="1:7" x14ac:dyDescent="0.3">
      <c r="A735" s="34">
        <v>734</v>
      </c>
      <c r="B735" s="34">
        <v>930</v>
      </c>
      <c r="C735" s="34">
        <v>12</v>
      </c>
      <c r="D735" s="34">
        <v>1344</v>
      </c>
      <c r="E735" s="34">
        <v>43</v>
      </c>
      <c r="F735" s="34" t="s">
        <v>54</v>
      </c>
      <c r="G735" s="34">
        <v>0.73213288363258966</v>
      </c>
    </row>
    <row r="736" spans="1:7" x14ac:dyDescent="0.3">
      <c r="A736" s="34">
        <v>735</v>
      </c>
      <c r="B736" s="34">
        <v>706</v>
      </c>
      <c r="C736" s="34">
        <v>15</v>
      </c>
      <c r="D736" s="34">
        <v>5324</v>
      </c>
      <c r="E736" s="34">
        <v>35</v>
      </c>
      <c r="F736" s="34" t="s">
        <v>56</v>
      </c>
      <c r="G736" s="34">
        <v>0.73276314722080194</v>
      </c>
    </row>
    <row r="737" spans="1:7" x14ac:dyDescent="0.3">
      <c r="A737" s="34">
        <v>736</v>
      </c>
      <c r="B737" s="34">
        <v>53</v>
      </c>
      <c r="C737" s="34">
        <v>12</v>
      </c>
      <c r="D737" s="34">
        <v>1262</v>
      </c>
      <c r="E737" s="34">
        <v>25</v>
      </c>
      <c r="F737" s="34" t="s">
        <v>54</v>
      </c>
      <c r="G737" s="34">
        <v>0.7329136122621569</v>
      </c>
    </row>
    <row r="738" spans="1:7" x14ac:dyDescent="0.3">
      <c r="A738" s="34">
        <v>737</v>
      </c>
      <c r="B738" s="34">
        <v>254</v>
      </c>
      <c r="C738" s="34">
        <v>24</v>
      </c>
      <c r="D738" s="34">
        <v>4151</v>
      </c>
      <c r="E738" s="34">
        <v>35</v>
      </c>
      <c r="F738" s="34" t="s">
        <v>54</v>
      </c>
      <c r="G738" s="34">
        <v>0.73334272951794122</v>
      </c>
    </row>
    <row r="739" spans="1:7" x14ac:dyDescent="0.3">
      <c r="A739" s="34">
        <v>738</v>
      </c>
      <c r="B739" s="34">
        <v>328</v>
      </c>
      <c r="C739" s="34">
        <v>24</v>
      </c>
      <c r="D739" s="34">
        <v>1525</v>
      </c>
      <c r="E739" s="34">
        <v>34</v>
      </c>
      <c r="F739" s="34" t="s">
        <v>56</v>
      </c>
      <c r="G739" s="34">
        <v>0.7336583140369467</v>
      </c>
    </row>
    <row r="740" spans="1:7" x14ac:dyDescent="0.3">
      <c r="A740" s="34">
        <v>739</v>
      </c>
      <c r="B740" s="34">
        <v>974</v>
      </c>
      <c r="C740" s="34">
        <v>60</v>
      </c>
      <c r="D740" s="34">
        <v>7297</v>
      </c>
      <c r="E740" s="34">
        <v>36</v>
      </c>
      <c r="F740" s="34" t="s">
        <v>55</v>
      </c>
      <c r="G740" s="34">
        <v>0.73370151867490752</v>
      </c>
    </row>
    <row r="741" spans="1:7" x14ac:dyDescent="0.3">
      <c r="A741" s="34">
        <v>740</v>
      </c>
      <c r="B741" s="34">
        <v>321</v>
      </c>
      <c r="C741" s="34">
        <v>30</v>
      </c>
      <c r="D741" s="34">
        <v>4249</v>
      </c>
      <c r="E741" s="34">
        <v>28</v>
      </c>
      <c r="F741" s="34" t="s">
        <v>55</v>
      </c>
      <c r="G741" s="34">
        <v>0.73506638835894034</v>
      </c>
    </row>
    <row r="742" spans="1:7" x14ac:dyDescent="0.3">
      <c r="A742" s="34">
        <v>741</v>
      </c>
      <c r="B742" s="34">
        <v>631</v>
      </c>
      <c r="C742" s="34">
        <v>24</v>
      </c>
      <c r="D742" s="34">
        <v>3660</v>
      </c>
      <c r="E742" s="34">
        <v>28</v>
      </c>
      <c r="F742" s="34" t="s">
        <v>56</v>
      </c>
      <c r="G742" s="34">
        <v>0.73583290791493072</v>
      </c>
    </row>
    <row r="743" spans="1:7" x14ac:dyDescent="0.3">
      <c r="A743" s="34">
        <v>742</v>
      </c>
      <c r="B743" s="34">
        <v>835</v>
      </c>
      <c r="C743" s="34">
        <v>15</v>
      </c>
      <c r="D743" s="34">
        <v>2327</v>
      </c>
      <c r="E743" s="34">
        <v>25</v>
      </c>
      <c r="F743" s="34" t="s">
        <v>57</v>
      </c>
      <c r="G743" s="34">
        <v>0.73594774216428793</v>
      </c>
    </row>
    <row r="744" spans="1:7" x14ac:dyDescent="0.3">
      <c r="A744" s="34">
        <v>743</v>
      </c>
      <c r="B744" s="34">
        <v>473</v>
      </c>
      <c r="C744" s="34">
        <v>9</v>
      </c>
      <c r="D744" s="34">
        <v>654</v>
      </c>
      <c r="E744" s="34">
        <v>28</v>
      </c>
      <c r="F744" s="34" t="s">
        <v>55</v>
      </c>
      <c r="G744" s="34">
        <v>0.73598978831795059</v>
      </c>
    </row>
    <row r="745" spans="1:7" x14ac:dyDescent="0.3">
      <c r="A745" s="34">
        <v>744</v>
      </c>
      <c r="B745" s="34">
        <v>591</v>
      </c>
      <c r="C745" s="34">
        <v>12</v>
      </c>
      <c r="D745" s="34">
        <v>385</v>
      </c>
      <c r="E745" s="34">
        <v>58</v>
      </c>
      <c r="F745" s="34" t="s">
        <v>56</v>
      </c>
      <c r="G745" s="34">
        <v>0.7373171267241575</v>
      </c>
    </row>
    <row r="746" spans="1:7" x14ac:dyDescent="0.3">
      <c r="A746" s="34">
        <v>745</v>
      </c>
      <c r="B746" s="34">
        <v>225</v>
      </c>
      <c r="C746" s="34">
        <v>15</v>
      </c>
      <c r="D746" s="34">
        <v>4657</v>
      </c>
      <c r="E746" s="34">
        <v>30</v>
      </c>
      <c r="F746" s="34" t="s">
        <v>54</v>
      </c>
      <c r="G746" s="34">
        <v>0.73747232416555075</v>
      </c>
    </row>
    <row r="747" spans="1:7" x14ac:dyDescent="0.3">
      <c r="A747" s="34">
        <v>746</v>
      </c>
      <c r="B747" s="34">
        <v>353</v>
      </c>
      <c r="C747" s="34">
        <v>18</v>
      </c>
      <c r="D747" s="34">
        <v>3229</v>
      </c>
      <c r="E747" s="34">
        <v>38</v>
      </c>
      <c r="F747" s="34" t="s">
        <v>54</v>
      </c>
      <c r="G747" s="34">
        <v>0.73921775365595688</v>
      </c>
    </row>
    <row r="748" spans="1:7" x14ac:dyDescent="0.3">
      <c r="A748" s="34">
        <v>747</v>
      </c>
      <c r="B748" s="34">
        <v>574</v>
      </c>
      <c r="C748" s="34">
        <v>15</v>
      </c>
      <c r="D748" s="34">
        <v>806</v>
      </c>
      <c r="E748" s="34">
        <v>22</v>
      </c>
      <c r="F748" s="34" t="s">
        <v>56</v>
      </c>
      <c r="G748" s="34">
        <v>0.74063857486162188</v>
      </c>
    </row>
    <row r="749" spans="1:7" x14ac:dyDescent="0.3">
      <c r="A749" s="34">
        <v>748</v>
      </c>
      <c r="B749" s="34">
        <v>697</v>
      </c>
      <c r="C749" s="34">
        <v>12</v>
      </c>
      <c r="D749" s="34">
        <v>1103</v>
      </c>
      <c r="E749" s="34">
        <v>29</v>
      </c>
      <c r="F749" s="34" t="s">
        <v>54</v>
      </c>
      <c r="G749" s="34">
        <v>0.74139078649993617</v>
      </c>
    </row>
    <row r="750" spans="1:7" x14ac:dyDescent="0.3">
      <c r="A750" s="34">
        <v>749</v>
      </c>
      <c r="B750" s="34">
        <v>959</v>
      </c>
      <c r="C750" s="34">
        <v>28</v>
      </c>
      <c r="D750" s="34">
        <v>4006</v>
      </c>
      <c r="E750" s="34">
        <v>45</v>
      </c>
      <c r="F750" s="34" t="s">
        <v>55</v>
      </c>
      <c r="G750" s="34">
        <v>0.74167452254942268</v>
      </c>
    </row>
    <row r="751" spans="1:7" x14ac:dyDescent="0.3">
      <c r="A751" s="34">
        <v>750</v>
      </c>
      <c r="B751" s="34">
        <v>828</v>
      </c>
      <c r="C751" s="34">
        <v>18</v>
      </c>
      <c r="D751" s="34">
        <v>4165</v>
      </c>
      <c r="E751" s="34">
        <v>36</v>
      </c>
      <c r="F751" s="34" t="s">
        <v>55</v>
      </c>
      <c r="G751" s="34">
        <v>0.74396284831470272</v>
      </c>
    </row>
    <row r="752" spans="1:7" x14ac:dyDescent="0.3">
      <c r="A752" s="34">
        <v>751</v>
      </c>
      <c r="B752" s="34">
        <v>540</v>
      </c>
      <c r="C752" s="34">
        <v>18</v>
      </c>
      <c r="D752" s="34">
        <v>3049</v>
      </c>
      <c r="E752" s="34">
        <v>45</v>
      </c>
      <c r="F752" s="34" t="s">
        <v>56</v>
      </c>
      <c r="G752" s="34">
        <v>0.74514709637081955</v>
      </c>
    </row>
    <row r="753" spans="1:7" x14ac:dyDescent="0.3">
      <c r="A753" s="34">
        <v>752</v>
      </c>
      <c r="B753" s="34">
        <v>38</v>
      </c>
      <c r="C753" s="34">
        <v>18</v>
      </c>
      <c r="D753" s="34">
        <v>2100</v>
      </c>
      <c r="E753" s="34">
        <v>37</v>
      </c>
      <c r="F753" s="34" t="s">
        <v>55</v>
      </c>
      <c r="G753" s="34">
        <v>0.74521729815464011</v>
      </c>
    </row>
    <row r="754" spans="1:7" x14ac:dyDescent="0.3">
      <c r="A754" s="34">
        <v>753</v>
      </c>
      <c r="B754" s="34">
        <v>995</v>
      </c>
      <c r="C754" s="34">
        <v>12</v>
      </c>
      <c r="D754" s="34">
        <v>2390</v>
      </c>
      <c r="E754" s="34">
        <v>50</v>
      </c>
      <c r="F754" s="34" t="s">
        <v>54</v>
      </c>
      <c r="G754" s="34">
        <v>0.74863548243127798</v>
      </c>
    </row>
    <row r="755" spans="1:7" x14ac:dyDescent="0.3">
      <c r="A755" s="34">
        <v>754</v>
      </c>
      <c r="B755" s="34">
        <v>737</v>
      </c>
      <c r="C755" s="34">
        <v>24</v>
      </c>
      <c r="D755" s="34">
        <v>11560</v>
      </c>
      <c r="E755" s="34">
        <v>23</v>
      </c>
      <c r="F755" s="34" t="s">
        <v>57</v>
      </c>
      <c r="G755" s="34">
        <v>0.74938126422746687</v>
      </c>
    </row>
    <row r="756" spans="1:7" x14ac:dyDescent="0.3">
      <c r="A756" s="34">
        <v>755</v>
      </c>
      <c r="B756" s="34">
        <v>45</v>
      </c>
      <c r="C756" s="34">
        <v>48</v>
      </c>
      <c r="D756" s="34">
        <v>6143</v>
      </c>
      <c r="E756" s="34">
        <v>58</v>
      </c>
      <c r="F756" s="34" t="s">
        <v>57</v>
      </c>
      <c r="G756" s="34">
        <v>0.75000744800870722</v>
      </c>
    </row>
    <row r="757" spans="1:7" x14ac:dyDescent="0.3">
      <c r="A757" s="34">
        <v>756</v>
      </c>
      <c r="B757" s="34">
        <v>699</v>
      </c>
      <c r="C757" s="34">
        <v>18</v>
      </c>
      <c r="D757" s="34">
        <v>1800</v>
      </c>
      <c r="E757" s="34">
        <v>24</v>
      </c>
      <c r="F757" s="34" t="s">
        <v>54</v>
      </c>
      <c r="G757" s="34">
        <v>0.75161531625169531</v>
      </c>
    </row>
    <row r="758" spans="1:7" x14ac:dyDescent="0.3">
      <c r="A758" s="34">
        <v>757</v>
      </c>
      <c r="B758" s="34">
        <v>544</v>
      </c>
      <c r="C758" s="34">
        <v>18</v>
      </c>
      <c r="D758" s="34">
        <v>2864</v>
      </c>
      <c r="E758" s="34">
        <v>34</v>
      </c>
      <c r="F758" s="34" t="s">
        <v>55</v>
      </c>
      <c r="G758" s="34">
        <v>0.75177722822197424</v>
      </c>
    </row>
    <row r="759" spans="1:7" x14ac:dyDescent="0.3">
      <c r="A759" s="34">
        <v>758</v>
      </c>
      <c r="B759" s="34">
        <v>244</v>
      </c>
      <c r="C759" s="34">
        <v>12</v>
      </c>
      <c r="D759" s="34">
        <v>1185</v>
      </c>
      <c r="E759" s="34">
        <v>27</v>
      </c>
      <c r="F759" s="34" t="s">
        <v>56</v>
      </c>
      <c r="G759" s="34">
        <v>0.75256870709519519</v>
      </c>
    </row>
    <row r="760" spans="1:7" x14ac:dyDescent="0.3">
      <c r="A760" s="34">
        <v>759</v>
      </c>
      <c r="B760" s="34">
        <v>287</v>
      </c>
      <c r="C760" s="34">
        <v>48</v>
      </c>
      <c r="D760" s="34">
        <v>4788</v>
      </c>
      <c r="E760" s="34">
        <v>26</v>
      </c>
      <c r="F760" s="34" t="s">
        <v>54</v>
      </c>
      <c r="G760" s="34">
        <v>0.75327156422714003</v>
      </c>
    </row>
    <row r="761" spans="1:7" x14ac:dyDescent="0.3">
      <c r="A761" s="34">
        <v>760</v>
      </c>
      <c r="B761" s="34">
        <v>674</v>
      </c>
      <c r="C761" s="34">
        <v>6</v>
      </c>
      <c r="D761" s="34">
        <v>2080</v>
      </c>
      <c r="E761" s="34">
        <v>24</v>
      </c>
      <c r="F761" s="34" t="s">
        <v>54</v>
      </c>
      <c r="G761" s="34">
        <v>0.75423518702177594</v>
      </c>
    </row>
    <row r="762" spans="1:7" x14ac:dyDescent="0.3">
      <c r="A762" s="34">
        <v>761</v>
      </c>
      <c r="B762" s="34">
        <v>917</v>
      </c>
      <c r="C762" s="34">
        <v>10</v>
      </c>
      <c r="D762" s="34">
        <v>2848</v>
      </c>
      <c r="E762" s="34">
        <v>32</v>
      </c>
      <c r="F762" s="34" t="s">
        <v>54</v>
      </c>
      <c r="G762" s="34">
        <v>0.7551603862605144</v>
      </c>
    </row>
    <row r="763" spans="1:7" x14ac:dyDescent="0.3">
      <c r="A763" s="34">
        <v>762</v>
      </c>
      <c r="B763" s="34">
        <v>620</v>
      </c>
      <c r="C763" s="34">
        <v>12</v>
      </c>
      <c r="D763" s="34">
        <v>640</v>
      </c>
      <c r="E763" s="34">
        <v>49</v>
      </c>
      <c r="F763" s="34" t="s">
        <v>54</v>
      </c>
      <c r="G763" s="34">
        <v>0.75564551659071055</v>
      </c>
    </row>
    <row r="764" spans="1:7" x14ac:dyDescent="0.3">
      <c r="A764" s="34">
        <v>763</v>
      </c>
      <c r="B764" s="34">
        <v>220</v>
      </c>
      <c r="C764" s="34">
        <v>10</v>
      </c>
      <c r="D764" s="34">
        <v>1364</v>
      </c>
      <c r="E764" s="34">
        <v>64</v>
      </c>
      <c r="F764" s="34" t="s">
        <v>56</v>
      </c>
      <c r="G764" s="34">
        <v>0.75668852991596036</v>
      </c>
    </row>
    <row r="765" spans="1:7" x14ac:dyDescent="0.3">
      <c r="A765" s="34">
        <v>764</v>
      </c>
      <c r="B765" s="34">
        <v>481</v>
      </c>
      <c r="C765" s="34">
        <v>12</v>
      </c>
      <c r="D765" s="34">
        <v>3573</v>
      </c>
      <c r="E765" s="34">
        <v>23</v>
      </c>
      <c r="F765" s="34" t="s">
        <v>56</v>
      </c>
      <c r="G765" s="34">
        <v>0.75733751039819486</v>
      </c>
    </row>
    <row r="766" spans="1:7" x14ac:dyDescent="0.3">
      <c r="A766" s="34">
        <v>765</v>
      </c>
      <c r="B766" s="34">
        <v>780</v>
      </c>
      <c r="C766" s="34">
        <v>18</v>
      </c>
      <c r="D766" s="34">
        <v>3872</v>
      </c>
      <c r="E766" s="34">
        <v>67</v>
      </c>
      <c r="F766" s="34" t="s">
        <v>56</v>
      </c>
      <c r="G766" s="34">
        <v>0.75812398297640293</v>
      </c>
    </row>
    <row r="767" spans="1:7" x14ac:dyDescent="0.3">
      <c r="A767" s="34">
        <v>766</v>
      </c>
      <c r="B767" s="34">
        <v>516</v>
      </c>
      <c r="C767" s="34">
        <v>6</v>
      </c>
      <c r="D767" s="34">
        <v>609</v>
      </c>
      <c r="E767" s="34">
        <v>37</v>
      </c>
      <c r="F767" s="34" t="s">
        <v>56</v>
      </c>
      <c r="G767" s="34">
        <v>0.76002345028258378</v>
      </c>
    </row>
    <row r="768" spans="1:7" x14ac:dyDescent="0.3">
      <c r="A768" s="34">
        <v>767</v>
      </c>
      <c r="B768" s="34">
        <v>114</v>
      </c>
      <c r="C768" s="34">
        <v>36</v>
      </c>
      <c r="D768" s="34">
        <v>7855</v>
      </c>
      <c r="E768" s="34">
        <v>25</v>
      </c>
      <c r="F768" s="34" t="s">
        <v>57</v>
      </c>
      <c r="G768" s="34">
        <v>0.76005535549750169</v>
      </c>
    </row>
    <row r="769" spans="1:7" x14ac:dyDescent="0.3">
      <c r="A769" s="34">
        <v>768</v>
      </c>
      <c r="B769" s="34">
        <v>48</v>
      </c>
      <c r="C769" s="34">
        <v>6</v>
      </c>
      <c r="D769" s="34">
        <v>1352</v>
      </c>
      <c r="E769" s="34">
        <v>23</v>
      </c>
      <c r="F769" s="34" t="s">
        <v>56</v>
      </c>
      <c r="G769" s="34">
        <v>0.7612113521612407</v>
      </c>
    </row>
    <row r="770" spans="1:7" x14ac:dyDescent="0.3">
      <c r="A770" s="34">
        <v>769</v>
      </c>
      <c r="B770" s="34">
        <v>67</v>
      </c>
      <c r="C770" s="34">
        <v>12</v>
      </c>
      <c r="D770" s="34">
        <v>2171</v>
      </c>
      <c r="E770" s="34">
        <v>29</v>
      </c>
      <c r="F770" s="34" t="s">
        <v>56</v>
      </c>
      <c r="G770" s="34">
        <v>0.76283969388663364</v>
      </c>
    </row>
    <row r="771" spans="1:7" x14ac:dyDescent="0.3">
      <c r="A771" s="34">
        <v>770</v>
      </c>
      <c r="B771" s="34">
        <v>36</v>
      </c>
      <c r="C771" s="34">
        <v>45</v>
      </c>
      <c r="D771" s="34">
        <v>4746</v>
      </c>
      <c r="E771" s="34">
        <v>25</v>
      </c>
      <c r="F771" s="34" t="s">
        <v>55</v>
      </c>
      <c r="G771" s="34">
        <v>0.76351419911911755</v>
      </c>
    </row>
    <row r="772" spans="1:7" x14ac:dyDescent="0.3">
      <c r="A772" s="34">
        <v>771</v>
      </c>
      <c r="B772" s="34">
        <v>777</v>
      </c>
      <c r="C772" s="34">
        <v>36</v>
      </c>
      <c r="D772" s="34">
        <v>3535</v>
      </c>
      <c r="E772" s="34">
        <v>37</v>
      </c>
      <c r="F772" s="34" t="s">
        <v>54</v>
      </c>
      <c r="G772" s="34">
        <v>0.76536070349880014</v>
      </c>
    </row>
    <row r="773" spans="1:7" x14ac:dyDescent="0.3">
      <c r="A773" s="34">
        <v>772</v>
      </c>
      <c r="B773" s="34">
        <v>691</v>
      </c>
      <c r="C773" s="34">
        <v>15</v>
      </c>
      <c r="D773" s="34">
        <v>975</v>
      </c>
      <c r="E773" s="34">
        <v>25</v>
      </c>
      <c r="F773" s="34" t="s">
        <v>54</v>
      </c>
      <c r="G773" s="34">
        <v>0.76563155827255414</v>
      </c>
    </row>
    <row r="774" spans="1:7" x14ac:dyDescent="0.3">
      <c r="A774" s="34">
        <v>773</v>
      </c>
      <c r="B774" s="34">
        <v>715</v>
      </c>
      <c r="C774" s="34">
        <v>60</v>
      </c>
      <c r="D774" s="34">
        <v>14027</v>
      </c>
      <c r="E774" s="34">
        <v>27</v>
      </c>
      <c r="F774" s="34" t="s">
        <v>55</v>
      </c>
      <c r="G774" s="34">
        <v>0.76614663997309318</v>
      </c>
    </row>
    <row r="775" spans="1:7" x14ac:dyDescent="0.3">
      <c r="A775" s="34">
        <v>774</v>
      </c>
      <c r="B775" s="34">
        <v>942</v>
      </c>
      <c r="C775" s="34">
        <v>10</v>
      </c>
      <c r="D775" s="34">
        <v>1546</v>
      </c>
      <c r="E775" s="34">
        <v>31</v>
      </c>
      <c r="F775" s="34" t="s">
        <v>54</v>
      </c>
      <c r="G775" s="34">
        <v>0.76984452006470738</v>
      </c>
    </row>
    <row r="776" spans="1:7" x14ac:dyDescent="0.3">
      <c r="A776" s="34">
        <v>775</v>
      </c>
      <c r="B776" s="34">
        <v>173</v>
      </c>
      <c r="C776" s="34">
        <v>24</v>
      </c>
      <c r="D776" s="34">
        <v>2064</v>
      </c>
      <c r="E776" s="34">
        <v>34</v>
      </c>
      <c r="F776" s="34" t="s">
        <v>57</v>
      </c>
      <c r="G776" s="34">
        <v>0.77513629708357989</v>
      </c>
    </row>
    <row r="777" spans="1:7" x14ac:dyDescent="0.3">
      <c r="A777" s="34">
        <v>776</v>
      </c>
      <c r="B777" s="34">
        <v>351</v>
      </c>
      <c r="C777" s="34">
        <v>9</v>
      </c>
      <c r="D777" s="34">
        <v>1236</v>
      </c>
      <c r="E777" s="34">
        <v>23</v>
      </c>
      <c r="F777" s="34" t="s">
        <v>56</v>
      </c>
      <c r="G777" s="34">
        <v>0.77535720578447576</v>
      </c>
    </row>
    <row r="778" spans="1:7" x14ac:dyDescent="0.3">
      <c r="A778" s="34">
        <v>777</v>
      </c>
      <c r="B778" s="34">
        <v>726</v>
      </c>
      <c r="C778" s="34">
        <v>6</v>
      </c>
      <c r="D778" s="34">
        <v>250</v>
      </c>
      <c r="E778" s="34">
        <v>41</v>
      </c>
      <c r="F778" s="34" t="s">
        <v>56</v>
      </c>
      <c r="G778" s="34">
        <v>0.776878136601449</v>
      </c>
    </row>
    <row r="779" spans="1:7" x14ac:dyDescent="0.3">
      <c r="A779" s="34">
        <v>778</v>
      </c>
      <c r="B779" s="34">
        <v>518</v>
      </c>
      <c r="C779" s="34">
        <v>36</v>
      </c>
      <c r="D779" s="34">
        <v>7127</v>
      </c>
      <c r="E779" s="34">
        <v>23</v>
      </c>
      <c r="F779" s="34" t="s">
        <v>57</v>
      </c>
      <c r="G779" s="34">
        <v>0.77801305496095086</v>
      </c>
    </row>
    <row r="780" spans="1:7" x14ac:dyDescent="0.3">
      <c r="A780" s="34">
        <v>779</v>
      </c>
      <c r="B780" s="34">
        <v>51</v>
      </c>
      <c r="C780" s="34">
        <v>24</v>
      </c>
      <c r="D780" s="34">
        <v>2333</v>
      </c>
      <c r="E780" s="34">
        <v>29</v>
      </c>
      <c r="F780" s="34" t="s">
        <v>54</v>
      </c>
      <c r="G780" s="34">
        <v>0.77828061504781643</v>
      </c>
    </row>
    <row r="781" spans="1:7" x14ac:dyDescent="0.3">
      <c r="A781" s="34">
        <v>780</v>
      </c>
      <c r="B781" s="34">
        <v>312</v>
      </c>
      <c r="C781" s="34">
        <v>24</v>
      </c>
      <c r="D781" s="34">
        <v>5511</v>
      </c>
      <c r="E781" s="34">
        <v>25</v>
      </c>
      <c r="F781" s="34" t="s">
        <v>54</v>
      </c>
      <c r="G781" s="34">
        <v>0.77943778310418954</v>
      </c>
    </row>
    <row r="782" spans="1:7" x14ac:dyDescent="0.3">
      <c r="A782" s="34">
        <v>781</v>
      </c>
      <c r="B782" s="34">
        <v>75</v>
      </c>
      <c r="C782" s="34">
        <v>36</v>
      </c>
      <c r="D782" s="34">
        <v>1977</v>
      </c>
      <c r="E782" s="34">
        <v>40</v>
      </c>
      <c r="F782" s="34" t="s">
        <v>55</v>
      </c>
      <c r="G782" s="34">
        <v>0.7798013084486296</v>
      </c>
    </row>
    <row r="783" spans="1:7" x14ac:dyDescent="0.3">
      <c r="A783" s="34">
        <v>782</v>
      </c>
      <c r="B783" s="34">
        <v>698</v>
      </c>
      <c r="C783" s="34">
        <v>12</v>
      </c>
      <c r="D783" s="34">
        <v>926</v>
      </c>
      <c r="E783" s="34">
        <v>38</v>
      </c>
      <c r="F783" s="34" t="s">
        <v>56</v>
      </c>
      <c r="G783" s="34">
        <v>0.78045300824147057</v>
      </c>
    </row>
    <row r="784" spans="1:7" x14ac:dyDescent="0.3">
      <c r="A784" s="34">
        <v>783</v>
      </c>
      <c r="B784" s="34">
        <v>571</v>
      </c>
      <c r="C784" s="34">
        <v>24</v>
      </c>
      <c r="D784" s="34">
        <v>3234</v>
      </c>
      <c r="E784" s="34">
        <v>23</v>
      </c>
      <c r="F784" s="34" t="s">
        <v>57</v>
      </c>
      <c r="G784" s="34">
        <v>0.78063095469298804</v>
      </c>
    </row>
    <row r="785" spans="1:7" x14ac:dyDescent="0.3">
      <c r="A785" s="34">
        <v>784</v>
      </c>
      <c r="B785" s="34">
        <v>764</v>
      </c>
      <c r="C785" s="34">
        <v>21</v>
      </c>
      <c r="D785" s="34">
        <v>12680</v>
      </c>
      <c r="E785" s="34">
        <v>30</v>
      </c>
      <c r="F785" s="34" t="s">
        <v>55</v>
      </c>
      <c r="G785" s="34">
        <v>0.78301385155738867</v>
      </c>
    </row>
    <row r="786" spans="1:7" x14ac:dyDescent="0.3">
      <c r="A786" s="34">
        <v>785</v>
      </c>
      <c r="B786" s="34">
        <v>690</v>
      </c>
      <c r="C786" s="34">
        <v>12</v>
      </c>
      <c r="D786" s="34">
        <v>3651</v>
      </c>
      <c r="E786" s="34">
        <v>31</v>
      </c>
      <c r="F786" s="34" t="s">
        <v>54</v>
      </c>
      <c r="G786" s="34">
        <v>0.78356339654131157</v>
      </c>
    </row>
    <row r="787" spans="1:7" x14ac:dyDescent="0.3">
      <c r="A787" s="34">
        <v>786</v>
      </c>
      <c r="B787" s="34">
        <v>407</v>
      </c>
      <c r="C787" s="34">
        <v>24</v>
      </c>
      <c r="D787" s="34">
        <v>2197</v>
      </c>
      <c r="E787" s="34">
        <v>43</v>
      </c>
      <c r="F787" s="34" t="s">
        <v>54</v>
      </c>
      <c r="G787" s="34">
        <v>0.78396549171949226</v>
      </c>
    </row>
    <row r="788" spans="1:7" x14ac:dyDescent="0.3">
      <c r="A788" s="34">
        <v>787</v>
      </c>
      <c r="B788" s="34">
        <v>59</v>
      </c>
      <c r="C788" s="34">
        <v>18</v>
      </c>
      <c r="D788" s="34">
        <v>1961</v>
      </c>
      <c r="E788" s="34">
        <v>23</v>
      </c>
      <c r="F788" s="34" t="s">
        <v>56</v>
      </c>
      <c r="G788" s="34">
        <v>0.78567046220100623</v>
      </c>
    </row>
    <row r="789" spans="1:7" x14ac:dyDescent="0.3">
      <c r="A789" s="34">
        <v>788</v>
      </c>
      <c r="B789" s="34">
        <v>293</v>
      </c>
      <c r="C789" s="34">
        <v>24</v>
      </c>
      <c r="D789" s="34">
        <v>6419</v>
      </c>
      <c r="E789" s="34">
        <v>44</v>
      </c>
      <c r="F789" s="34" t="s">
        <v>56</v>
      </c>
      <c r="G789" s="34">
        <v>0.78644436995464406</v>
      </c>
    </row>
    <row r="790" spans="1:7" x14ac:dyDescent="0.3">
      <c r="A790" s="34">
        <v>789</v>
      </c>
      <c r="B790" s="34">
        <v>442</v>
      </c>
      <c r="C790" s="34">
        <v>12</v>
      </c>
      <c r="D790" s="34">
        <v>1620</v>
      </c>
      <c r="E790" s="34">
        <v>30</v>
      </c>
      <c r="F790" s="34" t="s">
        <v>56</v>
      </c>
      <c r="G790" s="34">
        <v>0.78709147416920211</v>
      </c>
    </row>
    <row r="791" spans="1:7" x14ac:dyDescent="0.3">
      <c r="A791" s="34">
        <v>790</v>
      </c>
      <c r="B791" s="34">
        <v>829</v>
      </c>
      <c r="C791" s="34">
        <v>36</v>
      </c>
      <c r="D791" s="34">
        <v>8335</v>
      </c>
      <c r="E791" s="34">
        <v>47</v>
      </c>
      <c r="F791" s="34" t="s">
        <v>55</v>
      </c>
      <c r="G791" s="34">
        <v>0.78772664639591383</v>
      </c>
    </row>
    <row r="792" spans="1:7" x14ac:dyDescent="0.3">
      <c r="A792" s="34">
        <v>791</v>
      </c>
      <c r="B792" s="34">
        <v>157</v>
      </c>
      <c r="C792" s="34">
        <v>9</v>
      </c>
      <c r="D792" s="34">
        <v>1288</v>
      </c>
      <c r="E792" s="34">
        <v>48</v>
      </c>
      <c r="F792" s="34" t="s">
        <v>54</v>
      </c>
      <c r="G792" s="34">
        <v>0.78808752419290518</v>
      </c>
    </row>
    <row r="793" spans="1:7" x14ac:dyDescent="0.3">
      <c r="A793" s="34">
        <v>792</v>
      </c>
      <c r="B793" s="34">
        <v>503</v>
      </c>
      <c r="C793" s="34">
        <v>9</v>
      </c>
      <c r="D793" s="34">
        <v>1126</v>
      </c>
      <c r="E793" s="34">
        <v>49</v>
      </c>
      <c r="F793" s="34" t="s">
        <v>54</v>
      </c>
      <c r="G793" s="34">
        <v>0.78855470650328086</v>
      </c>
    </row>
    <row r="794" spans="1:7" x14ac:dyDescent="0.3">
      <c r="A794" s="34">
        <v>793</v>
      </c>
      <c r="B794" s="34">
        <v>939</v>
      </c>
      <c r="C794" s="34">
        <v>60</v>
      </c>
      <c r="D794" s="34">
        <v>6288</v>
      </c>
      <c r="E794" s="34">
        <v>42</v>
      </c>
      <c r="F794" s="34" t="s">
        <v>55</v>
      </c>
      <c r="G794" s="34">
        <v>0.78878792881415349</v>
      </c>
    </row>
    <row r="795" spans="1:7" x14ac:dyDescent="0.3">
      <c r="A795" s="34">
        <v>794</v>
      </c>
      <c r="B795" s="34">
        <v>273</v>
      </c>
      <c r="C795" s="34">
        <v>48</v>
      </c>
      <c r="D795" s="34">
        <v>12169</v>
      </c>
      <c r="E795" s="34">
        <v>36</v>
      </c>
      <c r="F795" s="34" t="s">
        <v>54</v>
      </c>
      <c r="G795" s="34">
        <v>0.7914716185823768</v>
      </c>
    </row>
    <row r="796" spans="1:7" x14ac:dyDescent="0.3">
      <c r="A796" s="34">
        <v>795</v>
      </c>
      <c r="B796" s="34">
        <v>755</v>
      </c>
      <c r="C796" s="34">
        <v>12</v>
      </c>
      <c r="D796" s="34">
        <v>1555</v>
      </c>
      <c r="E796" s="34">
        <v>55</v>
      </c>
      <c r="F796" s="34" t="s">
        <v>55</v>
      </c>
      <c r="G796" s="34">
        <v>0.79452284202408352</v>
      </c>
    </row>
    <row r="797" spans="1:7" x14ac:dyDescent="0.3">
      <c r="A797" s="34">
        <v>796</v>
      </c>
      <c r="B797" s="34">
        <v>719</v>
      </c>
      <c r="C797" s="34">
        <v>24</v>
      </c>
      <c r="D797" s="34">
        <v>3148</v>
      </c>
      <c r="E797" s="34">
        <v>31</v>
      </c>
      <c r="F797" s="34" t="s">
        <v>54</v>
      </c>
      <c r="G797" s="34">
        <v>0.79510585141706169</v>
      </c>
    </row>
    <row r="798" spans="1:7" x14ac:dyDescent="0.3">
      <c r="A798" s="34">
        <v>797</v>
      </c>
      <c r="B798" s="34">
        <v>596</v>
      </c>
      <c r="C798" s="34">
        <v>6</v>
      </c>
      <c r="D798" s="34">
        <v>931</v>
      </c>
      <c r="E798" s="34">
        <v>32</v>
      </c>
      <c r="F798" s="34" t="s">
        <v>57</v>
      </c>
      <c r="G798" s="34">
        <v>0.80023654618879503</v>
      </c>
    </row>
    <row r="799" spans="1:7" x14ac:dyDescent="0.3">
      <c r="A799" s="34">
        <v>798</v>
      </c>
      <c r="B799" s="34">
        <v>988</v>
      </c>
      <c r="C799" s="34">
        <v>13</v>
      </c>
      <c r="D799" s="34">
        <v>1409</v>
      </c>
      <c r="E799" s="34">
        <v>64</v>
      </c>
      <c r="F799" s="34" t="s">
        <v>56</v>
      </c>
      <c r="G799" s="34">
        <v>0.80081754075762213</v>
      </c>
    </row>
    <row r="800" spans="1:7" x14ac:dyDescent="0.3">
      <c r="A800" s="34">
        <v>799</v>
      </c>
      <c r="B800" s="34">
        <v>383</v>
      </c>
      <c r="C800" s="34">
        <v>22</v>
      </c>
      <c r="D800" s="34">
        <v>1283</v>
      </c>
      <c r="E800" s="34">
        <v>25</v>
      </c>
      <c r="F800" s="34" t="s">
        <v>56</v>
      </c>
      <c r="G800" s="34">
        <v>0.80344619329842459</v>
      </c>
    </row>
    <row r="801" spans="1:7" x14ac:dyDescent="0.3">
      <c r="A801" s="34">
        <v>800</v>
      </c>
      <c r="B801" s="34">
        <v>606</v>
      </c>
      <c r="C801" s="34">
        <v>24</v>
      </c>
      <c r="D801" s="34">
        <v>2828</v>
      </c>
      <c r="E801" s="34">
        <v>22</v>
      </c>
      <c r="F801" s="34" t="s">
        <v>54</v>
      </c>
      <c r="G801" s="34">
        <v>0.80415937118647429</v>
      </c>
    </row>
    <row r="802" spans="1:7" x14ac:dyDescent="0.3">
      <c r="A802" s="34">
        <v>801</v>
      </c>
      <c r="B802" s="34">
        <v>56</v>
      </c>
      <c r="C802" s="34">
        <v>6</v>
      </c>
      <c r="D802" s="34">
        <v>783</v>
      </c>
      <c r="E802" s="34">
        <v>26</v>
      </c>
      <c r="F802" s="34" t="s">
        <v>54</v>
      </c>
      <c r="G802" s="34">
        <v>0.80418322906251216</v>
      </c>
    </row>
    <row r="803" spans="1:7" x14ac:dyDescent="0.3">
      <c r="A803" s="34">
        <v>802</v>
      </c>
      <c r="B803" s="34">
        <v>990</v>
      </c>
      <c r="C803" s="34">
        <v>24</v>
      </c>
      <c r="D803" s="34">
        <v>1743</v>
      </c>
      <c r="E803" s="34">
        <v>48</v>
      </c>
      <c r="F803" s="34" t="s">
        <v>54</v>
      </c>
      <c r="G803" s="34">
        <v>0.80441233470755535</v>
      </c>
    </row>
    <row r="804" spans="1:7" x14ac:dyDescent="0.3">
      <c r="A804" s="34">
        <v>803</v>
      </c>
      <c r="B804" s="34">
        <v>626</v>
      </c>
      <c r="C804" s="34">
        <v>15</v>
      </c>
      <c r="D804" s="34">
        <v>1979</v>
      </c>
      <c r="E804" s="34">
        <v>35</v>
      </c>
      <c r="F804" s="34" t="s">
        <v>54</v>
      </c>
      <c r="G804" s="34">
        <v>0.80451051860459433</v>
      </c>
    </row>
    <row r="805" spans="1:7" x14ac:dyDescent="0.3">
      <c r="A805" s="34">
        <v>804</v>
      </c>
      <c r="B805" s="34">
        <v>641</v>
      </c>
      <c r="C805" s="34">
        <v>18</v>
      </c>
      <c r="D805" s="34">
        <v>750</v>
      </c>
      <c r="E805" s="34">
        <v>27</v>
      </c>
      <c r="F805" s="34" t="s">
        <v>57</v>
      </c>
      <c r="G805" s="34">
        <v>0.80585411430407472</v>
      </c>
    </row>
    <row r="806" spans="1:7" x14ac:dyDescent="0.3">
      <c r="A806" s="34">
        <v>805</v>
      </c>
      <c r="B806" s="34">
        <v>916</v>
      </c>
      <c r="C806" s="34">
        <v>48</v>
      </c>
      <c r="D806" s="34">
        <v>18424</v>
      </c>
      <c r="E806" s="34">
        <v>32</v>
      </c>
      <c r="F806" s="34" t="s">
        <v>57</v>
      </c>
      <c r="G806" s="34">
        <v>0.80642436922445182</v>
      </c>
    </row>
    <row r="807" spans="1:7" x14ac:dyDescent="0.3">
      <c r="A807" s="34">
        <v>806</v>
      </c>
      <c r="B807" s="34">
        <v>484</v>
      </c>
      <c r="C807" s="34">
        <v>15</v>
      </c>
      <c r="D807" s="34">
        <v>960</v>
      </c>
      <c r="E807" s="34">
        <v>30</v>
      </c>
      <c r="F807" s="34" t="s">
        <v>56</v>
      </c>
      <c r="G807" s="34">
        <v>0.80839250770713955</v>
      </c>
    </row>
    <row r="808" spans="1:7" x14ac:dyDescent="0.3">
      <c r="A808" s="34">
        <v>807</v>
      </c>
      <c r="B808" s="34">
        <v>820</v>
      </c>
      <c r="C808" s="34">
        <v>18</v>
      </c>
      <c r="D808" s="34">
        <v>1345</v>
      </c>
      <c r="E808" s="34">
        <v>26</v>
      </c>
      <c r="F808" s="34" t="s">
        <v>55</v>
      </c>
      <c r="G808" s="34">
        <v>0.80953230464516068</v>
      </c>
    </row>
    <row r="809" spans="1:7" x14ac:dyDescent="0.3">
      <c r="A809" s="34">
        <v>808</v>
      </c>
      <c r="B809" s="34">
        <v>3</v>
      </c>
      <c r="C809" s="34">
        <v>12</v>
      </c>
      <c r="D809" s="34">
        <v>2096</v>
      </c>
      <c r="E809" s="34">
        <v>49</v>
      </c>
      <c r="F809" s="34" t="s">
        <v>54</v>
      </c>
      <c r="G809" s="34">
        <v>0.8098227638627612</v>
      </c>
    </row>
    <row r="810" spans="1:7" x14ac:dyDescent="0.3">
      <c r="A810" s="34">
        <v>809</v>
      </c>
      <c r="B810" s="34">
        <v>271</v>
      </c>
      <c r="C810" s="34">
        <v>18</v>
      </c>
      <c r="D810" s="34">
        <v>2662</v>
      </c>
      <c r="E810" s="34">
        <v>32</v>
      </c>
      <c r="F810" s="34" t="s">
        <v>54</v>
      </c>
      <c r="G810" s="34">
        <v>0.80988490352452258</v>
      </c>
    </row>
    <row r="811" spans="1:7" x14ac:dyDescent="0.3">
      <c r="A811" s="34">
        <v>810</v>
      </c>
      <c r="B811" s="34">
        <v>530</v>
      </c>
      <c r="C811" s="34">
        <v>6</v>
      </c>
      <c r="D811" s="34">
        <v>662</v>
      </c>
      <c r="E811" s="34">
        <v>41</v>
      </c>
      <c r="F811" s="34" t="s">
        <v>54</v>
      </c>
      <c r="G811" s="34">
        <v>0.81048095920089469</v>
      </c>
    </row>
    <row r="812" spans="1:7" x14ac:dyDescent="0.3">
      <c r="A812" s="34">
        <v>811</v>
      </c>
      <c r="B812" s="34">
        <v>217</v>
      </c>
      <c r="C812" s="34">
        <v>18</v>
      </c>
      <c r="D812" s="34">
        <v>3104</v>
      </c>
      <c r="E812" s="34">
        <v>31</v>
      </c>
      <c r="F812" s="34" t="s">
        <v>54</v>
      </c>
      <c r="G812" s="34">
        <v>0.81127971236462082</v>
      </c>
    </row>
    <row r="813" spans="1:7" x14ac:dyDescent="0.3">
      <c r="A813" s="34">
        <v>812</v>
      </c>
      <c r="B813" s="34">
        <v>688</v>
      </c>
      <c r="C813" s="34">
        <v>36</v>
      </c>
      <c r="D813" s="34">
        <v>2862</v>
      </c>
      <c r="E813" s="34">
        <v>30</v>
      </c>
      <c r="F813" s="34" t="s">
        <v>54</v>
      </c>
      <c r="G813" s="34">
        <v>0.81217878229023943</v>
      </c>
    </row>
    <row r="814" spans="1:7" x14ac:dyDescent="0.3">
      <c r="A814" s="34">
        <v>813</v>
      </c>
      <c r="B814" s="34">
        <v>400</v>
      </c>
      <c r="C814" s="34">
        <v>24</v>
      </c>
      <c r="D814" s="34">
        <v>1516</v>
      </c>
      <c r="E814" s="34">
        <v>43</v>
      </c>
      <c r="F814" s="34" t="s">
        <v>56</v>
      </c>
      <c r="G814" s="34">
        <v>0.81539058258908259</v>
      </c>
    </row>
    <row r="815" spans="1:7" x14ac:dyDescent="0.3">
      <c r="A815" s="34">
        <v>814</v>
      </c>
      <c r="B815" s="34">
        <v>792</v>
      </c>
      <c r="C815" s="34">
        <v>24</v>
      </c>
      <c r="D815" s="34">
        <v>6313</v>
      </c>
      <c r="E815" s="34">
        <v>41</v>
      </c>
      <c r="F815" s="34" t="s">
        <v>54</v>
      </c>
      <c r="G815" s="34">
        <v>0.81540813262387624</v>
      </c>
    </row>
    <row r="816" spans="1:7" x14ac:dyDescent="0.3">
      <c r="A816" s="34">
        <v>815</v>
      </c>
      <c r="B816" s="34">
        <v>189</v>
      </c>
      <c r="C816" s="34">
        <v>12</v>
      </c>
      <c r="D816" s="34">
        <v>674</v>
      </c>
      <c r="E816" s="34">
        <v>20</v>
      </c>
      <c r="F816" s="34" t="s">
        <v>55</v>
      </c>
      <c r="G816" s="34">
        <v>0.81542595568949716</v>
      </c>
    </row>
    <row r="817" spans="1:7" x14ac:dyDescent="0.3">
      <c r="A817" s="34">
        <v>816</v>
      </c>
      <c r="B817" s="34">
        <v>467</v>
      </c>
      <c r="C817" s="34">
        <v>24</v>
      </c>
      <c r="D817" s="34">
        <v>1659</v>
      </c>
      <c r="E817" s="34">
        <v>29</v>
      </c>
      <c r="F817" s="34" t="s">
        <v>57</v>
      </c>
      <c r="G817" s="34">
        <v>0.81573172776103509</v>
      </c>
    </row>
    <row r="818" spans="1:7" x14ac:dyDescent="0.3">
      <c r="A818" s="34">
        <v>817</v>
      </c>
      <c r="B818" s="34">
        <v>734</v>
      </c>
      <c r="C818" s="34">
        <v>24</v>
      </c>
      <c r="D818" s="34">
        <v>2603</v>
      </c>
      <c r="E818" s="34">
        <v>28</v>
      </c>
      <c r="F818" s="34" t="s">
        <v>56</v>
      </c>
      <c r="G818" s="34">
        <v>0.81627269440824812</v>
      </c>
    </row>
    <row r="819" spans="1:7" x14ac:dyDescent="0.3">
      <c r="A819" s="34">
        <v>818</v>
      </c>
      <c r="B819" s="34">
        <v>61</v>
      </c>
      <c r="C819" s="34">
        <v>9</v>
      </c>
      <c r="D819" s="34">
        <v>1391</v>
      </c>
      <c r="E819" s="34">
        <v>27</v>
      </c>
      <c r="F819" s="34" t="s">
        <v>54</v>
      </c>
      <c r="G819" s="34">
        <v>0.81656093693629095</v>
      </c>
    </row>
    <row r="820" spans="1:7" x14ac:dyDescent="0.3">
      <c r="A820" s="34">
        <v>819</v>
      </c>
      <c r="B820" s="34">
        <v>561</v>
      </c>
      <c r="C820" s="34">
        <v>24</v>
      </c>
      <c r="D820" s="34">
        <v>2964</v>
      </c>
      <c r="E820" s="34">
        <v>49</v>
      </c>
      <c r="F820" s="34" t="s">
        <v>54</v>
      </c>
      <c r="G820" s="34">
        <v>0.81682521395096597</v>
      </c>
    </row>
    <row r="821" spans="1:7" x14ac:dyDescent="0.3">
      <c r="A821" s="34">
        <v>820</v>
      </c>
      <c r="B821" s="34">
        <v>611</v>
      </c>
      <c r="C821" s="34">
        <v>12</v>
      </c>
      <c r="D821" s="34">
        <v>741</v>
      </c>
      <c r="E821" s="34">
        <v>22</v>
      </c>
      <c r="F821" s="34" t="s">
        <v>57</v>
      </c>
      <c r="G821" s="34">
        <v>0.81808665061571939</v>
      </c>
    </row>
    <row r="822" spans="1:7" x14ac:dyDescent="0.3">
      <c r="A822" s="34">
        <v>821</v>
      </c>
      <c r="B822" s="34">
        <v>947</v>
      </c>
      <c r="C822" s="34">
        <v>24</v>
      </c>
      <c r="D822" s="34">
        <v>3349</v>
      </c>
      <c r="E822" s="34">
        <v>30</v>
      </c>
      <c r="F822" s="34" t="s">
        <v>55</v>
      </c>
      <c r="G822" s="34">
        <v>0.81905332547116638</v>
      </c>
    </row>
    <row r="823" spans="1:7" x14ac:dyDescent="0.3">
      <c r="A823" s="34">
        <v>822</v>
      </c>
      <c r="B823" s="34">
        <v>4</v>
      </c>
      <c r="C823" s="34">
        <v>42</v>
      </c>
      <c r="D823" s="34">
        <v>7882</v>
      </c>
      <c r="E823" s="34">
        <v>45</v>
      </c>
      <c r="F823" s="34" t="s">
        <v>54</v>
      </c>
      <c r="G823" s="34">
        <v>0.81917385008424792</v>
      </c>
    </row>
    <row r="824" spans="1:7" x14ac:dyDescent="0.3">
      <c r="A824" s="34">
        <v>823</v>
      </c>
      <c r="B824" s="34">
        <v>569</v>
      </c>
      <c r="C824" s="34">
        <v>48</v>
      </c>
      <c r="D824" s="34">
        <v>3979</v>
      </c>
      <c r="E824" s="34">
        <v>41</v>
      </c>
      <c r="F824" s="34" t="s">
        <v>54</v>
      </c>
      <c r="G824" s="34">
        <v>0.81966447574725021</v>
      </c>
    </row>
    <row r="825" spans="1:7" x14ac:dyDescent="0.3">
      <c r="A825" s="34">
        <v>824</v>
      </c>
      <c r="B825" s="34">
        <v>382</v>
      </c>
      <c r="C825" s="34">
        <v>18</v>
      </c>
      <c r="D825" s="34">
        <v>12976</v>
      </c>
      <c r="E825" s="34">
        <v>38</v>
      </c>
      <c r="F825" s="34" t="s">
        <v>57</v>
      </c>
      <c r="G825" s="34">
        <v>0.8203745254071908</v>
      </c>
    </row>
    <row r="826" spans="1:7" x14ac:dyDescent="0.3">
      <c r="A826" s="34">
        <v>825</v>
      </c>
      <c r="B826" s="34">
        <v>242</v>
      </c>
      <c r="C826" s="34">
        <v>6</v>
      </c>
      <c r="D826" s="34">
        <v>1595</v>
      </c>
      <c r="E826" s="34">
        <v>51</v>
      </c>
      <c r="F826" s="34" t="s">
        <v>54</v>
      </c>
      <c r="G826" s="34">
        <v>0.82072493975369309</v>
      </c>
    </row>
    <row r="827" spans="1:7" x14ac:dyDescent="0.3">
      <c r="A827" s="34">
        <v>826</v>
      </c>
      <c r="B827" s="34">
        <v>787</v>
      </c>
      <c r="C827" s="34">
        <v>22</v>
      </c>
      <c r="D827" s="34">
        <v>2675</v>
      </c>
      <c r="E827" s="34">
        <v>40</v>
      </c>
      <c r="F827" s="34" t="s">
        <v>54</v>
      </c>
      <c r="G827" s="34">
        <v>0.82073795313392883</v>
      </c>
    </row>
    <row r="828" spans="1:7" x14ac:dyDescent="0.3">
      <c r="A828" s="34">
        <v>827</v>
      </c>
      <c r="B828" s="34">
        <v>405</v>
      </c>
      <c r="C828" s="34">
        <v>18</v>
      </c>
      <c r="D828" s="34">
        <v>2899</v>
      </c>
      <c r="E828" s="34">
        <v>43</v>
      </c>
      <c r="F828" s="34" t="s">
        <v>54</v>
      </c>
      <c r="G828" s="34">
        <v>0.82157289756409713</v>
      </c>
    </row>
    <row r="829" spans="1:7" x14ac:dyDescent="0.3">
      <c r="A829" s="34">
        <v>828</v>
      </c>
      <c r="B829" s="34">
        <v>377</v>
      </c>
      <c r="C829" s="34">
        <v>18</v>
      </c>
      <c r="D829" s="34">
        <v>2320</v>
      </c>
      <c r="E829" s="34">
        <v>34</v>
      </c>
      <c r="F829" s="34" t="s">
        <v>54</v>
      </c>
      <c r="G829" s="34">
        <v>0.82210214230500023</v>
      </c>
    </row>
    <row r="830" spans="1:7" x14ac:dyDescent="0.3">
      <c r="A830" s="34">
        <v>829</v>
      </c>
      <c r="B830" s="34">
        <v>174</v>
      </c>
      <c r="C830" s="34">
        <v>8</v>
      </c>
      <c r="D830" s="34">
        <v>1414</v>
      </c>
      <c r="E830" s="34">
        <v>33</v>
      </c>
      <c r="F830" s="34" t="s">
        <v>54</v>
      </c>
      <c r="G830" s="34">
        <v>0.82237100923627582</v>
      </c>
    </row>
    <row r="831" spans="1:7" x14ac:dyDescent="0.3">
      <c r="A831" s="34">
        <v>830</v>
      </c>
      <c r="B831" s="34">
        <v>702</v>
      </c>
      <c r="C831" s="34">
        <v>48</v>
      </c>
      <c r="D831" s="34">
        <v>6331</v>
      </c>
      <c r="E831" s="34">
        <v>46</v>
      </c>
      <c r="F831" s="34" t="s">
        <v>55</v>
      </c>
      <c r="G831" s="34">
        <v>0.82272029652971379</v>
      </c>
    </row>
    <row r="832" spans="1:7" x14ac:dyDescent="0.3">
      <c r="A832" s="34">
        <v>831</v>
      </c>
      <c r="B832" s="34">
        <v>349</v>
      </c>
      <c r="C832" s="34">
        <v>6</v>
      </c>
      <c r="D832" s="34">
        <v>1743</v>
      </c>
      <c r="E832" s="34">
        <v>34</v>
      </c>
      <c r="F832" s="34" t="s">
        <v>54</v>
      </c>
      <c r="G832" s="34">
        <v>0.82770532025817156</v>
      </c>
    </row>
    <row r="833" spans="1:7" x14ac:dyDescent="0.3">
      <c r="A833" s="34">
        <v>832</v>
      </c>
      <c r="B833" s="34">
        <v>261</v>
      </c>
      <c r="C833" s="34">
        <v>12</v>
      </c>
      <c r="D833" s="34">
        <v>1657</v>
      </c>
      <c r="E833" s="34">
        <v>27</v>
      </c>
      <c r="F833" s="34" t="s">
        <v>54</v>
      </c>
      <c r="G833" s="34">
        <v>0.82779307451622608</v>
      </c>
    </row>
    <row r="834" spans="1:7" x14ac:dyDescent="0.3">
      <c r="A834" s="34">
        <v>833</v>
      </c>
      <c r="B834" s="34">
        <v>418</v>
      </c>
      <c r="C834" s="34">
        <v>18</v>
      </c>
      <c r="D834" s="34">
        <v>8471</v>
      </c>
      <c r="E834" s="34">
        <v>23</v>
      </c>
      <c r="F834" s="34" t="s">
        <v>56</v>
      </c>
      <c r="G834" s="34">
        <v>0.82948124215684627</v>
      </c>
    </row>
    <row r="835" spans="1:7" x14ac:dyDescent="0.3">
      <c r="A835" s="34">
        <v>834</v>
      </c>
      <c r="B835" s="34">
        <v>115</v>
      </c>
      <c r="C835" s="34">
        <v>12</v>
      </c>
      <c r="D835" s="34">
        <v>1680</v>
      </c>
      <c r="E835" s="34">
        <v>35</v>
      </c>
      <c r="F835" s="34" t="s">
        <v>54</v>
      </c>
      <c r="G835" s="34">
        <v>0.82974243609273379</v>
      </c>
    </row>
    <row r="836" spans="1:7" x14ac:dyDescent="0.3">
      <c r="A836" s="34">
        <v>835</v>
      </c>
      <c r="B836" s="34">
        <v>49</v>
      </c>
      <c r="C836" s="34">
        <v>11</v>
      </c>
      <c r="D836" s="34">
        <v>7228</v>
      </c>
      <c r="E836" s="34">
        <v>39</v>
      </c>
      <c r="F836" s="34" t="s">
        <v>54</v>
      </c>
      <c r="G836" s="34">
        <v>0.83122582794753075</v>
      </c>
    </row>
    <row r="837" spans="1:7" x14ac:dyDescent="0.3">
      <c r="A837" s="34">
        <v>836</v>
      </c>
      <c r="B837" s="34">
        <v>646</v>
      </c>
      <c r="C837" s="34">
        <v>36</v>
      </c>
      <c r="D837" s="34">
        <v>7980</v>
      </c>
      <c r="E837" s="34">
        <v>27</v>
      </c>
      <c r="F837" s="34" t="s">
        <v>55</v>
      </c>
      <c r="G837" s="34">
        <v>0.8317788183586422</v>
      </c>
    </row>
    <row r="838" spans="1:7" x14ac:dyDescent="0.3">
      <c r="A838" s="34">
        <v>837</v>
      </c>
      <c r="B838" s="34">
        <v>317</v>
      </c>
      <c r="C838" s="34">
        <v>12</v>
      </c>
      <c r="D838" s="34">
        <v>708</v>
      </c>
      <c r="E838" s="34">
        <v>38</v>
      </c>
      <c r="F838" s="34" t="s">
        <v>54</v>
      </c>
      <c r="G838" s="34">
        <v>0.83182473524212286</v>
      </c>
    </row>
    <row r="839" spans="1:7" x14ac:dyDescent="0.3">
      <c r="A839" s="34">
        <v>838</v>
      </c>
      <c r="B839" s="34">
        <v>750</v>
      </c>
      <c r="C839" s="34">
        <v>15</v>
      </c>
      <c r="D839" s="34">
        <v>3029</v>
      </c>
      <c r="E839" s="34">
        <v>33</v>
      </c>
      <c r="F839" s="34" t="s">
        <v>54</v>
      </c>
      <c r="G839" s="34">
        <v>0.83210164124388164</v>
      </c>
    </row>
    <row r="840" spans="1:7" x14ac:dyDescent="0.3">
      <c r="A840" s="34">
        <v>839</v>
      </c>
      <c r="B840" s="34">
        <v>373</v>
      </c>
      <c r="C840" s="34">
        <v>10</v>
      </c>
      <c r="D840" s="34">
        <v>2146</v>
      </c>
      <c r="E840" s="34">
        <v>23</v>
      </c>
      <c r="F840" s="34" t="s">
        <v>56</v>
      </c>
      <c r="G840" s="34">
        <v>0.83277058474877663</v>
      </c>
    </row>
    <row r="841" spans="1:7" x14ac:dyDescent="0.3">
      <c r="A841" s="34">
        <v>840</v>
      </c>
      <c r="B841" s="34">
        <v>765</v>
      </c>
      <c r="C841" s="34">
        <v>24</v>
      </c>
      <c r="D841" s="34">
        <v>2463</v>
      </c>
      <c r="E841" s="34">
        <v>27</v>
      </c>
      <c r="F841" s="34" t="s">
        <v>54</v>
      </c>
      <c r="G841" s="34">
        <v>0.83392703185912842</v>
      </c>
    </row>
    <row r="842" spans="1:7" x14ac:dyDescent="0.3">
      <c r="A842" s="34">
        <v>841</v>
      </c>
      <c r="B842" s="34">
        <v>865</v>
      </c>
      <c r="C842" s="34">
        <v>10</v>
      </c>
      <c r="D842" s="34">
        <v>2210</v>
      </c>
      <c r="E842" s="34">
        <v>25</v>
      </c>
      <c r="F842" s="34" t="s">
        <v>55</v>
      </c>
      <c r="G842" s="34">
        <v>0.83406867516131022</v>
      </c>
    </row>
    <row r="843" spans="1:7" x14ac:dyDescent="0.3">
      <c r="A843" s="34">
        <v>842</v>
      </c>
      <c r="B843" s="34">
        <v>912</v>
      </c>
      <c r="C843" s="34">
        <v>24</v>
      </c>
      <c r="D843" s="34">
        <v>4736</v>
      </c>
      <c r="E843" s="34">
        <v>25</v>
      </c>
      <c r="F843" s="34" t="s">
        <v>57</v>
      </c>
      <c r="G843" s="34">
        <v>0.8346255725633247</v>
      </c>
    </row>
    <row r="844" spans="1:7" x14ac:dyDescent="0.3">
      <c r="A844" s="34">
        <v>843</v>
      </c>
      <c r="B844" s="34">
        <v>897</v>
      </c>
      <c r="C844" s="34">
        <v>21</v>
      </c>
      <c r="D844" s="34">
        <v>2606</v>
      </c>
      <c r="E844" s="34">
        <v>28</v>
      </c>
      <c r="F844" s="34" t="s">
        <v>56</v>
      </c>
      <c r="G844" s="34">
        <v>0.8346359603448803</v>
      </c>
    </row>
    <row r="845" spans="1:7" x14ac:dyDescent="0.3">
      <c r="A845" s="34">
        <v>844</v>
      </c>
      <c r="B845" s="34">
        <v>409</v>
      </c>
      <c r="C845" s="34">
        <v>24</v>
      </c>
      <c r="D845" s="34">
        <v>3235</v>
      </c>
      <c r="E845" s="34">
        <v>26</v>
      </c>
      <c r="F845" s="34" t="s">
        <v>54</v>
      </c>
      <c r="G845" s="34">
        <v>0.83538746598201685</v>
      </c>
    </row>
    <row r="846" spans="1:7" x14ac:dyDescent="0.3">
      <c r="A846" s="34">
        <v>845</v>
      </c>
      <c r="B846" s="34">
        <v>476</v>
      </c>
      <c r="C846" s="34">
        <v>18</v>
      </c>
      <c r="D846" s="34">
        <v>3114</v>
      </c>
      <c r="E846" s="34">
        <v>26</v>
      </c>
      <c r="F846" s="34" t="s">
        <v>57</v>
      </c>
      <c r="G846" s="34">
        <v>0.835886871949718</v>
      </c>
    </row>
    <row r="847" spans="1:7" x14ac:dyDescent="0.3">
      <c r="A847" s="34">
        <v>846</v>
      </c>
      <c r="B847" s="34">
        <v>198</v>
      </c>
      <c r="C847" s="34">
        <v>12</v>
      </c>
      <c r="D847" s="34">
        <v>951</v>
      </c>
      <c r="E847" s="34">
        <v>27</v>
      </c>
      <c r="F847" s="34" t="s">
        <v>57</v>
      </c>
      <c r="G847" s="34">
        <v>0.8362593206258192</v>
      </c>
    </row>
    <row r="848" spans="1:7" x14ac:dyDescent="0.3">
      <c r="A848" s="34">
        <v>847</v>
      </c>
      <c r="B848" s="34">
        <v>437</v>
      </c>
      <c r="C848" s="34">
        <v>6</v>
      </c>
      <c r="D848" s="34">
        <v>660</v>
      </c>
      <c r="E848" s="34">
        <v>23</v>
      </c>
      <c r="F848" s="34" t="s">
        <v>54</v>
      </c>
      <c r="G848" s="34">
        <v>0.83945361721597356</v>
      </c>
    </row>
    <row r="849" spans="1:7" x14ac:dyDescent="0.3">
      <c r="A849" s="34">
        <v>848</v>
      </c>
      <c r="B849" s="34">
        <v>724</v>
      </c>
      <c r="C849" s="34">
        <v>9</v>
      </c>
      <c r="D849" s="34">
        <v>790</v>
      </c>
      <c r="E849" s="34">
        <v>66</v>
      </c>
      <c r="F849" s="34" t="s">
        <v>56</v>
      </c>
      <c r="G849" s="34">
        <v>0.84077244303395926</v>
      </c>
    </row>
    <row r="850" spans="1:7" x14ac:dyDescent="0.3">
      <c r="A850" s="34">
        <v>849</v>
      </c>
      <c r="B850" s="34">
        <v>228</v>
      </c>
      <c r="C850" s="34">
        <v>12</v>
      </c>
      <c r="D850" s="34">
        <v>7865</v>
      </c>
      <c r="E850" s="34">
        <v>53</v>
      </c>
      <c r="F850" s="34" t="s">
        <v>55</v>
      </c>
      <c r="G850" s="34">
        <v>0.84118636715219175</v>
      </c>
    </row>
    <row r="851" spans="1:7" x14ac:dyDescent="0.3">
      <c r="A851" s="34">
        <v>850</v>
      </c>
      <c r="B851" s="34">
        <v>423</v>
      </c>
      <c r="C851" s="34">
        <v>12</v>
      </c>
      <c r="D851" s="34">
        <v>958</v>
      </c>
      <c r="E851" s="34">
        <v>47</v>
      </c>
      <c r="F851" s="34" t="s">
        <v>54</v>
      </c>
      <c r="G851" s="34">
        <v>0.84250020328864894</v>
      </c>
    </row>
    <row r="852" spans="1:7" x14ac:dyDescent="0.3">
      <c r="A852" s="34">
        <v>851</v>
      </c>
      <c r="B852" s="34">
        <v>381</v>
      </c>
      <c r="C852" s="34">
        <v>20</v>
      </c>
      <c r="D852" s="34">
        <v>2212</v>
      </c>
      <c r="E852" s="34">
        <v>39</v>
      </c>
      <c r="F852" s="34" t="s">
        <v>54</v>
      </c>
      <c r="G852" s="34">
        <v>0.84540217531153983</v>
      </c>
    </row>
    <row r="853" spans="1:7" x14ac:dyDescent="0.3">
      <c r="A853" s="34">
        <v>852</v>
      </c>
      <c r="B853" s="34">
        <v>965</v>
      </c>
      <c r="C853" s="34">
        <v>6</v>
      </c>
      <c r="D853" s="34">
        <v>454</v>
      </c>
      <c r="E853" s="34">
        <v>22</v>
      </c>
      <c r="F853" s="34" t="s">
        <v>54</v>
      </c>
      <c r="G853" s="34">
        <v>0.8486307276231595</v>
      </c>
    </row>
    <row r="854" spans="1:7" x14ac:dyDescent="0.3">
      <c r="A854" s="34">
        <v>853</v>
      </c>
      <c r="B854" s="34">
        <v>350</v>
      </c>
      <c r="C854" s="34">
        <v>9</v>
      </c>
      <c r="D854" s="34">
        <v>1136</v>
      </c>
      <c r="E854" s="34">
        <v>32</v>
      </c>
      <c r="F854" s="34" t="s">
        <v>55</v>
      </c>
      <c r="G854" s="34">
        <v>0.85005407115946752</v>
      </c>
    </row>
    <row r="855" spans="1:7" x14ac:dyDescent="0.3">
      <c r="A855" s="34">
        <v>854</v>
      </c>
      <c r="B855" s="34">
        <v>372</v>
      </c>
      <c r="C855" s="34">
        <v>18</v>
      </c>
      <c r="D855" s="34">
        <v>6070</v>
      </c>
      <c r="E855" s="34">
        <v>33</v>
      </c>
      <c r="F855" s="34" t="s">
        <v>54</v>
      </c>
      <c r="G855" s="34">
        <v>0.85036501940363007</v>
      </c>
    </row>
    <row r="856" spans="1:7" x14ac:dyDescent="0.3">
      <c r="A856" s="34">
        <v>855</v>
      </c>
      <c r="B856" s="34">
        <v>926</v>
      </c>
      <c r="C856" s="34">
        <v>12</v>
      </c>
      <c r="D856" s="34">
        <v>697</v>
      </c>
      <c r="E856" s="34">
        <v>46</v>
      </c>
      <c r="F856" s="34" t="s">
        <v>55</v>
      </c>
      <c r="G856" s="34">
        <v>0.85185018881826191</v>
      </c>
    </row>
    <row r="857" spans="1:7" x14ac:dyDescent="0.3">
      <c r="A857" s="34">
        <v>856</v>
      </c>
      <c r="B857" s="34">
        <v>977</v>
      </c>
      <c r="C857" s="34">
        <v>6</v>
      </c>
      <c r="D857" s="34">
        <v>753</v>
      </c>
      <c r="E857" s="34">
        <v>64</v>
      </c>
      <c r="F857" s="34" t="s">
        <v>56</v>
      </c>
      <c r="G857" s="34">
        <v>0.85304859815344758</v>
      </c>
    </row>
    <row r="858" spans="1:7" x14ac:dyDescent="0.3">
      <c r="A858" s="34">
        <v>857</v>
      </c>
      <c r="B858" s="34">
        <v>649</v>
      </c>
      <c r="C858" s="34">
        <v>24</v>
      </c>
      <c r="D858" s="34">
        <v>947</v>
      </c>
      <c r="E858" s="34">
        <v>38</v>
      </c>
      <c r="F858" s="34" t="s">
        <v>55</v>
      </c>
      <c r="G858" s="34">
        <v>0.85404893003764404</v>
      </c>
    </row>
    <row r="859" spans="1:7" x14ac:dyDescent="0.3">
      <c r="A859" s="34">
        <v>858</v>
      </c>
      <c r="B859" s="34">
        <v>37</v>
      </c>
      <c r="C859" s="34">
        <v>48</v>
      </c>
      <c r="D859" s="34">
        <v>6110</v>
      </c>
      <c r="E859" s="34">
        <v>31</v>
      </c>
      <c r="F859" s="34" t="s">
        <v>54</v>
      </c>
      <c r="G859" s="34">
        <v>0.855910891928781</v>
      </c>
    </row>
    <row r="860" spans="1:7" x14ac:dyDescent="0.3">
      <c r="A860" s="34">
        <v>859</v>
      </c>
      <c r="B860" s="34">
        <v>82</v>
      </c>
      <c r="C860" s="34">
        <v>15</v>
      </c>
      <c r="D860" s="34">
        <v>1213</v>
      </c>
      <c r="E860" s="34">
        <v>47</v>
      </c>
      <c r="F860" s="34" t="s">
        <v>54</v>
      </c>
      <c r="G860" s="34">
        <v>0.85741290393008884</v>
      </c>
    </row>
    <row r="861" spans="1:7" x14ac:dyDescent="0.3">
      <c r="A861" s="34">
        <v>860</v>
      </c>
      <c r="B861" s="34">
        <v>150</v>
      </c>
      <c r="C861" s="34">
        <v>18</v>
      </c>
      <c r="D861" s="34">
        <v>1582</v>
      </c>
      <c r="E861" s="34">
        <v>46</v>
      </c>
      <c r="F861" s="34" t="s">
        <v>54</v>
      </c>
      <c r="G861" s="34">
        <v>0.85918539684371231</v>
      </c>
    </row>
    <row r="862" spans="1:7" x14ac:dyDescent="0.3">
      <c r="A862" s="34">
        <v>861</v>
      </c>
      <c r="B862" s="34">
        <v>197</v>
      </c>
      <c r="C862" s="34">
        <v>6</v>
      </c>
      <c r="D862" s="34">
        <v>1382</v>
      </c>
      <c r="E862" s="34">
        <v>28</v>
      </c>
      <c r="F862" s="34" t="s">
        <v>56</v>
      </c>
      <c r="G862" s="34">
        <v>0.85918551610109462</v>
      </c>
    </row>
    <row r="863" spans="1:7" x14ac:dyDescent="0.3">
      <c r="A863" s="34">
        <v>862</v>
      </c>
      <c r="B863" s="34">
        <v>134</v>
      </c>
      <c r="C863" s="34">
        <v>18</v>
      </c>
      <c r="D863" s="34">
        <v>1984</v>
      </c>
      <c r="E863" s="34">
        <v>47</v>
      </c>
      <c r="F863" s="34" t="s">
        <v>54</v>
      </c>
      <c r="G863" s="34">
        <v>0.86064769799252971</v>
      </c>
    </row>
    <row r="864" spans="1:7" x14ac:dyDescent="0.3">
      <c r="A864" s="34">
        <v>863</v>
      </c>
      <c r="B864" s="34">
        <v>131</v>
      </c>
      <c r="C864" s="34">
        <v>48</v>
      </c>
      <c r="D864" s="34">
        <v>8487</v>
      </c>
      <c r="E864" s="34">
        <v>24</v>
      </c>
      <c r="F864" s="34" t="s">
        <v>56</v>
      </c>
      <c r="G864" s="34">
        <v>0.86276091395541232</v>
      </c>
    </row>
    <row r="865" spans="1:7" x14ac:dyDescent="0.3">
      <c r="A865" s="34">
        <v>864</v>
      </c>
      <c r="B865" s="34">
        <v>434</v>
      </c>
      <c r="C865" s="34">
        <v>24</v>
      </c>
      <c r="D865" s="34">
        <v>2058</v>
      </c>
      <c r="E865" s="34">
        <v>33</v>
      </c>
      <c r="F865" s="34" t="s">
        <v>54</v>
      </c>
      <c r="G865" s="34">
        <v>0.86475970844286476</v>
      </c>
    </row>
    <row r="866" spans="1:7" x14ac:dyDescent="0.3">
      <c r="A866" s="34">
        <v>865</v>
      </c>
      <c r="B866" s="34">
        <v>122</v>
      </c>
      <c r="C866" s="34">
        <v>24</v>
      </c>
      <c r="D866" s="34">
        <v>3868</v>
      </c>
      <c r="E866" s="34">
        <v>41</v>
      </c>
      <c r="F866" s="34" t="s">
        <v>56</v>
      </c>
      <c r="G866" s="34">
        <v>0.8648728729942019</v>
      </c>
    </row>
    <row r="867" spans="1:7" x14ac:dyDescent="0.3">
      <c r="A867" s="34">
        <v>866</v>
      </c>
      <c r="B867" s="34">
        <v>535</v>
      </c>
      <c r="C867" s="34">
        <v>24</v>
      </c>
      <c r="D867" s="34">
        <v>3105</v>
      </c>
      <c r="E867" s="34">
        <v>25</v>
      </c>
      <c r="F867" s="34" t="s">
        <v>54</v>
      </c>
      <c r="G867" s="34">
        <v>0.86842961009616093</v>
      </c>
    </row>
    <row r="868" spans="1:7" x14ac:dyDescent="0.3">
      <c r="A868" s="34">
        <v>867</v>
      </c>
      <c r="B868" s="34">
        <v>438</v>
      </c>
      <c r="C868" s="34">
        <v>24</v>
      </c>
      <c r="D868" s="34">
        <v>1287</v>
      </c>
      <c r="E868" s="34">
        <v>37</v>
      </c>
      <c r="F868" s="34" t="s">
        <v>56</v>
      </c>
      <c r="G868" s="34">
        <v>0.86898078130334733</v>
      </c>
    </row>
    <row r="869" spans="1:7" x14ac:dyDescent="0.3">
      <c r="A869" s="34">
        <v>868</v>
      </c>
      <c r="B869" s="34">
        <v>444</v>
      </c>
      <c r="C869" s="34">
        <v>12</v>
      </c>
      <c r="D869" s="34">
        <v>719</v>
      </c>
      <c r="E869" s="34">
        <v>41</v>
      </c>
      <c r="F869" s="34" t="s">
        <v>55</v>
      </c>
      <c r="G869" s="34">
        <v>0.87305457432288769</v>
      </c>
    </row>
    <row r="870" spans="1:7" x14ac:dyDescent="0.3">
      <c r="A870" s="34">
        <v>869</v>
      </c>
      <c r="B870" s="34">
        <v>693</v>
      </c>
      <c r="C870" s="34">
        <v>24</v>
      </c>
      <c r="D870" s="34">
        <v>2896</v>
      </c>
      <c r="E870" s="34">
        <v>29</v>
      </c>
      <c r="F870" s="34" t="s">
        <v>54</v>
      </c>
      <c r="G870" s="34">
        <v>0.87365598831721614</v>
      </c>
    </row>
    <row r="871" spans="1:7" x14ac:dyDescent="0.3">
      <c r="A871" s="34">
        <v>870</v>
      </c>
      <c r="B871" s="34">
        <v>85</v>
      </c>
      <c r="C871" s="34">
        <v>10</v>
      </c>
      <c r="D871" s="34">
        <v>2315</v>
      </c>
      <c r="E871" s="34">
        <v>52</v>
      </c>
      <c r="F871" s="34" t="s">
        <v>54</v>
      </c>
      <c r="G871" s="34">
        <v>0.87501971253701005</v>
      </c>
    </row>
    <row r="872" spans="1:7" x14ac:dyDescent="0.3">
      <c r="A872" s="34">
        <v>871</v>
      </c>
      <c r="B872" s="34">
        <v>799</v>
      </c>
      <c r="C872" s="34">
        <v>24</v>
      </c>
      <c r="D872" s="34">
        <v>717</v>
      </c>
      <c r="E872" s="34">
        <v>54</v>
      </c>
      <c r="F872" s="34" t="s">
        <v>54</v>
      </c>
      <c r="G872" s="34">
        <v>0.8757713901428984</v>
      </c>
    </row>
    <row r="873" spans="1:7" x14ac:dyDescent="0.3">
      <c r="A873" s="34">
        <v>872</v>
      </c>
      <c r="B873" s="34">
        <v>514</v>
      </c>
      <c r="C873" s="34">
        <v>12</v>
      </c>
      <c r="D873" s="34">
        <v>585</v>
      </c>
      <c r="E873" s="34">
        <v>20</v>
      </c>
      <c r="F873" s="34" t="s">
        <v>54</v>
      </c>
      <c r="G873" s="34">
        <v>0.87667294629786263</v>
      </c>
    </row>
    <row r="874" spans="1:7" x14ac:dyDescent="0.3">
      <c r="A874" s="34">
        <v>873</v>
      </c>
      <c r="B874" s="34">
        <v>6</v>
      </c>
      <c r="C874" s="34">
        <v>36</v>
      </c>
      <c r="D874" s="34">
        <v>9055</v>
      </c>
      <c r="E874" s="34">
        <v>35</v>
      </c>
      <c r="F874" s="34" t="s">
        <v>54</v>
      </c>
      <c r="G874" s="34">
        <v>0.8768029749458901</v>
      </c>
    </row>
    <row r="875" spans="1:7" x14ac:dyDescent="0.3">
      <c r="A875" s="34">
        <v>874</v>
      </c>
      <c r="B875" s="34">
        <v>981</v>
      </c>
      <c r="C875" s="34">
        <v>30</v>
      </c>
      <c r="D875" s="34">
        <v>8386</v>
      </c>
      <c r="E875" s="34">
        <v>49</v>
      </c>
      <c r="F875" s="34" t="s">
        <v>55</v>
      </c>
      <c r="G875" s="34">
        <v>0.87884192573311204</v>
      </c>
    </row>
    <row r="876" spans="1:7" x14ac:dyDescent="0.3">
      <c r="A876" s="34">
        <v>875</v>
      </c>
      <c r="B876" s="34">
        <v>528</v>
      </c>
      <c r="C876" s="34">
        <v>4</v>
      </c>
      <c r="D876" s="34">
        <v>1503</v>
      </c>
      <c r="E876" s="34">
        <v>42</v>
      </c>
      <c r="F876" s="34" t="s">
        <v>54</v>
      </c>
      <c r="G876" s="34">
        <v>0.88068904419774208</v>
      </c>
    </row>
    <row r="877" spans="1:7" x14ac:dyDescent="0.3">
      <c r="A877" s="34">
        <v>876</v>
      </c>
      <c r="B877" s="34">
        <v>98</v>
      </c>
      <c r="C877" s="34">
        <v>18</v>
      </c>
      <c r="D877" s="34">
        <v>2622</v>
      </c>
      <c r="E877" s="34">
        <v>34</v>
      </c>
      <c r="F877" s="34" t="s">
        <v>54</v>
      </c>
      <c r="G877" s="34">
        <v>0.88088630332349582</v>
      </c>
    </row>
    <row r="878" spans="1:7" x14ac:dyDescent="0.3">
      <c r="A878" s="34">
        <v>877</v>
      </c>
      <c r="B878" s="34">
        <v>594</v>
      </c>
      <c r="C878" s="34">
        <v>24</v>
      </c>
      <c r="D878" s="34">
        <v>2718</v>
      </c>
      <c r="E878" s="34">
        <v>20</v>
      </c>
      <c r="F878" s="34" t="s">
        <v>57</v>
      </c>
      <c r="G878" s="34">
        <v>0.88131967463222893</v>
      </c>
    </row>
    <row r="879" spans="1:7" x14ac:dyDescent="0.3">
      <c r="A879" s="34">
        <v>878</v>
      </c>
      <c r="B879" s="34">
        <v>123</v>
      </c>
      <c r="C879" s="34">
        <v>12</v>
      </c>
      <c r="D879" s="34">
        <v>1768</v>
      </c>
      <c r="E879" s="34">
        <v>24</v>
      </c>
      <c r="F879" s="34" t="s">
        <v>54</v>
      </c>
      <c r="G879" s="34">
        <v>0.8816397721771414</v>
      </c>
    </row>
    <row r="880" spans="1:7" x14ac:dyDescent="0.3">
      <c r="A880" s="34">
        <v>879</v>
      </c>
      <c r="B880" s="34">
        <v>378</v>
      </c>
      <c r="C880" s="34">
        <v>7</v>
      </c>
      <c r="D880" s="34">
        <v>846</v>
      </c>
      <c r="E880" s="34">
        <v>36</v>
      </c>
      <c r="F880" s="34" t="s">
        <v>54</v>
      </c>
      <c r="G880" s="34">
        <v>0.88241718555782234</v>
      </c>
    </row>
    <row r="881" spans="1:7" x14ac:dyDescent="0.3">
      <c r="A881" s="34">
        <v>880</v>
      </c>
      <c r="B881" s="34">
        <v>181</v>
      </c>
      <c r="C881" s="34">
        <v>36</v>
      </c>
      <c r="D881" s="34">
        <v>9572</v>
      </c>
      <c r="E881" s="34">
        <v>28</v>
      </c>
      <c r="F881" s="34" t="s">
        <v>55</v>
      </c>
      <c r="G881" s="34">
        <v>0.88310571886700728</v>
      </c>
    </row>
    <row r="882" spans="1:7" x14ac:dyDescent="0.3">
      <c r="A882" s="34">
        <v>881</v>
      </c>
      <c r="B882" s="34">
        <v>915</v>
      </c>
      <c r="C882" s="34">
        <v>24</v>
      </c>
      <c r="D882" s="34">
        <v>3161</v>
      </c>
      <c r="E882" s="34">
        <v>31</v>
      </c>
      <c r="F882" s="34" t="s">
        <v>55</v>
      </c>
      <c r="G882" s="34">
        <v>0.88333666742817507</v>
      </c>
    </row>
    <row r="883" spans="1:7" x14ac:dyDescent="0.3">
      <c r="A883" s="34">
        <v>882</v>
      </c>
      <c r="B883" s="34">
        <v>42</v>
      </c>
      <c r="C883" s="34">
        <v>12</v>
      </c>
      <c r="D883" s="34">
        <v>1158</v>
      </c>
      <c r="E883" s="34">
        <v>26</v>
      </c>
      <c r="F883" s="34" t="s">
        <v>54</v>
      </c>
      <c r="G883" s="34">
        <v>0.88369886826939437</v>
      </c>
    </row>
    <row r="884" spans="1:7" x14ac:dyDescent="0.3">
      <c r="A884" s="34">
        <v>883</v>
      </c>
      <c r="B884" s="34">
        <v>555</v>
      </c>
      <c r="C884" s="34">
        <v>9</v>
      </c>
      <c r="D884" s="34">
        <v>1199</v>
      </c>
      <c r="E884" s="34">
        <v>67</v>
      </c>
      <c r="F884" s="34" t="s">
        <v>56</v>
      </c>
      <c r="G884" s="34">
        <v>0.88489829035659417</v>
      </c>
    </row>
    <row r="885" spans="1:7" x14ac:dyDescent="0.3">
      <c r="A885" s="34">
        <v>884</v>
      </c>
      <c r="B885" s="34">
        <v>979</v>
      </c>
      <c r="C885" s="34">
        <v>24</v>
      </c>
      <c r="D885" s="34">
        <v>2538</v>
      </c>
      <c r="E885" s="34">
        <v>47</v>
      </c>
      <c r="F885" s="34" t="s">
        <v>55</v>
      </c>
      <c r="G885" s="34">
        <v>0.88603291213191504</v>
      </c>
    </row>
    <row r="886" spans="1:7" x14ac:dyDescent="0.3">
      <c r="A886" s="34">
        <v>885</v>
      </c>
      <c r="B886" s="34">
        <v>772</v>
      </c>
      <c r="C886" s="34">
        <v>36</v>
      </c>
      <c r="D886" s="34">
        <v>8065</v>
      </c>
      <c r="E886" s="34">
        <v>25</v>
      </c>
      <c r="F886" s="34" t="s">
        <v>57</v>
      </c>
      <c r="G886" s="34">
        <v>0.88609819909977272</v>
      </c>
    </row>
    <row r="887" spans="1:7" x14ac:dyDescent="0.3">
      <c r="A887" s="34">
        <v>886</v>
      </c>
      <c r="B887" s="34">
        <v>686</v>
      </c>
      <c r="C887" s="34">
        <v>60</v>
      </c>
      <c r="D887" s="34">
        <v>6527</v>
      </c>
      <c r="E887" s="34">
        <v>34</v>
      </c>
      <c r="F887" s="34" t="s">
        <v>54</v>
      </c>
      <c r="G887" s="34">
        <v>0.88939776628416822</v>
      </c>
    </row>
    <row r="888" spans="1:7" x14ac:dyDescent="0.3">
      <c r="A888" s="34">
        <v>887</v>
      </c>
      <c r="B888" s="34">
        <v>553</v>
      </c>
      <c r="C888" s="34">
        <v>48</v>
      </c>
      <c r="D888" s="34">
        <v>6999</v>
      </c>
      <c r="E888" s="34">
        <v>34</v>
      </c>
      <c r="F888" s="34" t="s">
        <v>55</v>
      </c>
      <c r="G888" s="34">
        <v>0.88980121806903856</v>
      </c>
    </row>
    <row r="889" spans="1:7" x14ac:dyDescent="0.3">
      <c r="A889" s="34">
        <v>888</v>
      </c>
      <c r="B889" s="34">
        <v>284</v>
      </c>
      <c r="C889" s="34">
        <v>15</v>
      </c>
      <c r="D889" s="34">
        <v>1520</v>
      </c>
      <c r="E889" s="34">
        <v>63</v>
      </c>
      <c r="F889" s="34" t="s">
        <v>54</v>
      </c>
      <c r="G889" s="34">
        <v>0.89124525487935335</v>
      </c>
    </row>
    <row r="890" spans="1:7" x14ac:dyDescent="0.3">
      <c r="A890" s="34">
        <v>889</v>
      </c>
      <c r="B890" s="34">
        <v>462</v>
      </c>
      <c r="C890" s="34">
        <v>15</v>
      </c>
      <c r="D890" s="34">
        <v>1721</v>
      </c>
      <c r="E890" s="34">
        <v>36</v>
      </c>
      <c r="F890" s="34" t="s">
        <v>54</v>
      </c>
      <c r="G890" s="34">
        <v>0.89258393472653375</v>
      </c>
    </row>
    <row r="891" spans="1:7" x14ac:dyDescent="0.3">
      <c r="A891" s="34">
        <v>890</v>
      </c>
      <c r="B891" s="34">
        <v>592</v>
      </c>
      <c r="C891" s="34">
        <v>24</v>
      </c>
      <c r="D891" s="34">
        <v>1965</v>
      </c>
      <c r="E891" s="34">
        <v>42</v>
      </c>
      <c r="F891" s="34" t="s">
        <v>56</v>
      </c>
      <c r="G891" s="34">
        <v>0.89374878627162935</v>
      </c>
    </row>
    <row r="892" spans="1:7" x14ac:dyDescent="0.3">
      <c r="A892" s="34">
        <v>891</v>
      </c>
      <c r="B892" s="34">
        <v>94</v>
      </c>
      <c r="C892" s="34">
        <v>24</v>
      </c>
      <c r="D892" s="34">
        <v>3617</v>
      </c>
      <c r="E892" s="34">
        <v>20</v>
      </c>
      <c r="F892" s="34" t="s">
        <v>54</v>
      </c>
      <c r="G892" s="34">
        <v>0.89418151187709172</v>
      </c>
    </row>
    <row r="893" spans="1:7" x14ac:dyDescent="0.3">
      <c r="A893" s="34">
        <v>892</v>
      </c>
      <c r="B893" s="34">
        <v>982</v>
      </c>
      <c r="C893" s="34">
        <v>48</v>
      </c>
      <c r="D893" s="34">
        <v>4844</v>
      </c>
      <c r="E893" s="34">
        <v>33</v>
      </c>
      <c r="F893" s="34" t="s">
        <v>55</v>
      </c>
      <c r="G893" s="34">
        <v>0.89674528293110001</v>
      </c>
    </row>
    <row r="894" spans="1:7" x14ac:dyDescent="0.3">
      <c r="A894" s="34">
        <v>893</v>
      </c>
      <c r="B894" s="34">
        <v>885</v>
      </c>
      <c r="C894" s="34">
        <v>24</v>
      </c>
      <c r="D894" s="34">
        <v>4057</v>
      </c>
      <c r="E894" s="34">
        <v>43</v>
      </c>
      <c r="F894" s="34" t="s">
        <v>55</v>
      </c>
      <c r="G894" s="34">
        <v>0.89946905707358837</v>
      </c>
    </row>
    <row r="895" spans="1:7" x14ac:dyDescent="0.3">
      <c r="A895" s="34">
        <v>894</v>
      </c>
      <c r="B895" s="34">
        <v>663</v>
      </c>
      <c r="C895" s="34">
        <v>21</v>
      </c>
      <c r="D895" s="34">
        <v>2241</v>
      </c>
      <c r="E895" s="34">
        <v>50</v>
      </c>
      <c r="F895" s="34" t="s">
        <v>54</v>
      </c>
      <c r="G895" s="34">
        <v>0.90128535899297679</v>
      </c>
    </row>
    <row r="896" spans="1:7" x14ac:dyDescent="0.3">
      <c r="A896" s="34">
        <v>895</v>
      </c>
      <c r="B896" s="34">
        <v>414</v>
      </c>
      <c r="C896" s="34">
        <v>10</v>
      </c>
      <c r="D896" s="34">
        <v>1597</v>
      </c>
      <c r="E896" s="34">
        <v>40</v>
      </c>
      <c r="F896" s="34" t="s">
        <v>54</v>
      </c>
      <c r="G896" s="34">
        <v>0.90138787009425725</v>
      </c>
    </row>
    <row r="897" spans="1:7" x14ac:dyDescent="0.3">
      <c r="A897" s="34">
        <v>896</v>
      </c>
      <c r="B897" s="34">
        <v>497</v>
      </c>
      <c r="C897" s="34">
        <v>36</v>
      </c>
      <c r="D897" s="34">
        <v>9034</v>
      </c>
      <c r="E897" s="34">
        <v>29</v>
      </c>
      <c r="F897" s="34" t="s">
        <v>55</v>
      </c>
      <c r="G897" s="34">
        <v>0.90361983876879137</v>
      </c>
    </row>
    <row r="898" spans="1:7" x14ac:dyDescent="0.3">
      <c r="A898" s="34">
        <v>897</v>
      </c>
      <c r="B898" s="34">
        <v>576</v>
      </c>
      <c r="C898" s="34">
        <v>15</v>
      </c>
      <c r="D898" s="34">
        <v>2788</v>
      </c>
      <c r="E898" s="34">
        <v>24</v>
      </c>
      <c r="F898" s="34" t="s">
        <v>56</v>
      </c>
      <c r="G898" s="34">
        <v>0.90434635705442767</v>
      </c>
    </row>
    <row r="899" spans="1:7" x14ac:dyDescent="0.3">
      <c r="A899" s="34">
        <v>898</v>
      </c>
      <c r="B899" s="34">
        <v>617</v>
      </c>
      <c r="C899" s="34">
        <v>60</v>
      </c>
      <c r="D899" s="34">
        <v>9157</v>
      </c>
      <c r="E899" s="34">
        <v>27</v>
      </c>
      <c r="F899" s="34" t="s">
        <v>54</v>
      </c>
      <c r="G899" s="34">
        <v>0.90452151324845353</v>
      </c>
    </row>
    <row r="900" spans="1:7" x14ac:dyDescent="0.3">
      <c r="A900" s="34">
        <v>899</v>
      </c>
      <c r="B900" s="34">
        <v>292</v>
      </c>
      <c r="C900" s="34">
        <v>36</v>
      </c>
      <c r="D900" s="34">
        <v>9398</v>
      </c>
      <c r="E900" s="34">
        <v>28</v>
      </c>
      <c r="F900" s="34" t="s">
        <v>55</v>
      </c>
      <c r="G900" s="34">
        <v>0.90525875343630335</v>
      </c>
    </row>
    <row r="901" spans="1:7" x14ac:dyDescent="0.3">
      <c r="A901" s="34">
        <v>900</v>
      </c>
      <c r="B901" s="34">
        <v>588</v>
      </c>
      <c r="C901" s="34">
        <v>12</v>
      </c>
      <c r="D901" s="34">
        <v>1289</v>
      </c>
      <c r="E901" s="34">
        <v>21</v>
      </c>
      <c r="F901" s="34" t="s">
        <v>54</v>
      </c>
      <c r="G901" s="34">
        <v>0.90553547468166296</v>
      </c>
    </row>
    <row r="902" spans="1:7" x14ac:dyDescent="0.3">
      <c r="A902" s="34">
        <v>901</v>
      </c>
      <c r="B902" s="34">
        <v>466</v>
      </c>
      <c r="C902" s="34">
        <v>24</v>
      </c>
      <c r="D902" s="34">
        <v>2924</v>
      </c>
      <c r="E902" s="34">
        <v>63</v>
      </c>
      <c r="F902" s="34" t="s">
        <v>54</v>
      </c>
      <c r="G902" s="34">
        <v>0.9070927305941523</v>
      </c>
    </row>
    <row r="903" spans="1:7" x14ac:dyDescent="0.3">
      <c r="A903" s="34">
        <v>902</v>
      </c>
      <c r="B903" s="34">
        <v>124</v>
      </c>
      <c r="C903" s="34">
        <v>10</v>
      </c>
      <c r="D903" s="34">
        <v>781</v>
      </c>
      <c r="E903" s="34">
        <v>63</v>
      </c>
      <c r="F903" s="34" t="s">
        <v>54</v>
      </c>
      <c r="G903" s="34">
        <v>0.90885830767813147</v>
      </c>
    </row>
    <row r="904" spans="1:7" x14ac:dyDescent="0.3">
      <c r="A904" s="34">
        <v>903</v>
      </c>
      <c r="B904" s="34">
        <v>151</v>
      </c>
      <c r="C904" s="34">
        <v>6</v>
      </c>
      <c r="D904" s="34">
        <v>1346</v>
      </c>
      <c r="E904" s="34">
        <v>42</v>
      </c>
      <c r="F904" s="34" t="s">
        <v>54</v>
      </c>
      <c r="G904" s="34">
        <v>0.90969769915950294</v>
      </c>
    </row>
    <row r="905" spans="1:7" x14ac:dyDescent="0.3">
      <c r="A905" s="34">
        <v>904</v>
      </c>
      <c r="B905" s="34">
        <v>808</v>
      </c>
      <c r="C905" s="34">
        <v>12</v>
      </c>
      <c r="D905" s="34">
        <v>930</v>
      </c>
      <c r="E905" s="34">
        <v>65</v>
      </c>
      <c r="F905" s="34" t="s">
        <v>54</v>
      </c>
      <c r="G905" s="34">
        <v>0.91061578374907748</v>
      </c>
    </row>
    <row r="906" spans="1:7" x14ac:dyDescent="0.3">
      <c r="A906" s="34">
        <v>905</v>
      </c>
      <c r="B906" s="34">
        <v>607</v>
      </c>
      <c r="C906" s="34">
        <v>24</v>
      </c>
      <c r="D906" s="34">
        <v>4526</v>
      </c>
      <c r="E906" s="34">
        <v>74</v>
      </c>
      <c r="F906" s="34" t="s">
        <v>54</v>
      </c>
      <c r="G906" s="34">
        <v>0.91199516443571838</v>
      </c>
    </row>
    <row r="907" spans="1:7" x14ac:dyDescent="0.3">
      <c r="A907" s="34">
        <v>906</v>
      </c>
      <c r="B907" s="34">
        <v>247</v>
      </c>
      <c r="C907" s="34">
        <v>12</v>
      </c>
      <c r="D907" s="34">
        <v>717</v>
      </c>
      <c r="E907" s="34">
        <v>52</v>
      </c>
      <c r="F907" s="34" t="s">
        <v>54</v>
      </c>
      <c r="G907" s="34">
        <v>0.91468835999557541</v>
      </c>
    </row>
    <row r="908" spans="1:7" x14ac:dyDescent="0.3">
      <c r="A908" s="34">
        <v>907</v>
      </c>
      <c r="B908" s="34">
        <v>301</v>
      </c>
      <c r="C908" s="34">
        <v>6</v>
      </c>
      <c r="D908" s="34">
        <v>672</v>
      </c>
      <c r="E908" s="34">
        <v>54</v>
      </c>
      <c r="F908" s="34" t="s">
        <v>56</v>
      </c>
      <c r="G908" s="34">
        <v>0.9153845748566487</v>
      </c>
    </row>
    <row r="909" spans="1:7" x14ac:dyDescent="0.3">
      <c r="A909" s="34">
        <v>908</v>
      </c>
      <c r="B909" s="34">
        <v>111</v>
      </c>
      <c r="C909" s="34">
        <v>6</v>
      </c>
      <c r="D909" s="34">
        <v>1449</v>
      </c>
      <c r="E909" s="34">
        <v>31</v>
      </c>
      <c r="F909" s="34" t="s">
        <v>54</v>
      </c>
      <c r="G909" s="34">
        <v>0.9158290214446364</v>
      </c>
    </row>
    <row r="910" spans="1:7" x14ac:dyDescent="0.3">
      <c r="A910" s="34">
        <v>909</v>
      </c>
      <c r="B910" s="34">
        <v>125</v>
      </c>
      <c r="C910" s="34">
        <v>18</v>
      </c>
      <c r="D910" s="34">
        <v>1924</v>
      </c>
      <c r="E910" s="34">
        <v>27</v>
      </c>
      <c r="F910" s="34" t="s">
        <v>57</v>
      </c>
      <c r="G910" s="34">
        <v>0.91631032677400281</v>
      </c>
    </row>
    <row r="911" spans="1:7" x14ac:dyDescent="0.3">
      <c r="A911" s="34">
        <v>910</v>
      </c>
      <c r="B911" s="34">
        <v>159</v>
      </c>
      <c r="C911" s="34">
        <v>24</v>
      </c>
      <c r="D911" s="34">
        <v>3512</v>
      </c>
      <c r="E911" s="34">
        <v>38</v>
      </c>
      <c r="F911" s="34" t="s">
        <v>54</v>
      </c>
      <c r="G911" s="34">
        <v>0.91696913849863204</v>
      </c>
    </row>
    <row r="912" spans="1:7" x14ac:dyDescent="0.3">
      <c r="A912" s="34">
        <v>911</v>
      </c>
      <c r="B912" s="34">
        <v>10</v>
      </c>
      <c r="C912" s="34">
        <v>30</v>
      </c>
      <c r="D912" s="34">
        <v>5234</v>
      </c>
      <c r="E912" s="34">
        <v>28</v>
      </c>
      <c r="F912" s="34" t="s">
        <v>55</v>
      </c>
      <c r="G912" s="34">
        <v>0.91707588436227305</v>
      </c>
    </row>
    <row r="913" spans="1:7" x14ac:dyDescent="0.3">
      <c r="A913" s="34">
        <v>912</v>
      </c>
      <c r="B913" s="34">
        <v>723</v>
      </c>
      <c r="C913" s="34">
        <v>12</v>
      </c>
      <c r="D913" s="34">
        <v>1228</v>
      </c>
      <c r="E913" s="34">
        <v>24</v>
      </c>
      <c r="F913" s="34" t="s">
        <v>57</v>
      </c>
      <c r="G913" s="34">
        <v>0.91828152555425424</v>
      </c>
    </row>
    <row r="914" spans="1:7" x14ac:dyDescent="0.3">
      <c r="A914" s="34">
        <v>913</v>
      </c>
      <c r="B914" s="34">
        <v>431</v>
      </c>
      <c r="C914" s="34">
        <v>5</v>
      </c>
      <c r="D914" s="34">
        <v>3448</v>
      </c>
      <c r="E914" s="34">
        <v>74</v>
      </c>
      <c r="F914" s="34" t="s">
        <v>54</v>
      </c>
      <c r="G914" s="34">
        <v>0.91829489221590688</v>
      </c>
    </row>
    <row r="915" spans="1:7" x14ac:dyDescent="0.3">
      <c r="A915" s="34">
        <v>914</v>
      </c>
      <c r="B915" s="34">
        <v>863</v>
      </c>
      <c r="C915" s="34">
        <v>24</v>
      </c>
      <c r="D915" s="34">
        <v>2439</v>
      </c>
      <c r="E915" s="34">
        <v>35</v>
      </c>
      <c r="F915" s="34" t="s">
        <v>57</v>
      </c>
      <c r="G915" s="34">
        <v>0.9200936822303466</v>
      </c>
    </row>
    <row r="916" spans="1:7" x14ac:dyDescent="0.3">
      <c r="A916" s="34">
        <v>915</v>
      </c>
      <c r="B916" s="34">
        <v>711</v>
      </c>
      <c r="C916" s="34">
        <v>18</v>
      </c>
      <c r="D916" s="34">
        <v>629</v>
      </c>
      <c r="E916" s="34">
        <v>32</v>
      </c>
      <c r="F916" s="34" t="s">
        <v>54</v>
      </c>
      <c r="G916" s="34">
        <v>0.9206908267218592</v>
      </c>
    </row>
    <row r="917" spans="1:7" x14ac:dyDescent="0.3">
      <c r="A917" s="34">
        <v>916</v>
      </c>
      <c r="B917" s="34">
        <v>875</v>
      </c>
      <c r="C917" s="34">
        <v>12</v>
      </c>
      <c r="D917" s="34">
        <v>3590</v>
      </c>
      <c r="E917" s="34">
        <v>29</v>
      </c>
      <c r="F917" s="34" t="s">
        <v>54</v>
      </c>
      <c r="G917" s="34">
        <v>0.92082482252059261</v>
      </c>
    </row>
    <row r="918" spans="1:7" x14ac:dyDescent="0.3">
      <c r="A918" s="34">
        <v>917</v>
      </c>
      <c r="B918" s="34">
        <v>687</v>
      </c>
      <c r="C918" s="34">
        <v>10</v>
      </c>
      <c r="D918" s="34">
        <v>1347</v>
      </c>
      <c r="E918" s="34">
        <v>27</v>
      </c>
      <c r="F918" s="34" t="s">
        <v>54</v>
      </c>
      <c r="G918" s="34">
        <v>0.92455543195071777</v>
      </c>
    </row>
    <row r="919" spans="1:7" x14ac:dyDescent="0.3">
      <c r="A919" s="34">
        <v>918</v>
      </c>
      <c r="B919" s="34">
        <v>252</v>
      </c>
      <c r="C919" s="34">
        <v>12</v>
      </c>
      <c r="D919" s="34">
        <v>2251</v>
      </c>
      <c r="E919" s="34">
        <v>46</v>
      </c>
      <c r="F919" s="34" t="s">
        <v>56</v>
      </c>
      <c r="G919" s="34">
        <v>0.92466661531245642</v>
      </c>
    </row>
    <row r="920" spans="1:7" x14ac:dyDescent="0.3">
      <c r="A920" s="34">
        <v>919</v>
      </c>
      <c r="B920" s="34">
        <v>985</v>
      </c>
      <c r="C920" s="34">
        <v>24</v>
      </c>
      <c r="D920" s="34">
        <v>2028</v>
      </c>
      <c r="E920" s="34">
        <v>30</v>
      </c>
      <c r="F920" s="34" t="s">
        <v>54</v>
      </c>
      <c r="G920" s="34">
        <v>0.9250550216979142</v>
      </c>
    </row>
    <row r="921" spans="1:7" x14ac:dyDescent="0.3">
      <c r="A921" s="34">
        <v>920</v>
      </c>
      <c r="B921" s="34">
        <v>365</v>
      </c>
      <c r="C921" s="34">
        <v>18</v>
      </c>
      <c r="D921" s="34">
        <v>2473</v>
      </c>
      <c r="E921" s="34">
        <v>25</v>
      </c>
      <c r="F921" s="34" t="s">
        <v>55</v>
      </c>
      <c r="G921" s="34">
        <v>0.92566721772652505</v>
      </c>
    </row>
    <row r="922" spans="1:7" x14ac:dyDescent="0.3">
      <c r="A922" s="34">
        <v>921</v>
      </c>
      <c r="B922" s="34">
        <v>359</v>
      </c>
      <c r="C922" s="34">
        <v>12</v>
      </c>
      <c r="D922" s="34">
        <v>776</v>
      </c>
      <c r="E922" s="34">
        <v>28</v>
      </c>
      <c r="F922" s="34" t="s">
        <v>54</v>
      </c>
      <c r="G922" s="34">
        <v>0.92571809221058154</v>
      </c>
    </row>
    <row r="923" spans="1:7" x14ac:dyDescent="0.3">
      <c r="A923" s="34">
        <v>922</v>
      </c>
      <c r="B923" s="34">
        <v>605</v>
      </c>
      <c r="C923" s="34">
        <v>10</v>
      </c>
      <c r="D923" s="34">
        <v>1275</v>
      </c>
      <c r="E923" s="34">
        <v>23</v>
      </c>
      <c r="F923" s="34" t="s">
        <v>56</v>
      </c>
      <c r="G923" s="34">
        <v>0.92872824601343762</v>
      </c>
    </row>
    <row r="924" spans="1:7" x14ac:dyDescent="0.3">
      <c r="A924" s="34">
        <v>923</v>
      </c>
      <c r="B924" s="34">
        <v>107</v>
      </c>
      <c r="C924" s="34">
        <v>18</v>
      </c>
      <c r="D924" s="34">
        <v>6458</v>
      </c>
      <c r="E924" s="34">
        <v>39</v>
      </c>
      <c r="F924" s="34" t="s">
        <v>55</v>
      </c>
      <c r="G924" s="34">
        <v>0.93025942977907261</v>
      </c>
    </row>
    <row r="925" spans="1:7" x14ac:dyDescent="0.3">
      <c r="A925" s="34">
        <v>924</v>
      </c>
      <c r="B925" s="34">
        <v>196</v>
      </c>
      <c r="C925" s="34">
        <v>9</v>
      </c>
      <c r="D925" s="34">
        <v>1501</v>
      </c>
      <c r="E925" s="34">
        <v>34</v>
      </c>
      <c r="F925" s="34" t="s">
        <v>57</v>
      </c>
      <c r="G925" s="34">
        <v>0.93437936704915936</v>
      </c>
    </row>
    <row r="926" spans="1:7" x14ac:dyDescent="0.3">
      <c r="A926" s="34">
        <v>925</v>
      </c>
      <c r="B926" s="34">
        <v>918</v>
      </c>
      <c r="C926" s="34">
        <v>6</v>
      </c>
      <c r="D926" s="34">
        <v>14896</v>
      </c>
      <c r="E926" s="34">
        <v>68</v>
      </c>
      <c r="F926" s="34" t="s">
        <v>55</v>
      </c>
      <c r="G926" s="34">
        <v>0.93489339134188032</v>
      </c>
    </row>
    <row r="927" spans="1:7" x14ac:dyDescent="0.3">
      <c r="A927" s="34">
        <v>926</v>
      </c>
      <c r="B927" s="34">
        <v>888</v>
      </c>
      <c r="C927" s="34">
        <v>48</v>
      </c>
      <c r="D927" s="34">
        <v>15672</v>
      </c>
      <c r="E927" s="34">
        <v>23</v>
      </c>
      <c r="F927" s="34" t="s">
        <v>55</v>
      </c>
      <c r="G927" s="34">
        <v>0.93514174858650678</v>
      </c>
    </row>
    <row r="928" spans="1:7" x14ac:dyDescent="0.3">
      <c r="A928" s="34">
        <v>927</v>
      </c>
      <c r="B928" s="34">
        <v>356</v>
      </c>
      <c r="C928" s="34">
        <v>24</v>
      </c>
      <c r="D928" s="34">
        <v>1246</v>
      </c>
      <c r="E928" s="34">
        <v>23</v>
      </c>
      <c r="F928" s="34" t="s">
        <v>55</v>
      </c>
      <c r="G928" s="34">
        <v>0.93571384057950469</v>
      </c>
    </row>
    <row r="929" spans="1:7" x14ac:dyDescent="0.3">
      <c r="A929" s="34">
        <v>928</v>
      </c>
      <c r="B929" s="34">
        <v>785</v>
      </c>
      <c r="C929" s="34">
        <v>20</v>
      </c>
      <c r="D929" s="34">
        <v>6468</v>
      </c>
      <c r="E929" s="34">
        <v>60</v>
      </c>
      <c r="F929" s="34" t="s">
        <v>54</v>
      </c>
      <c r="G929" s="34">
        <v>0.9359970873679524</v>
      </c>
    </row>
    <row r="930" spans="1:7" x14ac:dyDescent="0.3">
      <c r="A930" s="34">
        <v>929</v>
      </c>
      <c r="B930" s="34">
        <v>199</v>
      </c>
      <c r="C930" s="34">
        <v>24</v>
      </c>
      <c r="D930" s="34">
        <v>2760</v>
      </c>
      <c r="E930" s="34">
        <v>36</v>
      </c>
      <c r="F930" s="34" t="s">
        <v>54</v>
      </c>
      <c r="G930" s="34">
        <v>0.93768679566160174</v>
      </c>
    </row>
    <row r="931" spans="1:7" x14ac:dyDescent="0.3">
      <c r="A931" s="34">
        <v>930</v>
      </c>
      <c r="B931" s="34">
        <v>891</v>
      </c>
      <c r="C931" s="34">
        <v>27</v>
      </c>
      <c r="D931" s="34">
        <v>2442</v>
      </c>
      <c r="E931" s="34">
        <v>43</v>
      </c>
      <c r="F931" s="34" t="s">
        <v>54</v>
      </c>
      <c r="G931" s="34">
        <v>0.93886543250174948</v>
      </c>
    </row>
    <row r="932" spans="1:7" x14ac:dyDescent="0.3">
      <c r="A932" s="34">
        <v>931</v>
      </c>
      <c r="B932" s="34">
        <v>801</v>
      </c>
      <c r="C932" s="34">
        <v>24</v>
      </c>
      <c r="D932" s="34">
        <v>1597</v>
      </c>
      <c r="E932" s="34">
        <v>54</v>
      </c>
      <c r="F932" s="34" t="s">
        <v>54</v>
      </c>
      <c r="G932" s="34">
        <v>0.94002493232807227</v>
      </c>
    </row>
    <row r="933" spans="1:7" x14ac:dyDescent="0.3">
      <c r="A933" s="34">
        <v>932</v>
      </c>
      <c r="B933" s="34">
        <v>662</v>
      </c>
      <c r="C933" s="34">
        <v>12</v>
      </c>
      <c r="D933" s="34">
        <v>900</v>
      </c>
      <c r="E933" s="34">
        <v>23</v>
      </c>
      <c r="F933" s="34" t="s">
        <v>55</v>
      </c>
      <c r="G933" s="34">
        <v>0.94082801555330187</v>
      </c>
    </row>
    <row r="934" spans="1:7" x14ac:dyDescent="0.3">
      <c r="A934" s="34">
        <v>933</v>
      </c>
      <c r="B934" s="34">
        <v>938</v>
      </c>
      <c r="C934" s="34">
        <v>6</v>
      </c>
      <c r="D934" s="34">
        <v>2063</v>
      </c>
      <c r="E934" s="34">
        <v>30</v>
      </c>
      <c r="F934" s="34" t="s">
        <v>54</v>
      </c>
      <c r="G934" s="34">
        <v>0.94188745677545305</v>
      </c>
    </row>
    <row r="935" spans="1:7" x14ac:dyDescent="0.3">
      <c r="A935" s="34">
        <v>934</v>
      </c>
      <c r="B935" s="34">
        <v>288</v>
      </c>
      <c r="C935" s="34">
        <v>48</v>
      </c>
      <c r="D935" s="34">
        <v>7582</v>
      </c>
      <c r="E935" s="34">
        <v>31</v>
      </c>
      <c r="F935" s="34" t="s">
        <v>54</v>
      </c>
      <c r="G935" s="34">
        <v>0.94305238132263713</v>
      </c>
    </row>
    <row r="936" spans="1:7" x14ac:dyDescent="0.3">
      <c r="A936" s="34">
        <v>935</v>
      </c>
      <c r="B936" s="34">
        <v>879</v>
      </c>
      <c r="C936" s="34">
        <v>9</v>
      </c>
      <c r="D936" s="34">
        <v>1422</v>
      </c>
      <c r="E936" s="34">
        <v>27</v>
      </c>
      <c r="F936" s="34" t="s">
        <v>55</v>
      </c>
      <c r="G936" s="34">
        <v>0.94390907530479939</v>
      </c>
    </row>
    <row r="937" spans="1:7" x14ac:dyDescent="0.3">
      <c r="A937" s="34">
        <v>936</v>
      </c>
      <c r="B937" s="34">
        <v>183</v>
      </c>
      <c r="C937" s="34">
        <v>21</v>
      </c>
      <c r="D937" s="34">
        <v>1647</v>
      </c>
      <c r="E937" s="34">
        <v>40</v>
      </c>
      <c r="F937" s="34" t="s">
        <v>55</v>
      </c>
      <c r="G937" s="34">
        <v>0.94454347636298586</v>
      </c>
    </row>
    <row r="938" spans="1:7" x14ac:dyDescent="0.3">
      <c r="A938" s="34">
        <v>937</v>
      </c>
      <c r="B938" s="34">
        <v>886</v>
      </c>
      <c r="C938" s="34">
        <v>12</v>
      </c>
      <c r="D938" s="34">
        <v>795</v>
      </c>
      <c r="E938" s="34">
        <v>53</v>
      </c>
      <c r="F938" s="34" t="s">
        <v>57</v>
      </c>
      <c r="G938" s="34">
        <v>0.94596116411075992</v>
      </c>
    </row>
    <row r="939" spans="1:7" x14ac:dyDescent="0.3">
      <c r="A939" s="34">
        <v>938</v>
      </c>
      <c r="B939" s="34">
        <v>807</v>
      </c>
      <c r="C939" s="34">
        <v>6</v>
      </c>
      <c r="D939" s="34">
        <v>590</v>
      </c>
      <c r="E939" s="34">
        <v>26</v>
      </c>
      <c r="F939" s="34" t="s">
        <v>54</v>
      </c>
      <c r="G939" s="34">
        <v>0.9463048388561428</v>
      </c>
    </row>
    <row r="940" spans="1:7" x14ac:dyDescent="0.3">
      <c r="A940" s="34">
        <v>939</v>
      </c>
      <c r="B940" s="34">
        <v>836</v>
      </c>
      <c r="C940" s="34">
        <v>12</v>
      </c>
      <c r="D940" s="34">
        <v>1082</v>
      </c>
      <c r="E940" s="34">
        <v>48</v>
      </c>
      <c r="F940" s="34" t="s">
        <v>55</v>
      </c>
      <c r="G940" s="34">
        <v>0.94681789874301192</v>
      </c>
    </row>
    <row r="941" spans="1:7" x14ac:dyDescent="0.3">
      <c r="A941" s="34">
        <v>940</v>
      </c>
      <c r="B941" s="34">
        <v>695</v>
      </c>
      <c r="C941" s="34">
        <v>24</v>
      </c>
      <c r="D941" s="34">
        <v>2284</v>
      </c>
      <c r="E941" s="34">
        <v>28</v>
      </c>
      <c r="F941" s="34" t="s">
        <v>54</v>
      </c>
      <c r="G941" s="34">
        <v>0.94689113997785379</v>
      </c>
    </row>
    <row r="942" spans="1:7" x14ac:dyDescent="0.3">
      <c r="A942" s="34">
        <v>941</v>
      </c>
      <c r="B942" s="34">
        <v>881</v>
      </c>
      <c r="C942" s="34">
        <v>24</v>
      </c>
      <c r="D942" s="34">
        <v>7814</v>
      </c>
      <c r="E942" s="34">
        <v>38</v>
      </c>
      <c r="F942" s="34" t="s">
        <v>54</v>
      </c>
      <c r="G942" s="34">
        <v>0.94759135884816725</v>
      </c>
    </row>
    <row r="943" spans="1:7" x14ac:dyDescent="0.3">
      <c r="A943" s="34">
        <v>942</v>
      </c>
      <c r="B943" s="34">
        <v>132</v>
      </c>
      <c r="C943" s="34">
        <v>36</v>
      </c>
      <c r="D943" s="34">
        <v>6887</v>
      </c>
      <c r="E943" s="34">
        <v>29</v>
      </c>
      <c r="F943" s="34" t="s">
        <v>55</v>
      </c>
      <c r="G943" s="34">
        <v>0.94825652814413153</v>
      </c>
    </row>
    <row r="944" spans="1:7" x14ac:dyDescent="0.3">
      <c r="A944" s="34">
        <v>943</v>
      </c>
      <c r="B944" s="34">
        <v>425</v>
      </c>
      <c r="C944" s="34">
        <v>12</v>
      </c>
      <c r="D944" s="34">
        <v>2762</v>
      </c>
      <c r="E944" s="34">
        <v>25</v>
      </c>
      <c r="F944" s="34" t="s">
        <v>57</v>
      </c>
      <c r="G944" s="34">
        <v>0.94853980103999369</v>
      </c>
    </row>
    <row r="945" spans="1:7" x14ac:dyDescent="0.3">
      <c r="A945" s="34">
        <v>944</v>
      </c>
      <c r="B945" s="34">
        <v>158</v>
      </c>
      <c r="C945" s="34">
        <v>12</v>
      </c>
      <c r="D945" s="34">
        <v>339</v>
      </c>
      <c r="E945" s="34">
        <v>45</v>
      </c>
      <c r="F945" s="34" t="s">
        <v>54</v>
      </c>
      <c r="G945" s="34">
        <v>0.94880524158473123</v>
      </c>
    </row>
    <row r="946" spans="1:7" x14ac:dyDescent="0.3">
      <c r="A946" s="34">
        <v>945</v>
      </c>
      <c r="B946" s="34">
        <v>991</v>
      </c>
      <c r="C946" s="34">
        <v>12</v>
      </c>
      <c r="D946" s="34">
        <v>3565</v>
      </c>
      <c r="E946" s="34">
        <v>37</v>
      </c>
      <c r="F946" s="34" t="s">
        <v>54</v>
      </c>
      <c r="G946" s="34">
        <v>0.94956257133684485</v>
      </c>
    </row>
    <row r="947" spans="1:7" x14ac:dyDescent="0.3">
      <c r="A947" s="34">
        <v>946</v>
      </c>
      <c r="B947" s="34">
        <v>309</v>
      </c>
      <c r="C947" s="34">
        <v>8</v>
      </c>
      <c r="D947" s="34">
        <v>1237</v>
      </c>
      <c r="E947" s="34">
        <v>24</v>
      </c>
      <c r="F947" s="34" t="s">
        <v>57</v>
      </c>
      <c r="G947" s="34">
        <v>0.94995166169926337</v>
      </c>
    </row>
    <row r="948" spans="1:7" x14ac:dyDescent="0.3">
      <c r="A948" s="34">
        <v>947</v>
      </c>
      <c r="B948" s="34">
        <v>638</v>
      </c>
      <c r="C948" s="34">
        <v>60</v>
      </c>
      <c r="D948" s="34">
        <v>15653</v>
      </c>
      <c r="E948" s="34">
        <v>21</v>
      </c>
      <c r="F948" s="34" t="s">
        <v>54</v>
      </c>
      <c r="G948" s="34">
        <v>0.95280313941521877</v>
      </c>
    </row>
    <row r="949" spans="1:7" x14ac:dyDescent="0.3">
      <c r="A949" s="34">
        <v>948</v>
      </c>
      <c r="B949" s="34">
        <v>968</v>
      </c>
      <c r="C949" s="34">
        <v>15</v>
      </c>
      <c r="D949" s="34">
        <v>3568</v>
      </c>
      <c r="E949" s="34">
        <v>54</v>
      </c>
      <c r="F949" s="34" t="s">
        <v>56</v>
      </c>
      <c r="G949" s="34">
        <v>0.95399226381266111</v>
      </c>
    </row>
    <row r="950" spans="1:7" x14ac:dyDescent="0.3">
      <c r="A950" s="34">
        <v>949</v>
      </c>
      <c r="B950" s="34">
        <v>379</v>
      </c>
      <c r="C950" s="34">
        <v>36</v>
      </c>
      <c r="D950" s="34">
        <v>14318</v>
      </c>
      <c r="E950" s="34">
        <v>57</v>
      </c>
      <c r="F950" s="34" t="s">
        <v>55</v>
      </c>
      <c r="G950" s="34">
        <v>0.95608717863551473</v>
      </c>
    </row>
    <row r="951" spans="1:7" x14ac:dyDescent="0.3">
      <c r="A951" s="34">
        <v>950</v>
      </c>
      <c r="B951" s="34">
        <v>78</v>
      </c>
      <c r="C951" s="34">
        <v>11</v>
      </c>
      <c r="D951" s="34">
        <v>4771</v>
      </c>
      <c r="E951" s="34">
        <v>51</v>
      </c>
      <c r="F951" s="34" t="s">
        <v>54</v>
      </c>
      <c r="G951" s="34">
        <v>0.95616221566330528</v>
      </c>
    </row>
    <row r="952" spans="1:7" x14ac:dyDescent="0.3">
      <c r="A952" s="34">
        <v>951</v>
      </c>
      <c r="B952" s="34">
        <v>921</v>
      </c>
      <c r="C952" s="34">
        <v>18</v>
      </c>
      <c r="D952" s="34">
        <v>1817</v>
      </c>
      <c r="E952" s="34">
        <v>28</v>
      </c>
      <c r="F952" s="34" t="s">
        <v>56</v>
      </c>
      <c r="G952" s="34">
        <v>0.95866237145043931</v>
      </c>
    </row>
    <row r="953" spans="1:7" x14ac:dyDescent="0.3">
      <c r="A953" s="34">
        <v>952</v>
      </c>
      <c r="B953" s="34">
        <v>268</v>
      </c>
      <c r="C953" s="34">
        <v>24</v>
      </c>
      <c r="D953" s="34">
        <v>1533</v>
      </c>
      <c r="E953" s="34">
        <v>38</v>
      </c>
      <c r="F953" s="34" t="s">
        <v>56</v>
      </c>
      <c r="G953" s="34">
        <v>0.95917184825829782</v>
      </c>
    </row>
    <row r="954" spans="1:7" x14ac:dyDescent="0.3">
      <c r="A954" s="34">
        <v>953</v>
      </c>
      <c r="B954" s="34">
        <v>927</v>
      </c>
      <c r="C954" s="34">
        <v>18</v>
      </c>
      <c r="D954" s="34">
        <v>1049</v>
      </c>
      <c r="E954" s="34">
        <v>21</v>
      </c>
      <c r="F954" s="34" t="s">
        <v>56</v>
      </c>
      <c r="G954" s="34">
        <v>0.96071571591526406</v>
      </c>
    </row>
    <row r="955" spans="1:7" x14ac:dyDescent="0.3">
      <c r="A955" s="34">
        <v>954</v>
      </c>
      <c r="B955" s="34">
        <v>334</v>
      </c>
      <c r="C955" s="34">
        <v>48</v>
      </c>
      <c r="D955" s="34">
        <v>11590</v>
      </c>
      <c r="E955" s="34">
        <v>24</v>
      </c>
      <c r="F955" s="34" t="s">
        <v>57</v>
      </c>
      <c r="G955" s="34">
        <v>0.96098204957332967</v>
      </c>
    </row>
    <row r="956" spans="1:7" x14ac:dyDescent="0.3">
      <c r="A956" s="34">
        <v>955</v>
      </c>
      <c r="B956" s="34">
        <v>637</v>
      </c>
      <c r="C956" s="34">
        <v>24</v>
      </c>
      <c r="D956" s="34">
        <v>1376</v>
      </c>
      <c r="E956" s="34">
        <v>28</v>
      </c>
      <c r="F956" s="34" t="s">
        <v>56</v>
      </c>
      <c r="G956" s="34">
        <v>0.96316703101618217</v>
      </c>
    </row>
    <row r="957" spans="1:7" x14ac:dyDescent="0.3">
      <c r="A957" s="34">
        <v>956</v>
      </c>
      <c r="B957" s="34">
        <v>722</v>
      </c>
      <c r="C957" s="34">
        <v>6</v>
      </c>
      <c r="D957" s="34">
        <v>433</v>
      </c>
      <c r="E957" s="34">
        <v>24</v>
      </c>
      <c r="F957" s="34" t="s">
        <v>57</v>
      </c>
      <c r="G957" s="34">
        <v>0.96365902264073688</v>
      </c>
    </row>
    <row r="958" spans="1:7" x14ac:dyDescent="0.3">
      <c r="A958" s="34">
        <v>957</v>
      </c>
      <c r="B958" s="34">
        <v>529</v>
      </c>
      <c r="C958" s="34">
        <v>36</v>
      </c>
      <c r="D958" s="34">
        <v>2302</v>
      </c>
      <c r="E958" s="34">
        <v>31</v>
      </c>
      <c r="F958" s="34" t="s">
        <v>55</v>
      </c>
      <c r="G958" s="34">
        <v>0.96405055751888846</v>
      </c>
    </row>
    <row r="959" spans="1:7" x14ac:dyDescent="0.3">
      <c r="A959" s="34">
        <v>958</v>
      </c>
      <c r="B959" s="34">
        <v>870</v>
      </c>
      <c r="C959" s="34">
        <v>12</v>
      </c>
      <c r="D959" s="34">
        <v>652</v>
      </c>
      <c r="E959" s="34">
        <v>24</v>
      </c>
      <c r="F959" s="34" t="s">
        <v>56</v>
      </c>
      <c r="G959" s="34">
        <v>0.9647780250563105</v>
      </c>
    </row>
    <row r="960" spans="1:7" x14ac:dyDescent="0.3">
      <c r="A960" s="34">
        <v>959</v>
      </c>
      <c r="B960" s="34">
        <v>168</v>
      </c>
      <c r="C960" s="34">
        <v>11</v>
      </c>
      <c r="D960" s="34">
        <v>1577</v>
      </c>
      <c r="E960" s="34">
        <v>20</v>
      </c>
      <c r="F960" s="34" t="s">
        <v>56</v>
      </c>
      <c r="G960" s="34">
        <v>0.96665145306022704</v>
      </c>
    </row>
    <row r="961" spans="1:7" x14ac:dyDescent="0.3">
      <c r="A961" s="34">
        <v>960</v>
      </c>
      <c r="B961" s="34">
        <v>774</v>
      </c>
      <c r="C961" s="34">
        <v>24</v>
      </c>
      <c r="D961" s="34">
        <v>2223</v>
      </c>
      <c r="E961" s="34">
        <v>52</v>
      </c>
      <c r="F961" s="34" t="s">
        <v>54</v>
      </c>
      <c r="G961" s="34">
        <v>0.96667453115280499</v>
      </c>
    </row>
    <row r="962" spans="1:7" x14ac:dyDescent="0.3">
      <c r="A962" s="34">
        <v>961</v>
      </c>
      <c r="B962" s="34">
        <v>387</v>
      </c>
      <c r="C962" s="34">
        <v>18</v>
      </c>
      <c r="D962" s="34">
        <v>1126</v>
      </c>
      <c r="E962" s="34">
        <v>21</v>
      </c>
      <c r="F962" s="34" t="s">
        <v>56</v>
      </c>
      <c r="G962" s="34">
        <v>0.96696443459539783</v>
      </c>
    </row>
    <row r="963" spans="1:7" x14ac:dyDescent="0.3">
      <c r="A963" s="34">
        <v>962</v>
      </c>
      <c r="B963" s="34">
        <v>994</v>
      </c>
      <c r="C963" s="34">
        <v>36</v>
      </c>
      <c r="D963" s="34">
        <v>3959</v>
      </c>
      <c r="E963" s="34">
        <v>30</v>
      </c>
      <c r="F963" s="34" t="s">
        <v>54</v>
      </c>
      <c r="G963" s="34">
        <v>0.9672563122354394</v>
      </c>
    </row>
    <row r="964" spans="1:7" x14ac:dyDescent="0.3">
      <c r="A964" s="34">
        <v>963</v>
      </c>
      <c r="B964" s="34">
        <v>956</v>
      </c>
      <c r="C964" s="34">
        <v>24</v>
      </c>
      <c r="D964" s="34">
        <v>1231</v>
      </c>
      <c r="E964" s="34">
        <v>57</v>
      </c>
      <c r="F964" s="34" t="s">
        <v>56</v>
      </c>
      <c r="G964" s="34">
        <v>0.96773392482957388</v>
      </c>
    </row>
    <row r="965" spans="1:7" x14ac:dyDescent="0.3">
      <c r="A965" s="34">
        <v>964</v>
      </c>
      <c r="B965" s="34">
        <v>997</v>
      </c>
      <c r="C965" s="34">
        <v>30</v>
      </c>
      <c r="D965" s="34">
        <v>3857</v>
      </c>
      <c r="E965" s="34">
        <v>40</v>
      </c>
      <c r="F965" s="34" t="s">
        <v>54</v>
      </c>
      <c r="G965" s="34">
        <v>0.96875897743426387</v>
      </c>
    </row>
    <row r="966" spans="1:7" x14ac:dyDescent="0.3">
      <c r="A966" s="34">
        <v>965</v>
      </c>
      <c r="B966" s="34">
        <v>999</v>
      </c>
      <c r="C966" s="34">
        <v>45</v>
      </c>
      <c r="D966" s="34">
        <v>1845</v>
      </c>
      <c r="E966" s="34">
        <v>23</v>
      </c>
      <c r="F966" s="34" t="s">
        <v>55</v>
      </c>
      <c r="G966" s="34">
        <v>0.96933746277855248</v>
      </c>
    </row>
    <row r="967" spans="1:7" x14ac:dyDescent="0.3">
      <c r="A967" s="34">
        <v>966</v>
      </c>
      <c r="B967" s="34">
        <v>265</v>
      </c>
      <c r="C967" s="34">
        <v>10</v>
      </c>
      <c r="D967" s="34">
        <v>1231</v>
      </c>
      <c r="E967" s="34">
        <v>32</v>
      </c>
      <c r="F967" s="34" t="s">
        <v>54</v>
      </c>
      <c r="G967" s="34">
        <v>0.97021830646934615</v>
      </c>
    </row>
    <row r="968" spans="1:7" x14ac:dyDescent="0.3">
      <c r="A968" s="34">
        <v>967</v>
      </c>
      <c r="B968" s="34">
        <v>570</v>
      </c>
      <c r="C968" s="34">
        <v>48</v>
      </c>
      <c r="D968" s="34">
        <v>6758</v>
      </c>
      <c r="E968" s="34">
        <v>31</v>
      </c>
      <c r="F968" s="34" t="s">
        <v>57</v>
      </c>
      <c r="G968" s="34">
        <v>0.97076679937568355</v>
      </c>
    </row>
    <row r="969" spans="1:7" x14ac:dyDescent="0.3">
      <c r="A969" s="34">
        <v>968</v>
      </c>
      <c r="B969" s="34">
        <v>18</v>
      </c>
      <c r="C969" s="34">
        <v>30</v>
      </c>
      <c r="D969" s="34">
        <v>8072</v>
      </c>
      <c r="E969" s="34">
        <v>25</v>
      </c>
      <c r="F969" s="34" t="s">
        <v>54</v>
      </c>
      <c r="G969" s="34">
        <v>0.97220025217558526</v>
      </c>
    </row>
    <row r="970" spans="1:7" x14ac:dyDescent="0.3">
      <c r="A970" s="34">
        <v>969</v>
      </c>
      <c r="B970" s="34">
        <v>537</v>
      </c>
      <c r="C970" s="34">
        <v>6</v>
      </c>
      <c r="D970" s="34">
        <v>1374</v>
      </c>
      <c r="E970" s="34">
        <v>75</v>
      </c>
      <c r="F970" s="34" t="s">
        <v>56</v>
      </c>
      <c r="G970" s="34">
        <v>0.97227500637240116</v>
      </c>
    </row>
    <row r="971" spans="1:7" x14ac:dyDescent="0.3">
      <c r="A971" s="34">
        <v>970</v>
      </c>
      <c r="B971" s="34">
        <v>195</v>
      </c>
      <c r="C971" s="34">
        <v>45</v>
      </c>
      <c r="D971" s="34">
        <v>3031</v>
      </c>
      <c r="E971" s="34">
        <v>21</v>
      </c>
      <c r="F971" s="34" t="s">
        <v>55</v>
      </c>
      <c r="G971" s="34">
        <v>0.97392042314183902</v>
      </c>
    </row>
    <row r="972" spans="1:7" x14ac:dyDescent="0.3">
      <c r="A972" s="34">
        <v>971</v>
      </c>
      <c r="B972" s="34">
        <v>474</v>
      </c>
      <c r="C972" s="34">
        <v>6</v>
      </c>
      <c r="D972" s="34">
        <v>1238</v>
      </c>
      <c r="E972" s="34">
        <v>36</v>
      </c>
      <c r="F972" s="34" t="s">
        <v>54</v>
      </c>
      <c r="G972" s="34">
        <v>0.97402724270997543</v>
      </c>
    </row>
    <row r="973" spans="1:7" x14ac:dyDescent="0.3">
      <c r="A973" s="34">
        <v>972</v>
      </c>
      <c r="B973" s="34">
        <v>24</v>
      </c>
      <c r="C973" s="34">
        <v>12</v>
      </c>
      <c r="D973" s="34">
        <v>1804</v>
      </c>
      <c r="E973" s="34">
        <v>44</v>
      </c>
      <c r="F973" s="34" t="s">
        <v>54</v>
      </c>
      <c r="G973" s="34">
        <v>0.97408137046544041</v>
      </c>
    </row>
    <row r="974" spans="1:7" x14ac:dyDescent="0.3">
      <c r="A974" s="34">
        <v>973</v>
      </c>
      <c r="B974" s="34">
        <v>91</v>
      </c>
      <c r="C974" s="34">
        <v>12</v>
      </c>
      <c r="D974" s="34">
        <v>618</v>
      </c>
      <c r="E974" s="34">
        <v>56</v>
      </c>
      <c r="F974" s="34" t="s">
        <v>54</v>
      </c>
      <c r="G974" s="34">
        <v>0.97551979495699948</v>
      </c>
    </row>
    <row r="975" spans="1:7" x14ac:dyDescent="0.3">
      <c r="A975" s="34">
        <v>974</v>
      </c>
      <c r="B975" s="34">
        <v>837</v>
      </c>
      <c r="C975" s="34">
        <v>12</v>
      </c>
      <c r="D975" s="34">
        <v>886</v>
      </c>
      <c r="E975" s="34">
        <v>21</v>
      </c>
      <c r="F975" s="34" t="s">
        <v>56</v>
      </c>
      <c r="G975" s="34">
        <v>0.97696590309883313</v>
      </c>
    </row>
    <row r="976" spans="1:7" x14ac:dyDescent="0.3">
      <c r="A976" s="34">
        <v>975</v>
      </c>
      <c r="B976" s="34">
        <v>623</v>
      </c>
      <c r="C976" s="34">
        <v>48</v>
      </c>
      <c r="D976" s="34">
        <v>3914</v>
      </c>
      <c r="E976" s="34">
        <v>38</v>
      </c>
      <c r="F976" s="34" t="s">
        <v>55</v>
      </c>
      <c r="G976" s="34">
        <v>0.97723862728995692</v>
      </c>
    </row>
    <row r="977" spans="1:7" x14ac:dyDescent="0.3">
      <c r="A977" s="34">
        <v>976</v>
      </c>
      <c r="B977" s="34">
        <v>667</v>
      </c>
      <c r="C977" s="34">
        <v>30</v>
      </c>
      <c r="D977" s="34">
        <v>3496</v>
      </c>
      <c r="E977" s="34">
        <v>34</v>
      </c>
      <c r="F977" s="34" t="s">
        <v>54</v>
      </c>
      <c r="G977" s="34">
        <v>0.97726802374497657</v>
      </c>
    </row>
    <row r="978" spans="1:7" x14ac:dyDescent="0.3">
      <c r="A978" s="34">
        <v>977</v>
      </c>
      <c r="B978" s="34">
        <v>839</v>
      </c>
      <c r="C978" s="34">
        <v>24</v>
      </c>
      <c r="D978" s="34">
        <v>2957</v>
      </c>
      <c r="E978" s="34">
        <v>63</v>
      </c>
      <c r="F978" s="34" t="s">
        <v>54</v>
      </c>
      <c r="G978" s="34">
        <v>0.9782786190144509</v>
      </c>
    </row>
    <row r="979" spans="1:7" x14ac:dyDescent="0.3">
      <c r="A979" s="34">
        <v>978</v>
      </c>
      <c r="B979" s="34">
        <v>524</v>
      </c>
      <c r="C979" s="34">
        <v>24</v>
      </c>
      <c r="D979" s="34">
        <v>3488</v>
      </c>
      <c r="E979" s="34">
        <v>23</v>
      </c>
      <c r="F979" s="34" t="s">
        <v>56</v>
      </c>
      <c r="G979" s="34">
        <v>0.97917358244157215</v>
      </c>
    </row>
    <row r="980" spans="1:7" x14ac:dyDescent="0.3">
      <c r="A980" s="34">
        <v>979</v>
      </c>
      <c r="B980" s="34">
        <v>160</v>
      </c>
      <c r="C980" s="34">
        <v>6</v>
      </c>
      <c r="D980" s="34">
        <v>1898</v>
      </c>
      <c r="E980" s="34">
        <v>34</v>
      </c>
      <c r="F980" s="34" t="s">
        <v>54</v>
      </c>
      <c r="G980" s="34">
        <v>0.97925917038320165</v>
      </c>
    </row>
    <row r="981" spans="1:7" x14ac:dyDescent="0.3">
      <c r="A981" s="34">
        <v>980</v>
      </c>
      <c r="B981" s="34">
        <v>796</v>
      </c>
      <c r="C981" s="34">
        <v>9</v>
      </c>
      <c r="D981" s="34">
        <v>2301</v>
      </c>
      <c r="E981" s="34">
        <v>22</v>
      </c>
      <c r="F981" s="34" t="s">
        <v>56</v>
      </c>
      <c r="G981" s="34">
        <v>0.97941838831706329</v>
      </c>
    </row>
    <row r="982" spans="1:7" x14ac:dyDescent="0.3">
      <c r="A982" s="34">
        <v>981</v>
      </c>
      <c r="B982" s="34">
        <v>121</v>
      </c>
      <c r="C982" s="34">
        <v>21</v>
      </c>
      <c r="D982" s="34">
        <v>1835</v>
      </c>
      <c r="E982" s="34">
        <v>25</v>
      </c>
      <c r="F982" s="34" t="s">
        <v>57</v>
      </c>
      <c r="G982" s="34">
        <v>0.97961574714001709</v>
      </c>
    </row>
    <row r="983" spans="1:7" x14ac:dyDescent="0.3">
      <c r="A983" s="34">
        <v>982</v>
      </c>
      <c r="B983" s="34">
        <v>613</v>
      </c>
      <c r="C983" s="34">
        <v>21</v>
      </c>
      <c r="D983" s="34">
        <v>3357</v>
      </c>
      <c r="E983" s="34">
        <v>29</v>
      </c>
      <c r="F983" s="34" t="s">
        <v>56</v>
      </c>
      <c r="G983" s="34">
        <v>0.98019206035421047</v>
      </c>
    </row>
    <row r="984" spans="1:7" x14ac:dyDescent="0.3">
      <c r="A984" s="34">
        <v>983</v>
      </c>
      <c r="B984" s="34">
        <v>568</v>
      </c>
      <c r="C984" s="34">
        <v>24</v>
      </c>
      <c r="D984" s="34">
        <v>2578</v>
      </c>
      <c r="E984" s="34">
        <v>34</v>
      </c>
      <c r="F984" s="34" t="s">
        <v>54</v>
      </c>
      <c r="G984" s="34">
        <v>0.98084401425676437</v>
      </c>
    </row>
    <row r="985" spans="1:7" x14ac:dyDescent="0.3">
      <c r="A985" s="34">
        <v>984</v>
      </c>
      <c r="B985" s="34">
        <v>983</v>
      </c>
      <c r="C985" s="34">
        <v>21</v>
      </c>
      <c r="D985" s="34">
        <v>2923</v>
      </c>
      <c r="E985" s="34">
        <v>28</v>
      </c>
      <c r="F985" s="34" t="s">
        <v>56</v>
      </c>
      <c r="G985" s="34">
        <v>0.98222823285557004</v>
      </c>
    </row>
    <row r="986" spans="1:7" x14ac:dyDescent="0.3">
      <c r="A986" s="34">
        <v>985</v>
      </c>
      <c r="B986" s="34">
        <v>949</v>
      </c>
      <c r="C986" s="34">
        <v>18</v>
      </c>
      <c r="D986" s="34">
        <v>1533</v>
      </c>
      <c r="E986" s="34">
        <v>43</v>
      </c>
      <c r="F986" s="34" t="s">
        <v>55</v>
      </c>
      <c r="G986" s="34">
        <v>0.98298962326650374</v>
      </c>
    </row>
    <row r="987" spans="1:7" x14ac:dyDescent="0.3">
      <c r="A987" s="34">
        <v>986</v>
      </c>
      <c r="B987" s="34">
        <v>440</v>
      </c>
      <c r="C987" s="34">
        <v>12</v>
      </c>
      <c r="D987" s="34">
        <v>609</v>
      </c>
      <c r="E987" s="34">
        <v>26</v>
      </c>
      <c r="F987" s="34" t="s">
        <v>57</v>
      </c>
      <c r="G987" s="34">
        <v>0.98394628704647757</v>
      </c>
    </row>
    <row r="988" spans="1:7" x14ac:dyDescent="0.3">
      <c r="A988" s="34">
        <v>987</v>
      </c>
      <c r="B988" s="34">
        <v>201</v>
      </c>
      <c r="C988" s="34">
        <v>9</v>
      </c>
      <c r="D988" s="34">
        <v>936</v>
      </c>
      <c r="E988" s="34">
        <v>52</v>
      </c>
      <c r="F988" s="34" t="s">
        <v>54</v>
      </c>
      <c r="G988" s="34">
        <v>0.98431383805353267</v>
      </c>
    </row>
    <row r="989" spans="1:7" x14ac:dyDescent="0.3">
      <c r="A989" s="34">
        <v>988</v>
      </c>
      <c r="B989" s="34">
        <v>834</v>
      </c>
      <c r="C989" s="34">
        <v>24</v>
      </c>
      <c r="D989" s="34">
        <v>5084</v>
      </c>
      <c r="E989" s="34">
        <v>42</v>
      </c>
      <c r="F989" s="34" t="s">
        <v>56</v>
      </c>
      <c r="G989" s="34">
        <v>0.98477702237622644</v>
      </c>
    </row>
    <row r="990" spans="1:7" x14ac:dyDescent="0.3">
      <c r="A990" s="34">
        <v>989</v>
      </c>
      <c r="B990" s="34">
        <v>65</v>
      </c>
      <c r="C990" s="34">
        <v>24</v>
      </c>
      <c r="D990" s="34">
        <v>3181</v>
      </c>
      <c r="E990" s="34">
        <v>26</v>
      </c>
      <c r="F990" s="34" t="s">
        <v>56</v>
      </c>
      <c r="G990" s="34">
        <v>0.98819805384851689</v>
      </c>
    </row>
    <row r="991" spans="1:7" x14ac:dyDescent="0.3">
      <c r="A991" s="34">
        <v>990</v>
      </c>
      <c r="B991" s="34">
        <v>477</v>
      </c>
      <c r="C991" s="34">
        <v>39</v>
      </c>
      <c r="D991" s="34">
        <v>2569</v>
      </c>
      <c r="E991" s="34">
        <v>24</v>
      </c>
      <c r="F991" s="34" t="s">
        <v>54</v>
      </c>
      <c r="G991" s="34">
        <v>0.98835747742660107</v>
      </c>
    </row>
    <row r="992" spans="1:7" x14ac:dyDescent="0.3">
      <c r="A992" s="34">
        <v>991</v>
      </c>
      <c r="B992" s="34">
        <v>249</v>
      </c>
      <c r="C992" s="34">
        <v>24</v>
      </c>
      <c r="D992" s="34">
        <v>1925</v>
      </c>
      <c r="E992" s="34">
        <v>26</v>
      </c>
      <c r="F992" s="34" t="s">
        <v>54</v>
      </c>
      <c r="G992" s="34">
        <v>0.98948410689838462</v>
      </c>
    </row>
    <row r="993" spans="1:7" x14ac:dyDescent="0.3">
      <c r="A993" s="34">
        <v>992</v>
      </c>
      <c r="B993" s="34">
        <v>187</v>
      </c>
      <c r="C993" s="34">
        <v>9</v>
      </c>
      <c r="D993" s="34">
        <v>5129</v>
      </c>
      <c r="E993" s="34">
        <v>74</v>
      </c>
      <c r="F993" s="34" t="s">
        <v>57</v>
      </c>
      <c r="G993" s="34">
        <v>0.98964442448829226</v>
      </c>
    </row>
    <row r="994" spans="1:7" x14ac:dyDescent="0.3">
      <c r="A994" s="34">
        <v>993</v>
      </c>
      <c r="B994" s="34">
        <v>838</v>
      </c>
      <c r="C994" s="34">
        <v>4</v>
      </c>
      <c r="D994" s="34">
        <v>601</v>
      </c>
      <c r="E994" s="34">
        <v>23</v>
      </c>
      <c r="F994" s="34" t="s">
        <v>56</v>
      </c>
      <c r="G994" s="34">
        <v>0.98993905947657757</v>
      </c>
    </row>
    <row r="995" spans="1:7" x14ac:dyDescent="0.3">
      <c r="A995" s="34">
        <v>994</v>
      </c>
      <c r="B995" s="34">
        <v>572</v>
      </c>
      <c r="C995" s="34">
        <v>30</v>
      </c>
      <c r="D995" s="34">
        <v>5954</v>
      </c>
      <c r="E995" s="34">
        <v>38</v>
      </c>
      <c r="F995" s="34" t="s">
        <v>54</v>
      </c>
      <c r="G995" s="34">
        <v>0.99158490584055203</v>
      </c>
    </row>
    <row r="996" spans="1:7" x14ac:dyDescent="0.3">
      <c r="A996" s="34">
        <v>995</v>
      </c>
      <c r="B996" s="34">
        <v>308</v>
      </c>
      <c r="C996" s="34">
        <v>12</v>
      </c>
      <c r="D996" s="34">
        <v>727</v>
      </c>
      <c r="E996" s="34">
        <v>33</v>
      </c>
      <c r="F996" s="34" t="s">
        <v>55</v>
      </c>
      <c r="G996" s="34">
        <v>0.99176343134054523</v>
      </c>
    </row>
    <row r="997" spans="1:7" x14ac:dyDescent="0.3">
      <c r="A997" s="34">
        <v>996</v>
      </c>
      <c r="B997" s="34">
        <v>178</v>
      </c>
      <c r="C997" s="34">
        <v>6</v>
      </c>
      <c r="D997" s="34">
        <v>338</v>
      </c>
      <c r="E997" s="34">
        <v>52</v>
      </c>
      <c r="F997" s="34" t="s">
        <v>54</v>
      </c>
      <c r="G997" s="34">
        <v>0.99187795577001114</v>
      </c>
    </row>
    <row r="998" spans="1:7" x14ac:dyDescent="0.3">
      <c r="A998" s="34">
        <v>997</v>
      </c>
      <c r="B998" s="34">
        <v>246</v>
      </c>
      <c r="C998" s="34">
        <v>24</v>
      </c>
      <c r="D998" s="34">
        <v>1258</v>
      </c>
      <c r="E998" s="34">
        <v>25</v>
      </c>
      <c r="F998" s="34" t="s">
        <v>54</v>
      </c>
      <c r="G998" s="34">
        <v>0.99266100221992903</v>
      </c>
    </row>
    <row r="999" spans="1:7" x14ac:dyDescent="0.3">
      <c r="A999" s="34">
        <v>998</v>
      </c>
      <c r="B999" s="34">
        <v>144</v>
      </c>
      <c r="C999" s="34">
        <v>18</v>
      </c>
      <c r="D999" s="34">
        <v>2462</v>
      </c>
      <c r="E999" s="34">
        <v>22</v>
      </c>
      <c r="F999" s="34" t="s">
        <v>55</v>
      </c>
      <c r="G999" s="34">
        <v>0.99628010876833628</v>
      </c>
    </row>
    <row r="1000" spans="1:7" x14ac:dyDescent="0.3">
      <c r="A1000" s="34">
        <v>999</v>
      </c>
      <c r="B1000" s="34">
        <v>233</v>
      </c>
      <c r="C1000" s="34">
        <v>12</v>
      </c>
      <c r="D1000" s="34">
        <v>2141</v>
      </c>
      <c r="E1000" s="34">
        <v>35</v>
      </c>
      <c r="F1000" s="34" t="s">
        <v>54</v>
      </c>
      <c r="G1000" s="34">
        <v>0.99680380312611194</v>
      </c>
    </row>
    <row r="1001" spans="1:7" x14ac:dyDescent="0.3">
      <c r="A1001" s="35">
        <v>1000</v>
      </c>
      <c r="B1001" s="35">
        <v>99</v>
      </c>
      <c r="C1001" s="35">
        <v>36</v>
      </c>
      <c r="D1001" s="35">
        <v>2337</v>
      </c>
      <c r="E1001" s="35">
        <v>36</v>
      </c>
      <c r="F1001" s="34" t="s">
        <v>54</v>
      </c>
      <c r="G1001" s="35">
        <v>0.99797598196134263</v>
      </c>
    </row>
  </sheetData>
  <sortState xmlns:xlrd2="http://schemas.microsoft.com/office/spreadsheetml/2017/richdata2" ref="B2:F1001">
    <sortCondition ref="F2:F10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35A3-0B53-48D0-8EBB-95423B2536CE}">
  <sheetPr>
    <tabColor theme="5" tint="0.59999389629810485"/>
  </sheetPr>
  <dimension ref="A1:Q329"/>
  <sheetViews>
    <sheetView topLeftCell="A50" zoomScale="130" zoomScaleNormal="130" workbookViewId="0">
      <selection activeCell="K35" sqref="K35"/>
    </sheetView>
  </sheetViews>
  <sheetFormatPr defaultColWidth="9.109375" defaultRowHeight="14.4" x14ac:dyDescent="0.3"/>
  <cols>
    <col min="1" max="2" width="9.109375" style="43"/>
    <col min="3" max="3" width="15.6640625" style="43" customWidth="1"/>
    <col min="4" max="4" width="15.109375" style="43" customWidth="1"/>
    <col min="5" max="5" width="9.109375" style="43"/>
    <col min="6" max="6" width="13.44140625" style="43" customWidth="1"/>
    <col min="7" max="7" width="9.109375" style="43"/>
    <col min="8" max="8" width="9.88671875" style="43" customWidth="1"/>
    <col min="9" max="9" width="10" style="43" customWidth="1"/>
    <col min="10" max="16384" width="9.109375" style="43"/>
  </cols>
  <sheetData>
    <row r="1" spans="1:17" ht="15" thickBot="1" x14ac:dyDescent="0.35"/>
    <row r="2" spans="1:17" ht="15" thickBot="1" x14ac:dyDescent="0.35">
      <c r="B2" s="296" t="s">
        <v>195</v>
      </c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8"/>
    </row>
    <row r="3" spans="1:17" ht="15" customHeight="1" x14ac:dyDescent="0.3">
      <c r="B3" s="299" t="s">
        <v>282</v>
      </c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1"/>
    </row>
    <row r="4" spans="1:17" ht="14.25" customHeight="1" x14ac:dyDescent="0.3">
      <c r="B4" s="290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2"/>
    </row>
    <row r="5" spans="1:17" ht="15" customHeight="1" thickBot="1" x14ac:dyDescent="0.35">
      <c r="B5" s="293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5"/>
    </row>
    <row r="6" spans="1:17" ht="15" customHeight="1" x14ac:dyDescent="0.3"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</row>
    <row r="7" spans="1:17" x14ac:dyDescent="0.3">
      <c r="F7" s="43" t="s">
        <v>136</v>
      </c>
    </row>
    <row r="8" spans="1:17" x14ac:dyDescent="0.3">
      <c r="C8" s="85" t="s">
        <v>23</v>
      </c>
      <c r="D8" s="85" t="s">
        <v>74</v>
      </c>
      <c r="F8" s="188" t="s">
        <v>197</v>
      </c>
    </row>
    <row r="9" spans="1:17" x14ac:dyDescent="0.3">
      <c r="A9" s="37" t="s">
        <v>13</v>
      </c>
      <c r="B9" s="37" t="s">
        <v>12</v>
      </c>
      <c r="C9" s="37" t="s">
        <v>63</v>
      </c>
      <c r="D9" s="41" t="s">
        <v>126</v>
      </c>
      <c r="F9" t="s">
        <v>134</v>
      </c>
    </row>
    <row r="10" spans="1:17" ht="15.6" x14ac:dyDescent="0.3">
      <c r="A10" s="48">
        <v>1</v>
      </c>
      <c r="B10" s="48">
        <v>608</v>
      </c>
      <c r="C10" s="48">
        <v>36</v>
      </c>
      <c r="D10" s="49">
        <v>2671</v>
      </c>
      <c r="F10" s="69" t="s">
        <v>14</v>
      </c>
      <c r="G10" s="47">
        <v>1000</v>
      </c>
    </row>
    <row r="11" spans="1:17" ht="15.6" x14ac:dyDescent="0.3">
      <c r="A11" s="48">
        <v>2</v>
      </c>
      <c r="B11" s="48">
        <v>388</v>
      </c>
      <c r="C11" s="48">
        <v>18</v>
      </c>
      <c r="D11" s="49">
        <v>7374</v>
      </c>
      <c r="F11" s="69" t="s">
        <v>16</v>
      </c>
      <c r="G11" s="47">
        <v>300</v>
      </c>
    </row>
    <row r="12" spans="1:17" ht="15.6" x14ac:dyDescent="0.3">
      <c r="A12" s="48">
        <v>3</v>
      </c>
      <c r="B12" s="48">
        <v>385</v>
      </c>
      <c r="C12" s="48">
        <v>30</v>
      </c>
      <c r="D12" s="49">
        <v>4272</v>
      </c>
      <c r="F12" s="69" t="s">
        <v>20</v>
      </c>
      <c r="G12" s="47">
        <v>2</v>
      </c>
      <c r="P12" s="50"/>
    </row>
    <row r="13" spans="1:17" ht="15.6" x14ac:dyDescent="0.3">
      <c r="A13" s="48">
        <v>4</v>
      </c>
      <c r="B13" s="48">
        <v>453</v>
      </c>
      <c r="C13" s="48">
        <v>12</v>
      </c>
      <c r="D13" s="49">
        <v>2759</v>
      </c>
      <c r="F13" s="69" t="str">
        <f xml:space="preserve"> "X" &amp; _xlfn.UNICHAR(773)</f>
        <v>X̅</v>
      </c>
      <c r="G13" s="55">
        <f>AVERAGE(lpbz!D2:D1001)</f>
        <v>3271.2579999999998</v>
      </c>
    </row>
    <row r="14" spans="1:17" x14ac:dyDescent="0.3">
      <c r="A14" s="48">
        <v>5</v>
      </c>
      <c r="B14" s="48">
        <v>169</v>
      </c>
      <c r="C14" s="48">
        <v>24</v>
      </c>
      <c r="D14" s="49">
        <v>3972</v>
      </c>
    </row>
    <row r="15" spans="1:17" x14ac:dyDescent="0.3">
      <c r="A15" s="48">
        <v>6</v>
      </c>
      <c r="B15" s="48">
        <v>811</v>
      </c>
      <c r="C15" s="48">
        <v>8</v>
      </c>
      <c r="D15" s="49">
        <v>907</v>
      </c>
      <c r="F15" s="43" t="s">
        <v>240</v>
      </c>
    </row>
    <row r="16" spans="1:17" ht="15.6" x14ac:dyDescent="0.3">
      <c r="A16" s="48">
        <v>7</v>
      </c>
      <c r="B16" s="48">
        <v>564</v>
      </c>
      <c r="C16" s="48">
        <v>36</v>
      </c>
      <c r="D16" s="49">
        <v>12389</v>
      </c>
      <c r="F16" s="68" t="s">
        <v>17</v>
      </c>
      <c r="G16" s="47">
        <f>_xlfn.VAR.S(C10:C309)</f>
        <v>154.96878483835002</v>
      </c>
      <c r="N16" s="5"/>
      <c r="Q16" s="5"/>
    </row>
    <row r="17" spans="1:10" ht="15.6" x14ac:dyDescent="0.3">
      <c r="A17" s="48">
        <v>8</v>
      </c>
      <c r="B17" s="48">
        <v>802</v>
      </c>
      <c r="C17" s="48">
        <v>18</v>
      </c>
      <c r="D17" s="49">
        <v>1795</v>
      </c>
      <c r="F17" s="68" t="s">
        <v>18</v>
      </c>
      <c r="G17" s="47">
        <f>KURT(C10:C309)+3</f>
        <v>3.7590577718725</v>
      </c>
    </row>
    <row r="18" spans="1:10" ht="15.6" x14ac:dyDescent="0.3">
      <c r="A18" s="48">
        <v>9</v>
      </c>
      <c r="B18" s="48">
        <v>136</v>
      </c>
      <c r="C18" s="48">
        <v>12</v>
      </c>
      <c r="D18" s="49">
        <v>1240</v>
      </c>
      <c r="F18" s="68" t="s">
        <v>189</v>
      </c>
      <c r="G18" s="47">
        <f>SQRT((G17-((G11-3)/(G11-1)))/G11)</f>
        <v>9.6016434966159178E-2</v>
      </c>
      <c r="H18" s="50" t="s">
        <v>192</v>
      </c>
    </row>
    <row r="19" spans="1:10" x14ac:dyDescent="0.3">
      <c r="A19" s="48">
        <v>10</v>
      </c>
      <c r="B19" s="48">
        <v>597</v>
      </c>
      <c r="C19" s="48">
        <v>24</v>
      </c>
      <c r="D19" s="49">
        <v>1442</v>
      </c>
      <c r="E19" s="42"/>
    </row>
    <row r="20" spans="1:10" x14ac:dyDescent="0.3">
      <c r="A20" s="48">
        <v>11</v>
      </c>
      <c r="B20" s="48">
        <v>256</v>
      </c>
      <c r="C20" s="48">
        <v>60</v>
      </c>
      <c r="D20" s="49">
        <v>7418</v>
      </c>
      <c r="E20" s="42"/>
      <c r="F20" s="42" t="s">
        <v>241</v>
      </c>
      <c r="G20" s="42"/>
      <c r="H20" s="42"/>
    </row>
    <row r="21" spans="1:10" ht="15.6" x14ac:dyDescent="0.3">
      <c r="A21" s="48">
        <v>12</v>
      </c>
      <c r="B21" s="48">
        <v>255</v>
      </c>
      <c r="C21" s="48">
        <v>9</v>
      </c>
      <c r="D21" s="49">
        <v>2030</v>
      </c>
      <c r="E21" s="42"/>
      <c r="F21" s="66" t="str">
        <f xml:space="preserve"> "x" &amp; _xlfn.UNICHAR(773)</f>
        <v>x̅</v>
      </c>
      <c r="G21" s="55">
        <f>AVERAGE(D10:D309)</f>
        <v>3341.0333333333333</v>
      </c>
      <c r="H21" s="42"/>
    </row>
    <row r="22" spans="1:10" ht="19.2" x14ac:dyDescent="0.45">
      <c r="A22" s="48">
        <v>13</v>
      </c>
      <c r="B22" s="48">
        <v>421</v>
      </c>
      <c r="C22" s="48">
        <v>15</v>
      </c>
      <c r="D22" s="49">
        <v>3186</v>
      </c>
      <c r="F22" s="67" t="s">
        <v>65</v>
      </c>
      <c r="G22" s="55">
        <f>_xlfn.STDEV.S(D10:D309)</f>
        <v>2919.0516096651181</v>
      </c>
      <c r="H22" s="42"/>
    </row>
    <row r="23" spans="1:10" ht="15.6" x14ac:dyDescent="0.3">
      <c r="A23" s="48">
        <v>14</v>
      </c>
      <c r="B23" s="48">
        <v>573</v>
      </c>
      <c r="C23" s="48">
        <v>24</v>
      </c>
      <c r="D23" s="49">
        <v>5433</v>
      </c>
      <c r="E23" s="42"/>
      <c r="F23" s="66" t="str">
        <f xml:space="preserve"> "V(" &amp; "x" &amp; _xlfn.UNICHAR(773) &amp;")"</f>
        <v>V(x̅)</v>
      </c>
      <c r="G23" s="55">
        <f>SQRT(1-(G11/G10))*((G22/G21)/SQRT(G11))</f>
        <v>4.2203586332799171E-2</v>
      </c>
      <c r="H23" s="44" t="s">
        <v>137</v>
      </c>
    </row>
    <row r="24" spans="1:10" ht="15.6" x14ac:dyDescent="0.3">
      <c r="A24" s="48">
        <v>15</v>
      </c>
      <c r="B24" s="48">
        <v>294</v>
      </c>
      <c r="C24" s="48">
        <v>42</v>
      </c>
      <c r="D24" s="49">
        <v>4796</v>
      </c>
      <c r="E24" s="42"/>
      <c r="F24" s="66" t="str">
        <f xml:space="preserve"> "y" &amp; _xlfn.UNICHAR(773)</f>
        <v>y̅</v>
      </c>
      <c r="G24" s="57">
        <f>AVERAGE(C10:C309)</f>
        <v>21.166666666666668</v>
      </c>
      <c r="H24" s="42"/>
    </row>
    <row r="25" spans="1:10" ht="19.2" x14ac:dyDescent="0.45">
      <c r="A25" s="48">
        <v>16</v>
      </c>
      <c r="B25" s="48">
        <v>17</v>
      </c>
      <c r="C25" s="48">
        <v>24</v>
      </c>
      <c r="D25" s="49">
        <v>2424</v>
      </c>
      <c r="E25" s="42"/>
      <c r="F25" s="66" t="s">
        <v>66</v>
      </c>
      <c r="G25" s="55">
        <f>_xlfn.STDEV.S(C10:C309)</f>
        <v>12.448645903806165</v>
      </c>
      <c r="H25" s="42"/>
    </row>
    <row r="26" spans="1:10" ht="15.6" x14ac:dyDescent="0.3">
      <c r="A26" s="48">
        <v>17</v>
      </c>
      <c r="B26" s="48">
        <v>899</v>
      </c>
      <c r="C26" s="48">
        <v>15</v>
      </c>
      <c r="D26" s="49">
        <v>2186</v>
      </c>
      <c r="E26" s="42"/>
      <c r="F26" s="66" t="str">
        <f xml:space="preserve"> "V(" &amp; "y" &amp; _xlfn.UNICHAR(773) &amp;")"</f>
        <v>V(y̅)</v>
      </c>
      <c r="G26" s="55">
        <f>SQRT(1-(G11/G10))*((G25/G24)/SQRT(G11))</f>
        <v>2.8409136657002055E-2</v>
      </c>
      <c r="H26" s="44" t="s">
        <v>137</v>
      </c>
    </row>
    <row r="27" spans="1:10" ht="15.6" x14ac:dyDescent="0.3">
      <c r="A27" s="48">
        <v>18</v>
      </c>
      <c r="B27" s="48">
        <v>232</v>
      </c>
      <c r="C27" s="48">
        <v>9</v>
      </c>
      <c r="D27" s="49">
        <v>2507</v>
      </c>
      <c r="E27" s="42"/>
      <c r="F27" s="66" t="s">
        <v>25</v>
      </c>
      <c r="G27" s="55">
        <f>G24/G21</f>
        <v>6.3353653061428107E-3</v>
      </c>
    </row>
    <row r="28" spans="1:10" ht="15.6" x14ac:dyDescent="0.3">
      <c r="A28" s="48">
        <v>19</v>
      </c>
      <c r="B28" s="48">
        <v>948</v>
      </c>
      <c r="C28" s="48">
        <v>12</v>
      </c>
      <c r="D28" s="49">
        <v>2859</v>
      </c>
      <c r="E28" s="42"/>
      <c r="F28" s="66" t="s">
        <v>27</v>
      </c>
      <c r="G28" s="55" cm="1">
        <f t="array" ref="G28">SUM((C10:C309-G27*D10:D309)^2)/(G11-1)</f>
        <v>203.30701138399428</v>
      </c>
      <c r="H28" s="42"/>
      <c r="I28" s="42"/>
    </row>
    <row r="29" spans="1:10" x14ac:dyDescent="0.3">
      <c r="A29" s="48">
        <v>20</v>
      </c>
      <c r="B29" s="48">
        <v>744</v>
      </c>
      <c r="C29" s="48">
        <v>24</v>
      </c>
      <c r="D29" s="49">
        <v>2483</v>
      </c>
      <c r="G29" s="42"/>
      <c r="H29" s="42"/>
      <c r="I29" s="42"/>
    </row>
    <row r="30" spans="1:10" x14ac:dyDescent="0.3">
      <c r="A30" s="48">
        <v>21</v>
      </c>
      <c r="B30" s="48">
        <v>671</v>
      </c>
      <c r="C30" s="48">
        <v>24</v>
      </c>
      <c r="D30" s="49">
        <v>4139</v>
      </c>
      <c r="F30" s="42" t="s">
        <v>242</v>
      </c>
      <c r="I30" s="42"/>
      <c r="J30" s="42"/>
    </row>
    <row r="31" spans="1:10" x14ac:dyDescent="0.3">
      <c r="A31" s="48">
        <v>22</v>
      </c>
      <c r="B31" s="48">
        <v>204</v>
      </c>
      <c r="C31" s="48">
        <v>12</v>
      </c>
      <c r="D31" s="49">
        <v>902</v>
      </c>
      <c r="E31" s="42"/>
      <c r="F31" s="42" t="s">
        <v>138</v>
      </c>
      <c r="G31" s="43" t="s">
        <v>139</v>
      </c>
      <c r="I31" s="42"/>
      <c r="J31" s="42"/>
    </row>
    <row r="32" spans="1:10" x14ac:dyDescent="0.3">
      <c r="A32" s="48">
        <v>23</v>
      </c>
      <c r="B32" s="48">
        <v>718</v>
      </c>
      <c r="C32" s="48">
        <v>18</v>
      </c>
      <c r="D32" s="49">
        <v>1505</v>
      </c>
      <c r="E32" s="42"/>
      <c r="F32" s="42" t="s">
        <v>198</v>
      </c>
      <c r="G32" s="42"/>
      <c r="H32" s="42"/>
      <c r="J32" s="42"/>
    </row>
    <row r="33" spans="1:16" ht="15.6" x14ac:dyDescent="0.3">
      <c r="A33" s="48">
        <v>24</v>
      </c>
      <c r="B33" s="48">
        <v>472</v>
      </c>
      <c r="C33" s="48">
        <v>6</v>
      </c>
      <c r="D33" s="49">
        <v>448</v>
      </c>
      <c r="E33" s="42"/>
      <c r="F33" s="42"/>
      <c r="G33" s="65" t="s">
        <v>28</v>
      </c>
      <c r="H33" s="65" t="s">
        <v>29</v>
      </c>
      <c r="I33" s="42"/>
      <c r="J33" s="42"/>
      <c r="P33" s="51"/>
    </row>
    <row r="34" spans="1:16" x14ac:dyDescent="0.3">
      <c r="A34" s="48">
        <v>25</v>
      </c>
      <c r="B34" s="48">
        <v>940</v>
      </c>
      <c r="C34" s="48">
        <v>24</v>
      </c>
      <c r="D34" s="49">
        <v>6842</v>
      </c>
      <c r="E34" s="42"/>
      <c r="F34" s="42"/>
      <c r="G34" s="55" cm="1">
        <f t="array" ref="G34:H34">LINEST(C10:C309,D10:D309,TRUE)</f>
        <v>2.7199636705476553E-3</v>
      </c>
      <c r="H34" s="55">
        <v>12.079177377911266</v>
      </c>
      <c r="I34" s="42"/>
    </row>
    <row r="35" spans="1:16" ht="19.2" x14ac:dyDescent="0.45">
      <c r="A35" s="48">
        <v>26</v>
      </c>
      <c r="B35" s="48">
        <v>577</v>
      </c>
      <c r="C35" s="48">
        <v>12</v>
      </c>
      <c r="D35" s="49">
        <v>2930</v>
      </c>
      <c r="F35" s="70" t="s">
        <v>64</v>
      </c>
      <c r="G35" s="55" cm="1">
        <f t="array" ref="G35">SUM((C10:C309-G34*D10:D309-H34)^2)/(G11-1)</f>
        <v>91.929721184547944</v>
      </c>
      <c r="H35" s="42"/>
    </row>
    <row r="36" spans="1:16" x14ac:dyDescent="0.3">
      <c r="A36" s="48">
        <v>27</v>
      </c>
      <c r="B36" s="48">
        <v>786</v>
      </c>
      <c r="C36" s="48">
        <v>18</v>
      </c>
      <c r="D36" s="49">
        <v>1941</v>
      </c>
    </row>
    <row r="37" spans="1:16" x14ac:dyDescent="0.3">
      <c r="A37" s="48">
        <v>28</v>
      </c>
      <c r="B37" s="48">
        <v>274</v>
      </c>
      <c r="C37" s="48">
        <v>48</v>
      </c>
      <c r="D37" s="49">
        <v>3060</v>
      </c>
    </row>
    <row r="38" spans="1:16" x14ac:dyDescent="0.3">
      <c r="A38" s="48">
        <v>29</v>
      </c>
      <c r="B38" s="48">
        <v>703</v>
      </c>
      <c r="C38" s="48">
        <v>24</v>
      </c>
      <c r="D38" s="49">
        <v>1377</v>
      </c>
      <c r="F38" s="54" t="s">
        <v>24</v>
      </c>
    </row>
    <row r="39" spans="1:16" x14ac:dyDescent="0.3">
      <c r="A39" s="48">
        <v>30</v>
      </c>
      <c r="B39" s="48">
        <v>340</v>
      </c>
      <c r="C39" s="48">
        <v>10</v>
      </c>
      <c r="D39" s="49">
        <v>1521</v>
      </c>
      <c r="F39" s="52"/>
      <c r="G39" s="53" t="s">
        <v>30</v>
      </c>
      <c r="H39" s="53" t="s">
        <v>31</v>
      </c>
      <c r="I39" s="53" t="s">
        <v>32</v>
      </c>
    </row>
    <row r="40" spans="1:16" ht="15.6" x14ac:dyDescent="0.3">
      <c r="A40" s="48">
        <v>31</v>
      </c>
      <c r="B40" s="48">
        <v>322</v>
      </c>
      <c r="C40" s="48">
        <v>24</v>
      </c>
      <c r="D40" s="49">
        <v>1938</v>
      </c>
      <c r="F40" s="71" t="s">
        <v>15</v>
      </c>
      <c r="G40" s="42">
        <f>ROUNDUP(G10/(1+((G10*G12^2)/(4*G16))),0)</f>
        <v>135</v>
      </c>
      <c r="H40" s="42">
        <f>ROUNDUP(G10/(1+((G10*G12^2)/(9*G28))),0)</f>
        <v>314</v>
      </c>
      <c r="I40" s="42">
        <f>ROUNDUP(G10/(1+((G10*G12^2)/(9*G35))),0)</f>
        <v>172</v>
      </c>
    </row>
    <row r="41" spans="1:16" x14ac:dyDescent="0.3">
      <c r="A41" s="48">
        <v>32</v>
      </c>
      <c r="B41" s="48">
        <v>960</v>
      </c>
      <c r="C41" s="48">
        <v>24</v>
      </c>
      <c r="D41" s="49">
        <v>3069</v>
      </c>
      <c r="F41" s="42"/>
      <c r="G41" s="42"/>
      <c r="H41" s="42"/>
      <c r="I41" s="42"/>
    </row>
    <row r="42" spans="1:16" x14ac:dyDescent="0.3">
      <c r="A42" s="48">
        <v>33</v>
      </c>
      <c r="B42" s="48">
        <v>176</v>
      </c>
      <c r="C42" s="48">
        <v>30</v>
      </c>
      <c r="D42" s="49">
        <v>7485</v>
      </c>
      <c r="F42" s="43" t="s">
        <v>200</v>
      </c>
    </row>
    <row r="43" spans="1:16" x14ac:dyDescent="0.3">
      <c r="A43" s="48">
        <v>34</v>
      </c>
      <c r="B43" s="48">
        <v>360</v>
      </c>
      <c r="C43" s="48">
        <v>30</v>
      </c>
      <c r="D43" s="49">
        <v>2406</v>
      </c>
      <c r="F43" s="43" t="s">
        <v>199</v>
      </c>
    </row>
    <row r="44" spans="1:16" x14ac:dyDescent="0.3">
      <c r="A44" s="48">
        <v>35</v>
      </c>
      <c r="B44" s="48">
        <v>944</v>
      </c>
      <c r="C44" s="48">
        <v>4</v>
      </c>
      <c r="D44" s="49">
        <v>1455</v>
      </c>
      <c r="F44" s="43" t="s">
        <v>201</v>
      </c>
    </row>
    <row r="45" spans="1:16" x14ac:dyDescent="0.3">
      <c r="A45" s="48">
        <v>36</v>
      </c>
      <c r="B45" s="48">
        <v>743</v>
      </c>
      <c r="C45" s="48">
        <v>21</v>
      </c>
      <c r="D45" s="49">
        <v>3160</v>
      </c>
    </row>
    <row r="46" spans="1:16" ht="15.6" x14ac:dyDescent="0.3">
      <c r="A46" s="48">
        <v>37</v>
      </c>
      <c r="B46" s="48">
        <v>412</v>
      </c>
      <c r="C46" s="48">
        <v>33</v>
      </c>
      <c r="D46" s="49">
        <v>7253</v>
      </c>
      <c r="F46" s="69" t="s">
        <v>14</v>
      </c>
      <c r="G46" s="47">
        <v>1000</v>
      </c>
    </row>
    <row r="47" spans="1:16" ht="15.6" x14ac:dyDescent="0.3">
      <c r="A47" s="48">
        <v>38</v>
      </c>
      <c r="B47" s="48">
        <v>224</v>
      </c>
      <c r="C47" s="48">
        <v>24</v>
      </c>
      <c r="D47" s="49">
        <v>2978</v>
      </c>
      <c r="F47" s="69" t="s">
        <v>16</v>
      </c>
      <c r="G47" s="47">
        <v>320</v>
      </c>
    </row>
    <row r="48" spans="1:16" ht="15.6" x14ac:dyDescent="0.3">
      <c r="A48" s="48">
        <v>39</v>
      </c>
      <c r="B48" s="48">
        <v>803</v>
      </c>
      <c r="C48" s="48">
        <v>20</v>
      </c>
      <c r="D48" s="49">
        <v>4272</v>
      </c>
      <c r="F48" s="69" t="s">
        <v>20</v>
      </c>
      <c r="G48" s="47">
        <v>2</v>
      </c>
    </row>
    <row r="49" spans="1:13" ht="15.6" x14ac:dyDescent="0.3">
      <c r="A49" s="48">
        <v>40</v>
      </c>
      <c r="B49" s="48">
        <v>962</v>
      </c>
      <c r="C49" s="48">
        <v>21</v>
      </c>
      <c r="D49" s="49">
        <v>2353</v>
      </c>
      <c r="F49" s="69" t="str">
        <f xml:space="preserve"> "X" &amp; _xlfn.UNICHAR(773)</f>
        <v>X̅</v>
      </c>
      <c r="G49" s="55">
        <f>AVERAGE(lpbz!D2:D1001)</f>
        <v>3271.2579999999998</v>
      </c>
    </row>
    <row r="50" spans="1:13" x14ac:dyDescent="0.3">
      <c r="A50" s="48">
        <v>41</v>
      </c>
      <c r="B50" s="48">
        <v>654</v>
      </c>
      <c r="C50" s="48">
        <v>36</v>
      </c>
      <c r="D50" s="49">
        <v>8086</v>
      </c>
    </row>
    <row r="51" spans="1:13" x14ac:dyDescent="0.3">
      <c r="A51" s="48">
        <v>42</v>
      </c>
      <c r="B51" s="48">
        <v>559</v>
      </c>
      <c r="C51" s="48">
        <v>24</v>
      </c>
      <c r="D51" s="49">
        <v>3552</v>
      </c>
      <c r="F51" s="43" t="s">
        <v>240</v>
      </c>
    </row>
    <row r="52" spans="1:13" ht="15.6" x14ac:dyDescent="0.3">
      <c r="A52" s="48">
        <v>43</v>
      </c>
      <c r="B52" s="48">
        <v>747</v>
      </c>
      <c r="C52" s="48">
        <v>15</v>
      </c>
      <c r="D52" s="49">
        <v>2511</v>
      </c>
      <c r="F52" s="68" t="s">
        <v>17</v>
      </c>
      <c r="G52" s="47">
        <f>_xlfn.VAR.S(C10:C329)</f>
        <v>150.34160462382442</v>
      </c>
    </row>
    <row r="53" spans="1:13" ht="15.6" x14ac:dyDescent="0.3">
      <c r="A53" s="48">
        <v>44</v>
      </c>
      <c r="B53" s="48">
        <v>789</v>
      </c>
      <c r="C53" s="48">
        <v>48</v>
      </c>
      <c r="D53" s="49">
        <v>6224</v>
      </c>
      <c r="F53" s="68" t="s">
        <v>18</v>
      </c>
      <c r="G53" s="47">
        <f>KURT(C10:C329)+3</f>
        <v>3.8272271223196275</v>
      </c>
    </row>
    <row r="54" spans="1:13" ht="15.6" x14ac:dyDescent="0.3">
      <c r="A54" s="48">
        <v>45</v>
      </c>
      <c r="B54" s="48">
        <v>793</v>
      </c>
      <c r="C54" s="48">
        <v>6</v>
      </c>
      <c r="D54" s="49">
        <v>1221</v>
      </c>
      <c r="F54" s="68" t="s">
        <v>19</v>
      </c>
      <c r="G54" s="47">
        <f>SQRT((G53-((G47-3)/(G47-1)))/G47)</f>
        <v>9.4099294544315606E-2</v>
      </c>
      <c r="H54" s="50" t="s">
        <v>192</v>
      </c>
    </row>
    <row r="55" spans="1:13" x14ac:dyDescent="0.3">
      <c r="A55" s="48">
        <v>46</v>
      </c>
      <c r="B55" s="48">
        <v>846</v>
      </c>
      <c r="C55" s="48">
        <v>21</v>
      </c>
      <c r="D55" s="49">
        <v>3976</v>
      </c>
      <c r="E55" s="42"/>
    </row>
    <row r="56" spans="1:13" x14ac:dyDescent="0.3">
      <c r="A56" s="48">
        <v>47</v>
      </c>
      <c r="B56" s="48">
        <v>749</v>
      </c>
      <c r="C56" s="48">
        <v>21</v>
      </c>
      <c r="D56" s="49">
        <v>5248</v>
      </c>
      <c r="E56" s="42"/>
      <c r="F56" s="42" t="s">
        <v>241</v>
      </c>
      <c r="G56" s="42"/>
      <c r="H56" s="42"/>
    </row>
    <row r="57" spans="1:13" ht="15.6" x14ac:dyDescent="0.3">
      <c r="A57" s="48">
        <v>48</v>
      </c>
      <c r="B57" s="48">
        <v>315</v>
      </c>
      <c r="C57" s="48">
        <v>4</v>
      </c>
      <c r="D57" s="49">
        <v>1494</v>
      </c>
      <c r="E57" s="42"/>
      <c r="F57" s="66" t="str">
        <f xml:space="preserve"> "x" &amp; _xlfn.UNICHAR(773)</f>
        <v>x̅</v>
      </c>
      <c r="G57" s="55">
        <f>AVERAGE(D10:D329)</f>
        <v>3288.6312499999999</v>
      </c>
      <c r="H57" s="42"/>
    </row>
    <row r="58" spans="1:13" ht="19.2" x14ac:dyDescent="0.45">
      <c r="A58" s="48">
        <v>49</v>
      </c>
      <c r="B58" s="48">
        <v>650</v>
      </c>
      <c r="C58" s="48">
        <v>12</v>
      </c>
      <c r="D58" s="49">
        <v>684</v>
      </c>
      <c r="E58" s="42"/>
      <c r="F58" s="67" t="s">
        <v>65</v>
      </c>
      <c r="G58" s="55">
        <f>_xlfn.STDEV.S(D10:D329)</f>
        <v>2857.6230243841815</v>
      </c>
      <c r="H58" s="42"/>
    </row>
    <row r="59" spans="1:13" ht="15.6" x14ac:dyDescent="0.3">
      <c r="A59" s="48">
        <v>50</v>
      </c>
      <c r="B59" s="48">
        <v>371</v>
      </c>
      <c r="C59" s="48">
        <v>36</v>
      </c>
      <c r="D59" s="49">
        <v>3079</v>
      </c>
      <c r="E59" s="42"/>
      <c r="F59" s="66" t="str">
        <f xml:space="preserve"> "V(" &amp; "x" &amp; _xlfn.UNICHAR(773) &amp;")"</f>
        <v>V(x̅)</v>
      </c>
      <c r="G59" s="55">
        <f>SQRT(1-(G47/G46))*((G58/G57)/SQRT(G47))</f>
        <v>4.0056151804027454E-2</v>
      </c>
      <c r="H59" s="44" t="s">
        <v>137</v>
      </c>
    </row>
    <row r="60" spans="1:13" ht="15.6" x14ac:dyDescent="0.3">
      <c r="A60" s="48">
        <v>51</v>
      </c>
      <c r="B60" s="48">
        <v>277</v>
      </c>
      <c r="C60" s="48">
        <v>18</v>
      </c>
      <c r="D60" s="49">
        <v>2404</v>
      </c>
      <c r="E60" s="42"/>
      <c r="F60" s="66" t="str">
        <f xml:space="preserve"> "y" &amp; _xlfn.UNICHAR(773)</f>
        <v>y̅</v>
      </c>
      <c r="G60" s="57">
        <f>AVERAGE(C10:C329)</f>
        <v>21.009374999999999</v>
      </c>
      <c r="H60" s="42"/>
    </row>
    <row r="61" spans="1:13" ht="19.2" x14ac:dyDescent="0.45">
      <c r="A61" s="48">
        <v>52</v>
      </c>
      <c r="B61" s="48">
        <v>275</v>
      </c>
      <c r="C61" s="48">
        <v>30</v>
      </c>
      <c r="D61" s="49">
        <v>11998</v>
      </c>
      <c r="E61" s="42"/>
      <c r="F61" s="66" t="s">
        <v>66</v>
      </c>
      <c r="G61" s="55">
        <f>_xlfn.STDEV.S(C10:C329)</f>
        <v>12.261386733311385</v>
      </c>
      <c r="H61" s="42"/>
    </row>
    <row r="62" spans="1:13" ht="15.6" x14ac:dyDescent="0.3">
      <c r="A62" s="48">
        <v>53</v>
      </c>
      <c r="B62" s="48">
        <v>898</v>
      </c>
      <c r="C62" s="48">
        <v>12</v>
      </c>
      <c r="D62" s="49">
        <v>1592</v>
      </c>
      <c r="E62" s="42"/>
      <c r="F62" s="66" t="str">
        <f xml:space="preserve"> "V(" &amp; "y" &amp; _xlfn.UNICHAR(773) &amp;")"</f>
        <v>V(y̅)</v>
      </c>
      <c r="G62" s="55">
        <f>SQRT(1-(G47/G46))*((G61/G60)/SQRT(G47))</f>
        <v>2.690332294412031E-2</v>
      </c>
      <c r="H62" s="44" t="s">
        <v>137</v>
      </c>
    </row>
    <row r="63" spans="1:13" ht="15.6" x14ac:dyDescent="0.3">
      <c r="A63" s="48">
        <v>54</v>
      </c>
      <c r="B63" s="48">
        <v>934</v>
      </c>
      <c r="C63" s="48">
        <v>12</v>
      </c>
      <c r="D63" s="49">
        <v>522</v>
      </c>
      <c r="E63" s="42"/>
      <c r="F63" s="66" t="s">
        <v>25</v>
      </c>
      <c r="G63" s="55">
        <f>G60/G57</f>
        <v>6.3884860912879786E-3</v>
      </c>
      <c r="M63" s="42"/>
    </row>
    <row r="64" spans="1:13" ht="15.6" x14ac:dyDescent="0.3">
      <c r="A64" s="48">
        <v>55</v>
      </c>
      <c r="B64" s="48">
        <v>762</v>
      </c>
      <c r="C64" s="48">
        <v>18</v>
      </c>
      <c r="D64" s="49">
        <v>2124</v>
      </c>
      <c r="E64" s="42"/>
      <c r="F64" s="66" t="s">
        <v>27</v>
      </c>
      <c r="G64" s="55" cm="1">
        <f t="array" ref="G64">SUM((C10:C329-G63*D10:D329)^2)/(G47-1)</f>
        <v>197.51589295992241</v>
      </c>
    </row>
    <row r="65" spans="1:12" x14ac:dyDescent="0.3">
      <c r="A65" s="48">
        <v>56</v>
      </c>
      <c r="B65" s="48">
        <v>278</v>
      </c>
      <c r="C65" s="48">
        <v>12</v>
      </c>
      <c r="D65" s="49">
        <v>1262</v>
      </c>
      <c r="E65" s="42"/>
      <c r="H65" s="42"/>
      <c r="I65" s="42"/>
    </row>
    <row r="66" spans="1:12" x14ac:dyDescent="0.3">
      <c r="A66" s="48">
        <v>57</v>
      </c>
      <c r="B66" s="48">
        <v>27</v>
      </c>
      <c r="C66" s="48">
        <v>6</v>
      </c>
      <c r="D66" s="49">
        <v>426</v>
      </c>
      <c r="E66" s="42"/>
      <c r="F66" s="42" t="s">
        <v>242</v>
      </c>
      <c r="H66" s="42"/>
      <c r="I66" s="42"/>
    </row>
    <row r="67" spans="1:12" x14ac:dyDescent="0.3">
      <c r="A67" s="48">
        <v>58</v>
      </c>
      <c r="B67" s="48">
        <v>327</v>
      </c>
      <c r="C67" s="48">
        <v>12</v>
      </c>
      <c r="D67" s="49">
        <v>5801</v>
      </c>
      <c r="E67" s="42"/>
      <c r="F67" s="42" t="s">
        <v>138</v>
      </c>
      <c r="G67" s="43" t="s">
        <v>139</v>
      </c>
      <c r="H67" s="42"/>
      <c r="I67" s="42"/>
      <c r="L67" s="42"/>
    </row>
    <row r="68" spans="1:12" x14ac:dyDescent="0.3">
      <c r="A68" s="48">
        <v>59</v>
      </c>
      <c r="B68" s="48">
        <v>961</v>
      </c>
      <c r="C68" s="48">
        <v>6</v>
      </c>
      <c r="D68" s="49">
        <v>1740</v>
      </c>
      <c r="E68" s="42"/>
      <c r="F68" s="42" t="s">
        <v>198</v>
      </c>
      <c r="G68" s="42"/>
      <c r="H68" s="42"/>
      <c r="I68" s="42"/>
    </row>
    <row r="69" spans="1:12" x14ac:dyDescent="0.3">
      <c r="A69" s="48">
        <v>60</v>
      </c>
      <c r="B69" s="48">
        <v>118</v>
      </c>
      <c r="C69" s="48">
        <v>10</v>
      </c>
      <c r="D69" s="49">
        <v>2132</v>
      </c>
      <c r="E69" s="42"/>
      <c r="F69" s="42"/>
      <c r="G69" s="45" t="s">
        <v>28</v>
      </c>
      <c r="H69" s="45" t="s">
        <v>29</v>
      </c>
      <c r="I69" s="42"/>
    </row>
    <row r="70" spans="1:12" x14ac:dyDescent="0.3">
      <c r="A70" s="48">
        <v>61</v>
      </c>
      <c r="B70" s="48">
        <v>402</v>
      </c>
      <c r="C70" s="48">
        <v>18</v>
      </c>
      <c r="D70" s="49">
        <v>1887</v>
      </c>
      <c r="E70" s="42"/>
      <c r="F70" s="42"/>
      <c r="G70" s="55" cm="1">
        <f t="array" ref="G70:H70">LINEST(C10:C329,D10:D329,TRUE)</f>
        <v>2.7421086621664684E-3</v>
      </c>
      <c r="H70" s="55">
        <v>11.991590762703659</v>
      </c>
      <c r="I70" s="42"/>
    </row>
    <row r="71" spans="1:12" ht="19.2" x14ac:dyDescent="0.45">
      <c r="A71" s="48">
        <v>62</v>
      </c>
      <c r="B71" s="48">
        <v>391</v>
      </c>
      <c r="C71" s="48">
        <v>18</v>
      </c>
      <c r="D71" s="49">
        <v>1820</v>
      </c>
      <c r="F71" s="70" t="s">
        <v>64</v>
      </c>
      <c r="G71" s="55" cm="1">
        <f t="array" ref="G71">SUM((C10:C329-G70*D10:D329-H70)^2)/(G47-1)</f>
        <v>88.940074456571196</v>
      </c>
      <c r="H71" s="42"/>
      <c r="I71" s="42"/>
    </row>
    <row r="72" spans="1:12" x14ac:dyDescent="0.3">
      <c r="A72" s="48">
        <v>63</v>
      </c>
      <c r="B72" s="48">
        <v>95</v>
      </c>
      <c r="C72" s="48">
        <v>12</v>
      </c>
      <c r="D72" s="49">
        <v>1318</v>
      </c>
    </row>
    <row r="73" spans="1:12" x14ac:dyDescent="0.3">
      <c r="A73" s="48">
        <v>64</v>
      </c>
      <c r="B73" s="48">
        <v>464</v>
      </c>
      <c r="C73" s="48">
        <v>12</v>
      </c>
      <c r="D73" s="49">
        <v>754</v>
      </c>
    </row>
    <row r="74" spans="1:12" x14ac:dyDescent="0.3">
      <c r="A74" s="48">
        <v>65</v>
      </c>
      <c r="B74" s="48">
        <v>856</v>
      </c>
      <c r="C74" s="48">
        <v>24</v>
      </c>
      <c r="D74" s="49">
        <v>1474</v>
      </c>
      <c r="F74" s="54" t="s">
        <v>24</v>
      </c>
    </row>
    <row r="75" spans="1:12" x14ac:dyDescent="0.3">
      <c r="A75" s="48">
        <v>66</v>
      </c>
      <c r="B75" s="48">
        <v>343</v>
      </c>
      <c r="C75" s="48">
        <v>18</v>
      </c>
      <c r="D75" s="49">
        <v>3213</v>
      </c>
      <c r="F75" s="52"/>
      <c r="G75" s="53" t="s">
        <v>30</v>
      </c>
      <c r="H75" s="53" t="s">
        <v>31</v>
      </c>
      <c r="I75" s="53" t="s">
        <v>32</v>
      </c>
    </row>
    <row r="76" spans="1:12" ht="15.6" x14ac:dyDescent="0.3">
      <c r="A76" s="48">
        <v>67</v>
      </c>
      <c r="B76" s="48">
        <v>364</v>
      </c>
      <c r="C76" s="48">
        <v>6</v>
      </c>
      <c r="D76" s="49">
        <v>1766</v>
      </c>
      <c r="F76" s="71" t="s">
        <v>15</v>
      </c>
      <c r="G76" s="42">
        <f>ROUNDUP(G46/(1+((G46*G48^2)/(4*G52))),0)</f>
        <v>131</v>
      </c>
      <c r="H76" s="42">
        <f>ROUNDUP(G46/(1+((G46*G48^2)/(9*G64))),0)</f>
        <v>308</v>
      </c>
      <c r="I76" s="42">
        <f>ROUNDUP(G46/(1+((G46*G48^2)/(9*G71))),0)</f>
        <v>167</v>
      </c>
    </row>
    <row r="77" spans="1:12" x14ac:dyDescent="0.3">
      <c r="A77" s="48">
        <v>68</v>
      </c>
      <c r="B77" s="48">
        <v>463</v>
      </c>
      <c r="C77" s="48">
        <v>12</v>
      </c>
      <c r="D77" s="49">
        <v>3017</v>
      </c>
      <c r="F77" s="42"/>
      <c r="G77" s="42"/>
      <c r="H77" s="42"/>
      <c r="I77" s="42"/>
    </row>
    <row r="78" spans="1:12" x14ac:dyDescent="0.3">
      <c r="A78" s="48">
        <v>69</v>
      </c>
      <c r="B78" s="48">
        <v>790</v>
      </c>
      <c r="C78" s="48">
        <v>40</v>
      </c>
      <c r="D78" s="49">
        <v>5998</v>
      </c>
      <c r="F78" s="42" t="s">
        <v>140</v>
      </c>
      <c r="H78" s="42"/>
      <c r="I78" s="42"/>
      <c r="J78" s="42"/>
    </row>
    <row r="79" spans="1:12" x14ac:dyDescent="0.3">
      <c r="A79" s="48">
        <v>70</v>
      </c>
      <c r="B79" s="48">
        <v>81</v>
      </c>
      <c r="C79" s="48">
        <v>24</v>
      </c>
      <c r="D79" s="49">
        <v>5943</v>
      </c>
      <c r="F79" s="54"/>
      <c r="G79" s="42"/>
      <c r="H79" s="42"/>
      <c r="I79" s="42"/>
      <c r="L79" s="42"/>
    </row>
    <row r="80" spans="1:12" ht="15.6" x14ac:dyDescent="0.3">
      <c r="A80" s="48">
        <v>71</v>
      </c>
      <c r="B80" s="48">
        <v>735</v>
      </c>
      <c r="C80" s="48">
        <v>4</v>
      </c>
      <c r="D80" s="49">
        <v>3380</v>
      </c>
      <c r="E80" s="42"/>
      <c r="F80" s="72" t="s">
        <v>15</v>
      </c>
      <c r="G80" s="55">
        <v>320</v>
      </c>
      <c r="L80" s="42"/>
    </row>
    <row r="81" spans="1:12" x14ac:dyDescent="0.3">
      <c r="A81" s="48">
        <v>72</v>
      </c>
      <c r="B81" s="48">
        <v>857</v>
      </c>
      <c r="C81" s="48">
        <v>10</v>
      </c>
      <c r="D81" s="49">
        <v>894</v>
      </c>
    </row>
    <row r="82" spans="1:12" x14ac:dyDescent="0.3">
      <c r="A82" s="48">
        <v>73</v>
      </c>
      <c r="B82" s="48">
        <v>855</v>
      </c>
      <c r="C82" s="48">
        <v>36</v>
      </c>
      <c r="D82" s="49">
        <v>10875</v>
      </c>
      <c r="F82" s="5" t="s">
        <v>62</v>
      </c>
    </row>
    <row r="83" spans="1:12" x14ac:dyDescent="0.3">
      <c r="A83" s="48">
        <v>74</v>
      </c>
      <c r="B83" s="48">
        <v>609</v>
      </c>
      <c r="C83" s="48">
        <v>18</v>
      </c>
      <c r="D83" s="49">
        <v>2051</v>
      </c>
      <c r="F83" s="56"/>
      <c r="G83" s="60" t="s">
        <v>30</v>
      </c>
      <c r="H83" s="61" t="s">
        <v>31</v>
      </c>
      <c r="I83" s="61" t="s">
        <v>32</v>
      </c>
      <c r="J83" s="42"/>
      <c r="K83" s="42"/>
      <c r="L83" s="42"/>
    </row>
    <row r="84" spans="1:12" ht="18" customHeight="1" x14ac:dyDescent="0.3">
      <c r="A84" s="48">
        <v>75</v>
      </c>
      <c r="B84" s="48">
        <v>435</v>
      </c>
      <c r="C84" s="48">
        <v>9</v>
      </c>
      <c r="D84" s="49">
        <v>2136</v>
      </c>
      <c r="F84" s="62" t="s">
        <v>61</v>
      </c>
      <c r="G84" s="192">
        <f>AVERAGE(C10:C329)</f>
        <v>21.009374999999999</v>
      </c>
      <c r="H84" s="192">
        <f>G84*G49/G57</f>
        <v>20.898386234014531</v>
      </c>
      <c r="I84" s="192">
        <f>G84+G70*(G49-G57)</f>
        <v>20.961735660685015</v>
      </c>
      <c r="J84" s="42"/>
      <c r="K84" s="42"/>
      <c r="L84" s="42"/>
    </row>
    <row r="85" spans="1:12" ht="15.6" x14ac:dyDescent="0.3">
      <c r="A85" s="48">
        <v>76</v>
      </c>
      <c r="B85" s="48">
        <v>742</v>
      </c>
      <c r="C85" s="48">
        <v>10</v>
      </c>
      <c r="D85" s="49">
        <v>1048</v>
      </c>
      <c r="F85" s="63" t="str">
        <f>"D"&amp;_xlfn.UNICHAR(770) &amp; "²(ӯ)"</f>
        <v>D̂²(ӯ)</v>
      </c>
      <c r="G85" s="57">
        <f>(1-G80/G46)*G52/G80</f>
        <v>0.3194759098256269</v>
      </c>
      <c r="H85" s="57">
        <f>(1-G80/G46)*G64/G80</f>
        <v>0.41972127253983504</v>
      </c>
      <c r="I85" s="57">
        <f>(1-G80/G46)*G71/G80</f>
        <v>0.18899765822021378</v>
      </c>
      <c r="J85" s="42"/>
      <c r="K85" s="42"/>
      <c r="L85" s="42"/>
    </row>
    <row r="86" spans="1:12" ht="16.2" thickBot="1" x14ac:dyDescent="0.35">
      <c r="A86" s="48">
        <v>77</v>
      </c>
      <c r="B86" s="48">
        <v>980</v>
      </c>
      <c r="C86" s="48">
        <v>15</v>
      </c>
      <c r="D86" s="49">
        <v>1264</v>
      </c>
      <c r="F86" s="74" t="str">
        <f>"D"&amp;_xlfn.UNICHAR(770) &amp; "(ӯ)"</f>
        <v>D̂(ӯ)</v>
      </c>
      <c r="G86" s="193">
        <f>G85^0.5</f>
        <v>0.56522200047912763</v>
      </c>
      <c r="H86" s="193">
        <f>H85^0.5</f>
        <v>0.64785899124719648</v>
      </c>
      <c r="I86" s="193">
        <f>I85^0.5</f>
        <v>0.43473860907471029</v>
      </c>
      <c r="J86" s="42"/>
      <c r="K86" s="42"/>
      <c r="L86" s="42"/>
    </row>
    <row r="87" spans="1:12" ht="15.6" x14ac:dyDescent="0.3">
      <c r="A87" s="48">
        <v>78</v>
      </c>
      <c r="B87" s="48">
        <v>139</v>
      </c>
      <c r="C87" s="48">
        <v>15</v>
      </c>
      <c r="D87" s="49">
        <v>2728</v>
      </c>
      <c r="F87" s="73" t="s">
        <v>22</v>
      </c>
      <c r="G87" s="194">
        <f>G84*$G$46</f>
        <v>21009.375</v>
      </c>
      <c r="H87" s="194">
        <f>H84*$G$46</f>
        <v>20898.386234014532</v>
      </c>
      <c r="I87" s="194">
        <f>I84*$G$46</f>
        <v>20961.735660685015</v>
      </c>
    </row>
    <row r="88" spans="1:12" ht="15.6" x14ac:dyDescent="0.3">
      <c r="A88" s="48">
        <v>79</v>
      </c>
      <c r="B88" s="48">
        <v>2</v>
      </c>
      <c r="C88" s="48">
        <v>48</v>
      </c>
      <c r="D88" s="49">
        <v>5951</v>
      </c>
      <c r="F88" s="64" t="str">
        <f>"D"&amp;_xlfn.UNICHAR(770) &amp; "²(ŷ)"</f>
        <v>D̂²(ŷ)</v>
      </c>
      <c r="G88" s="47">
        <f>G85*$G$46^2</f>
        <v>319475.90982562688</v>
      </c>
      <c r="H88" s="47">
        <f>H85*$G$46^2</f>
        <v>419721.27253983502</v>
      </c>
      <c r="I88" s="47">
        <f>I85*$G$46^2</f>
        <v>188997.65822021378</v>
      </c>
    </row>
    <row r="89" spans="1:12" ht="15.6" x14ac:dyDescent="0.3">
      <c r="A89" s="48">
        <v>80</v>
      </c>
      <c r="B89" s="48">
        <v>384</v>
      </c>
      <c r="C89" s="48">
        <v>12</v>
      </c>
      <c r="D89" s="49">
        <v>1330</v>
      </c>
      <c r="F89" s="64" t="str">
        <f>"D"&amp;_xlfn.UNICHAR(770) &amp; "(ŷ)"</f>
        <v>D̂(ŷ)</v>
      </c>
      <c r="G89" s="100">
        <f>SQRT(G88)</f>
        <v>565.22200047912759</v>
      </c>
      <c r="H89" s="100">
        <f t="shared" ref="H89:I89" si="0">SQRT(H88)</f>
        <v>647.85899124719651</v>
      </c>
      <c r="I89" s="100">
        <f t="shared" si="0"/>
        <v>434.73860907471027</v>
      </c>
    </row>
    <row r="90" spans="1:12" x14ac:dyDescent="0.3">
      <c r="A90" s="48">
        <v>81</v>
      </c>
      <c r="B90" s="48">
        <v>741</v>
      </c>
      <c r="C90" s="48">
        <v>24</v>
      </c>
      <c r="D90" s="49">
        <v>2325</v>
      </c>
      <c r="I90" s="42"/>
    </row>
    <row r="91" spans="1:12" x14ac:dyDescent="0.3">
      <c r="A91" s="48">
        <v>82</v>
      </c>
      <c r="B91" s="48">
        <v>451</v>
      </c>
      <c r="C91" s="48">
        <v>36</v>
      </c>
      <c r="D91" s="49">
        <v>11054</v>
      </c>
      <c r="F91" s="51" t="s">
        <v>141</v>
      </c>
      <c r="G91" t="s">
        <v>246</v>
      </c>
      <c r="I91" s="42"/>
    </row>
    <row r="92" spans="1:12" x14ac:dyDescent="0.3">
      <c r="A92" s="48">
        <v>83</v>
      </c>
      <c r="B92" s="48">
        <v>681</v>
      </c>
      <c r="C92" s="48">
        <v>6</v>
      </c>
      <c r="D92" s="49">
        <v>1538</v>
      </c>
      <c r="F92" s="51" t="s">
        <v>142</v>
      </c>
      <c r="G92" t="s">
        <v>248</v>
      </c>
    </row>
    <row r="93" spans="1:12" x14ac:dyDescent="0.3">
      <c r="A93" s="48">
        <v>84</v>
      </c>
      <c r="B93" s="48">
        <v>13</v>
      </c>
      <c r="C93" s="48">
        <v>12</v>
      </c>
      <c r="D93" s="49">
        <v>1567</v>
      </c>
      <c r="F93" s="51" t="s">
        <v>143</v>
      </c>
      <c r="G93" t="s">
        <v>249</v>
      </c>
    </row>
    <row r="94" spans="1:12" x14ac:dyDescent="0.3">
      <c r="A94" s="48">
        <v>85</v>
      </c>
      <c r="B94" s="48">
        <v>221</v>
      </c>
      <c r="C94" s="48">
        <v>12</v>
      </c>
      <c r="D94" s="49">
        <v>625</v>
      </c>
    </row>
    <row r="95" spans="1:12" x14ac:dyDescent="0.3">
      <c r="A95" s="48">
        <v>86</v>
      </c>
      <c r="B95" s="48">
        <v>946</v>
      </c>
      <c r="C95" s="48">
        <v>48</v>
      </c>
      <c r="D95" s="49">
        <v>8358</v>
      </c>
      <c r="F95" s="51" t="s">
        <v>141</v>
      </c>
      <c r="G95" t="s">
        <v>251</v>
      </c>
    </row>
    <row r="96" spans="1:12" x14ac:dyDescent="0.3">
      <c r="A96" s="48">
        <v>87</v>
      </c>
      <c r="B96" s="48">
        <v>206</v>
      </c>
      <c r="C96" s="48">
        <v>30</v>
      </c>
      <c r="D96" s="49">
        <v>10623</v>
      </c>
      <c r="F96" s="51" t="s">
        <v>142</v>
      </c>
      <c r="G96" t="s">
        <v>250</v>
      </c>
    </row>
    <row r="97" spans="1:14" x14ac:dyDescent="0.3">
      <c r="A97" s="48">
        <v>88</v>
      </c>
      <c r="B97" s="48">
        <v>684</v>
      </c>
      <c r="C97" s="48">
        <v>24</v>
      </c>
      <c r="D97" s="49">
        <v>5103</v>
      </c>
      <c r="F97" s="51" t="s">
        <v>143</v>
      </c>
      <c r="G97" t="s">
        <v>252</v>
      </c>
      <c r="M97" s="42"/>
    </row>
    <row r="98" spans="1:14" x14ac:dyDescent="0.3">
      <c r="A98" s="48">
        <v>89</v>
      </c>
      <c r="B98" s="48">
        <v>629</v>
      </c>
      <c r="C98" s="48">
        <v>42</v>
      </c>
      <c r="D98" s="49">
        <v>4042</v>
      </c>
      <c r="I98" s="42"/>
      <c r="M98" s="42"/>
    </row>
    <row r="99" spans="1:14" x14ac:dyDescent="0.3">
      <c r="A99" s="48">
        <v>90</v>
      </c>
      <c r="B99" s="48">
        <v>906</v>
      </c>
      <c r="C99" s="48">
        <v>12</v>
      </c>
      <c r="D99" s="49">
        <v>1107</v>
      </c>
      <c r="I99" s="42"/>
      <c r="M99" s="42"/>
    </row>
    <row r="100" spans="1:14" x14ac:dyDescent="0.3">
      <c r="A100" s="48">
        <v>91</v>
      </c>
      <c r="B100" s="48">
        <v>776</v>
      </c>
      <c r="C100" s="48">
        <v>24</v>
      </c>
      <c r="D100" s="49">
        <v>1371</v>
      </c>
      <c r="F100" s="54" t="s">
        <v>144</v>
      </c>
      <c r="G100" s="42"/>
      <c r="H100" s="42"/>
      <c r="I100" s="42"/>
      <c r="J100" s="42"/>
      <c r="K100" s="42"/>
      <c r="L100" s="42"/>
    </row>
    <row r="101" spans="1:14" x14ac:dyDescent="0.3">
      <c r="A101" s="48">
        <v>92</v>
      </c>
      <c r="B101" s="48">
        <v>154</v>
      </c>
      <c r="C101" s="48">
        <v>24</v>
      </c>
      <c r="D101" s="49">
        <v>7758</v>
      </c>
      <c r="F101" s="42"/>
      <c r="G101" s="42"/>
      <c r="H101" s="42"/>
      <c r="I101" s="42"/>
    </row>
    <row r="102" spans="1:14" x14ac:dyDescent="0.3">
      <c r="A102" s="48">
        <v>93</v>
      </c>
      <c r="B102" s="48">
        <v>465</v>
      </c>
      <c r="C102" s="48">
        <v>18</v>
      </c>
      <c r="D102" s="49">
        <v>1950</v>
      </c>
      <c r="G102" s="195" t="s">
        <v>33</v>
      </c>
      <c r="I102" s="260">
        <f>(H85-G85)/G85</f>
        <v>0.3137806627389309</v>
      </c>
      <c r="K102" s="42" t="s">
        <v>34</v>
      </c>
      <c r="N102" s="260">
        <f>(I85-G85)/G85</f>
        <v>-0.4084134283446581</v>
      </c>
    </row>
    <row r="103" spans="1:14" x14ac:dyDescent="0.3">
      <c r="A103" s="48">
        <v>94</v>
      </c>
      <c r="B103" s="48">
        <v>501</v>
      </c>
      <c r="C103" s="48">
        <v>24</v>
      </c>
      <c r="D103" s="49">
        <v>3123</v>
      </c>
      <c r="G103" s="42"/>
    </row>
    <row r="104" spans="1:14" x14ac:dyDescent="0.3">
      <c r="A104" s="48">
        <v>95</v>
      </c>
      <c r="B104" s="48">
        <v>813</v>
      </c>
      <c r="C104" s="48">
        <v>36</v>
      </c>
      <c r="D104" s="49">
        <v>9629</v>
      </c>
      <c r="F104" s="42" t="s">
        <v>202</v>
      </c>
      <c r="G104" s="42"/>
      <c r="H104" s="42"/>
    </row>
    <row r="105" spans="1:14" x14ac:dyDescent="0.3">
      <c r="A105" s="48">
        <v>96</v>
      </c>
      <c r="B105" s="48">
        <v>30</v>
      </c>
      <c r="C105" s="48">
        <v>60</v>
      </c>
      <c r="D105" s="49">
        <v>6836</v>
      </c>
    </row>
    <row r="106" spans="1:14" x14ac:dyDescent="0.3">
      <c r="A106" s="48">
        <v>97</v>
      </c>
      <c r="B106" s="48">
        <v>120</v>
      </c>
      <c r="C106" s="48">
        <v>12</v>
      </c>
      <c r="D106" s="49">
        <v>2366</v>
      </c>
      <c r="G106" s="42"/>
      <c r="H106" s="42"/>
    </row>
    <row r="107" spans="1:14" x14ac:dyDescent="0.3">
      <c r="A107" s="48">
        <v>98</v>
      </c>
      <c r="B107" s="48">
        <v>272</v>
      </c>
      <c r="C107" s="48">
        <v>12</v>
      </c>
      <c r="D107" s="49">
        <v>1402</v>
      </c>
      <c r="F107"/>
      <c r="G107" s="42"/>
      <c r="H107" s="42"/>
    </row>
    <row r="108" spans="1:14" x14ac:dyDescent="0.3">
      <c r="A108" s="48">
        <v>99</v>
      </c>
      <c r="B108" s="48">
        <v>768</v>
      </c>
      <c r="C108" s="48">
        <v>10</v>
      </c>
      <c r="D108" s="49">
        <v>2901</v>
      </c>
      <c r="F108" s="42"/>
      <c r="G108" s="42"/>
      <c r="H108" s="42"/>
    </row>
    <row r="109" spans="1:14" x14ac:dyDescent="0.3">
      <c r="A109" s="48">
        <v>100</v>
      </c>
      <c r="B109" s="48">
        <v>205</v>
      </c>
      <c r="C109" s="48">
        <v>12</v>
      </c>
      <c r="D109" s="49">
        <v>1495</v>
      </c>
    </row>
    <row r="110" spans="1:14" x14ac:dyDescent="0.3">
      <c r="A110" s="48">
        <v>101</v>
      </c>
      <c r="B110" s="48">
        <v>260</v>
      </c>
      <c r="C110" s="48">
        <v>11</v>
      </c>
      <c r="D110" s="49">
        <v>1154</v>
      </c>
    </row>
    <row r="111" spans="1:14" x14ac:dyDescent="0.3">
      <c r="A111" s="48">
        <v>102</v>
      </c>
      <c r="B111" s="48">
        <v>375</v>
      </c>
      <c r="C111" s="48">
        <v>60</v>
      </c>
      <c r="D111" s="49">
        <v>14782</v>
      </c>
    </row>
    <row r="112" spans="1:14" x14ac:dyDescent="0.3">
      <c r="A112" s="48">
        <v>103</v>
      </c>
      <c r="B112" s="48">
        <v>640</v>
      </c>
      <c r="C112" s="48">
        <v>42</v>
      </c>
      <c r="D112" s="49">
        <v>4370</v>
      </c>
    </row>
    <row r="113" spans="1:4" x14ac:dyDescent="0.3">
      <c r="A113" s="48">
        <v>104</v>
      </c>
      <c r="B113" s="48">
        <v>508</v>
      </c>
      <c r="C113" s="48">
        <v>15</v>
      </c>
      <c r="D113" s="49">
        <v>6850</v>
      </c>
    </row>
    <row r="114" spans="1:4" x14ac:dyDescent="0.3">
      <c r="A114" s="48">
        <v>105</v>
      </c>
      <c r="B114" s="48">
        <v>117</v>
      </c>
      <c r="C114" s="48">
        <v>42</v>
      </c>
      <c r="D114" s="49">
        <v>7174</v>
      </c>
    </row>
    <row r="115" spans="1:4" x14ac:dyDescent="0.3">
      <c r="A115" s="48">
        <v>106</v>
      </c>
      <c r="B115" s="48">
        <v>935</v>
      </c>
      <c r="C115" s="48">
        <v>12</v>
      </c>
      <c r="D115" s="49">
        <v>1498</v>
      </c>
    </row>
    <row r="116" spans="1:4" x14ac:dyDescent="0.3">
      <c r="A116" s="48">
        <v>107</v>
      </c>
      <c r="B116" s="48">
        <v>976</v>
      </c>
      <c r="C116" s="48">
        <v>24</v>
      </c>
      <c r="D116" s="49">
        <v>1258</v>
      </c>
    </row>
    <row r="117" spans="1:4" x14ac:dyDescent="0.3">
      <c r="A117" s="48">
        <v>108</v>
      </c>
      <c r="B117" s="48">
        <v>258</v>
      </c>
      <c r="C117" s="48">
        <v>12</v>
      </c>
      <c r="D117" s="49">
        <v>2149</v>
      </c>
    </row>
    <row r="118" spans="1:4" x14ac:dyDescent="0.3">
      <c r="A118" s="48">
        <v>109</v>
      </c>
      <c r="B118" s="48">
        <v>452</v>
      </c>
      <c r="C118" s="48">
        <v>6</v>
      </c>
      <c r="D118" s="49">
        <v>518</v>
      </c>
    </row>
    <row r="119" spans="1:4" x14ac:dyDescent="0.3">
      <c r="A119" s="48">
        <v>110</v>
      </c>
      <c r="B119" s="48">
        <v>47</v>
      </c>
      <c r="C119" s="48">
        <v>36</v>
      </c>
      <c r="D119" s="49">
        <v>2299</v>
      </c>
    </row>
    <row r="120" spans="1:4" x14ac:dyDescent="0.3">
      <c r="A120" s="48">
        <v>111</v>
      </c>
      <c r="B120" s="48">
        <v>920</v>
      </c>
      <c r="C120" s="48">
        <v>24</v>
      </c>
      <c r="D120" s="49">
        <v>3345</v>
      </c>
    </row>
    <row r="121" spans="1:4" x14ac:dyDescent="0.3">
      <c r="A121" s="48">
        <v>112</v>
      </c>
      <c r="B121" s="48">
        <v>972</v>
      </c>
      <c r="C121" s="48">
        <v>24</v>
      </c>
      <c r="D121" s="49">
        <v>7393</v>
      </c>
    </row>
    <row r="122" spans="1:4" x14ac:dyDescent="0.3">
      <c r="A122" s="48">
        <v>113</v>
      </c>
      <c r="B122" s="48">
        <v>74</v>
      </c>
      <c r="C122" s="48">
        <v>42</v>
      </c>
      <c r="D122" s="49">
        <v>5954</v>
      </c>
    </row>
    <row r="123" spans="1:4" x14ac:dyDescent="0.3">
      <c r="A123" s="48">
        <v>114</v>
      </c>
      <c r="B123" s="48">
        <v>862</v>
      </c>
      <c r="C123" s="48">
        <v>18</v>
      </c>
      <c r="D123" s="49">
        <v>2169</v>
      </c>
    </row>
    <row r="124" spans="1:4" x14ac:dyDescent="0.3">
      <c r="A124" s="48">
        <v>115</v>
      </c>
      <c r="B124" s="48">
        <v>675</v>
      </c>
      <c r="C124" s="48">
        <v>21</v>
      </c>
      <c r="D124" s="49">
        <v>2580</v>
      </c>
    </row>
    <row r="125" spans="1:4" x14ac:dyDescent="0.3">
      <c r="A125" s="48">
        <v>116</v>
      </c>
      <c r="B125" s="48">
        <v>325</v>
      </c>
      <c r="C125" s="48">
        <v>18</v>
      </c>
      <c r="D125" s="49">
        <v>1028</v>
      </c>
    </row>
    <row r="126" spans="1:4" x14ac:dyDescent="0.3">
      <c r="A126" s="48">
        <v>117</v>
      </c>
      <c r="B126" s="48">
        <v>595</v>
      </c>
      <c r="C126" s="48">
        <v>24</v>
      </c>
      <c r="D126" s="49">
        <v>1358</v>
      </c>
    </row>
    <row r="127" spans="1:4" x14ac:dyDescent="0.3">
      <c r="A127" s="48">
        <v>118</v>
      </c>
      <c r="B127" s="48">
        <v>162</v>
      </c>
      <c r="C127" s="48">
        <v>18</v>
      </c>
      <c r="D127" s="49">
        <v>1055</v>
      </c>
    </row>
    <row r="128" spans="1:4" x14ac:dyDescent="0.3">
      <c r="A128" s="48">
        <v>119</v>
      </c>
      <c r="B128" s="48">
        <v>424</v>
      </c>
      <c r="C128" s="48">
        <v>21</v>
      </c>
      <c r="D128" s="49">
        <v>1591</v>
      </c>
    </row>
    <row r="129" spans="1:4" x14ac:dyDescent="0.3">
      <c r="A129" s="48">
        <v>120</v>
      </c>
      <c r="B129" s="48">
        <v>506</v>
      </c>
      <c r="C129" s="48">
        <v>10</v>
      </c>
      <c r="D129" s="49">
        <v>1309</v>
      </c>
    </row>
    <row r="130" spans="1:4" x14ac:dyDescent="0.3">
      <c r="A130" s="48">
        <v>121</v>
      </c>
      <c r="B130" s="48">
        <v>119</v>
      </c>
      <c r="C130" s="48">
        <v>33</v>
      </c>
      <c r="D130" s="49">
        <v>4281</v>
      </c>
    </row>
    <row r="131" spans="1:4" x14ac:dyDescent="0.3">
      <c r="A131" s="48">
        <v>122</v>
      </c>
      <c r="B131" s="48">
        <v>760</v>
      </c>
      <c r="C131" s="48">
        <v>12</v>
      </c>
      <c r="D131" s="49">
        <v>691</v>
      </c>
    </row>
    <row r="132" spans="1:4" x14ac:dyDescent="0.3">
      <c r="A132" s="48">
        <v>123</v>
      </c>
      <c r="B132" s="48">
        <v>226</v>
      </c>
      <c r="C132" s="48">
        <v>36</v>
      </c>
      <c r="D132" s="49">
        <v>2613</v>
      </c>
    </row>
    <row r="133" spans="1:4" x14ac:dyDescent="0.3">
      <c r="A133" s="48">
        <v>124</v>
      </c>
      <c r="B133" s="48">
        <v>493</v>
      </c>
      <c r="C133" s="48">
        <v>6</v>
      </c>
      <c r="D133" s="49">
        <v>1237</v>
      </c>
    </row>
    <row r="134" spans="1:4" x14ac:dyDescent="0.3">
      <c r="A134" s="48">
        <v>125</v>
      </c>
      <c r="B134" s="48">
        <v>819</v>
      </c>
      <c r="C134" s="48">
        <v>36</v>
      </c>
      <c r="D134" s="49">
        <v>15857</v>
      </c>
    </row>
    <row r="135" spans="1:4" x14ac:dyDescent="0.3">
      <c r="A135" s="48">
        <v>126</v>
      </c>
      <c r="B135" s="48">
        <v>619</v>
      </c>
      <c r="C135" s="48">
        <v>30</v>
      </c>
      <c r="D135" s="49">
        <v>3441</v>
      </c>
    </row>
    <row r="136" spans="1:4" x14ac:dyDescent="0.3">
      <c r="A136" s="48">
        <v>127</v>
      </c>
      <c r="B136" s="48">
        <v>34</v>
      </c>
      <c r="C136" s="48">
        <v>12</v>
      </c>
      <c r="D136" s="49">
        <v>1264</v>
      </c>
    </row>
    <row r="137" spans="1:4" x14ac:dyDescent="0.3">
      <c r="A137" s="48">
        <v>128</v>
      </c>
      <c r="B137" s="48">
        <v>227</v>
      </c>
      <c r="C137" s="48">
        <v>48</v>
      </c>
      <c r="D137" s="49">
        <v>10961</v>
      </c>
    </row>
    <row r="138" spans="1:4" x14ac:dyDescent="0.3">
      <c r="A138" s="48">
        <v>129</v>
      </c>
      <c r="B138" s="48">
        <v>319</v>
      </c>
      <c r="C138" s="48">
        <v>12</v>
      </c>
      <c r="D138" s="49">
        <v>701</v>
      </c>
    </row>
    <row r="139" spans="1:4" x14ac:dyDescent="0.3">
      <c r="A139" s="48">
        <v>130</v>
      </c>
      <c r="B139" s="48">
        <v>155</v>
      </c>
      <c r="C139" s="48">
        <v>24</v>
      </c>
      <c r="D139" s="49">
        <v>6967</v>
      </c>
    </row>
    <row r="140" spans="1:4" x14ac:dyDescent="0.3">
      <c r="A140" s="48">
        <v>131</v>
      </c>
      <c r="B140" s="48">
        <v>673</v>
      </c>
      <c r="C140" s="48">
        <v>60</v>
      </c>
      <c r="D140" s="49">
        <v>10366</v>
      </c>
    </row>
    <row r="141" spans="1:4" x14ac:dyDescent="0.3">
      <c r="A141" s="48">
        <v>132</v>
      </c>
      <c r="B141" s="48">
        <v>194</v>
      </c>
      <c r="C141" s="48">
        <v>6</v>
      </c>
      <c r="D141" s="49">
        <v>2108</v>
      </c>
    </row>
    <row r="142" spans="1:4" x14ac:dyDescent="0.3">
      <c r="A142" s="48">
        <v>133</v>
      </c>
      <c r="B142" s="48">
        <v>436</v>
      </c>
      <c r="C142" s="48">
        <v>12</v>
      </c>
      <c r="D142" s="49">
        <v>1484</v>
      </c>
    </row>
    <row r="143" spans="1:4" x14ac:dyDescent="0.3">
      <c r="A143" s="48">
        <v>134</v>
      </c>
      <c r="B143" s="48">
        <v>304</v>
      </c>
      <c r="C143" s="48">
        <v>10</v>
      </c>
      <c r="D143" s="49">
        <v>1038</v>
      </c>
    </row>
    <row r="144" spans="1:4" x14ac:dyDescent="0.3">
      <c r="A144" s="48">
        <v>135</v>
      </c>
      <c r="B144" s="48">
        <v>439</v>
      </c>
      <c r="C144" s="48">
        <v>42</v>
      </c>
      <c r="D144" s="49">
        <v>3394</v>
      </c>
    </row>
    <row r="145" spans="1:4" x14ac:dyDescent="0.3">
      <c r="A145" s="48">
        <v>136</v>
      </c>
      <c r="B145" s="48">
        <v>499</v>
      </c>
      <c r="C145" s="48">
        <v>18</v>
      </c>
      <c r="D145" s="49">
        <v>1301</v>
      </c>
    </row>
    <row r="146" spans="1:4" x14ac:dyDescent="0.3">
      <c r="A146" s="48">
        <v>137</v>
      </c>
      <c r="B146" s="48">
        <v>708</v>
      </c>
      <c r="C146" s="48">
        <v>12</v>
      </c>
      <c r="D146" s="49">
        <v>2969</v>
      </c>
    </row>
    <row r="147" spans="1:4" x14ac:dyDescent="0.3">
      <c r="A147" s="48">
        <v>138</v>
      </c>
      <c r="B147" s="48">
        <v>778</v>
      </c>
      <c r="C147" s="48">
        <v>18</v>
      </c>
      <c r="D147" s="49">
        <v>3509</v>
      </c>
    </row>
    <row r="148" spans="1:4" x14ac:dyDescent="0.3">
      <c r="A148" s="48">
        <v>139</v>
      </c>
      <c r="B148" s="48">
        <v>914</v>
      </c>
      <c r="C148" s="48">
        <v>11</v>
      </c>
      <c r="D148" s="49">
        <v>2142</v>
      </c>
    </row>
    <row r="149" spans="1:4" x14ac:dyDescent="0.3">
      <c r="A149" s="48">
        <v>140</v>
      </c>
      <c r="B149" s="48">
        <v>585</v>
      </c>
      <c r="C149" s="48">
        <v>12</v>
      </c>
      <c r="D149" s="49">
        <v>2133</v>
      </c>
    </row>
    <row r="150" spans="1:4" x14ac:dyDescent="0.3">
      <c r="A150" s="48">
        <v>141</v>
      </c>
      <c r="B150" s="48">
        <v>565</v>
      </c>
      <c r="C150" s="48">
        <v>24</v>
      </c>
      <c r="D150" s="49">
        <v>4712</v>
      </c>
    </row>
    <row r="151" spans="1:4" x14ac:dyDescent="0.3">
      <c r="A151" s="48">
        <v>142</v>
      </c>
      <c r="B151" s="48">
        <v>8</v>
      </c>
      <c r="C151" s="48">
        <v>36</v>
      </c>
      <c r="D151" s="49">
        <v>6948</v>
      </c>
    </row>
    <row r="152" spans="1:4" x14ac:dyDescent="0.3">
      <c r="A152" s="48">
        <v>143</v>
      </c>
      <c r="B152" s="48">
        <v>832</v>
      </c>
      <c r="C152" s="48">
        <v>18</v>
      </c>
      <c r="D152" s="49">
        <v>1216</v>
      </c>
    </row>
    <row r="153" spans="1:4" x14ac:dyDescent="0.3">
      <c r="A153" s="48">
        <v>144</v>
      </c>
      <c r="B153" s="48">
        <v>584</v>
      </c>
      <c r="C153" s="48">
        <v>36</v>
      </c>
      <c r="D153" s="49">
        <v>2384</v>
      </c>
    </row>
    <row r="154" spans="1:4" x14ac:dyDescent="0.3">
      <c r="A154" s="48">
        <v>145</v>
      </c>
      <c r="B154" s="48">
        <v>689</v>
      </c>
      <c r="C154" s="48">
        <v>9</v>
      </c>
      <c r="D154" s="49">
        <v>2753</v>
      </c>
    </row>
    <row r="155" spans="1:4" x14ac:dyDescent="0.3">
      <c r="A155" s="48">
        <v>146</v>
      </c>
      <c r="B155" s="48">
        <v>909</v>
      </c>
      <c r="C155" s="48">
        <v>15</v>
      </c>
      <c r="D155" s="49">
        <v>3594</v>
      </c>
    </row>
    <row r="156" spans="1:4" x14ac:dyDescent="0.3">
      <c r="A156" s="48">
        <v>147</v>
      </c>
      <c r="B156" s="48">
        <v>31</v>
      </c>
      <c r="C156" s="48">
        <v>18</v>
      </c>
      <c r="D156" s="49">
        <v>1913</v>
      </c>
    </row>
    <row r="157" spans="1:4" x14ac:dyDescent="0.3">
      <c r="A157" s="48">
        <v>148</v>
      </c>
      <c r="B157" s="48">
        <v>590</v>
      </c>
      <c r="C157" s="48">
        <v>12</v>
      </c>
      <c r="D157" s="49">
        <v>2246</v>
      </c>
    </row>
    <row r="158" spans="1:4" x14ac:dyDescent="0.3">
      <c r="A158" s="48">
        <v>149</v>
      </c>
      <c r="B158" s="48">
        <v>848</v>
      </c>
      <c r="C158" s="48">
        <v>24</v>
      </c>
      <c r="D158" s="49">
        <v>1249</v>
      </c>
    </row>
    <row r="159" spans="1:4" x14ac:dyDescent="0.3">
      <c r="A159" s="48">
        <v>150</v>
      </c>
      <c r="B159" s="48">
        <v>137</v>
      </c>
      <c r="C159" s="48">
        <v>27</v>
      </c>
      <c r="D159" s="49">
        <v>8613</v>
      </c>
    </row>
    <row r="160" spans="1:4" x14ac:dyDescent="0.3">
      <c r="A160" s="48">
        <v>151</v>
      </c>
      <c r="B160" s="48">
        <v>106</v>
      </c>
      <c r="C160" s="48">
        <v>24</v>
      </c>
      <c r="D160" s="49">
        <v>11938</v>
      </c>
    </row>
    <row r="161" spans="1:4" x14ac:dyDescent="0.3">
      <c r="A161" s="48">
        <v>152</v>
      </c>
      <c r="B161" s="48">
        <v>248</v>
      </c>
      <c r="C161" s="48">
        <v>6</v>
      </c>
      <c r="D161" s="49">
        <v>1204</v>
      </c>
    </row>
    <row r="162" spans="1:4" x14ac:dyDescent="0.3">
      <c r="A162" s="48">
        <v>153</v>
      </c>
      <c r="B162" s="48">
        <v>276</v>
      </c>
      <c r="C162" s="48">
        <v>9</v>
      </c>
      <c r="D162" s="49">
        <v>2697</v>
      </c>
    </row>
    <row r="163" spans="1:4" x14ac:dyDescent="0.3">
      <c r="A163" s="48">
        <v>154</v>
      </c>
      <c r="B163" s="48">
        <v>664</v>
      </c>
      <c r="C163" s="48">
        <v>6</v>
      </c>
      <c r="D163" s="49">
        <v>1050</v>
      </c>
    </row>
    <row r="164" spans="1:4" x14ac:dyDescent="0.3">
      <c r="A164" s="48">
        <v>155</v>
      </c>
      <c r="B164" s="48">
        <v>850</v>
      </c>
      <c r="C164" s="48">
        <v>12</v>
      </c>
      <c r="D164" s="49">
        <v>709</v>
      </c>
    </row>
    <row r="165" spans="1:4" x14ac:dyDescent="0.3">
      <c r="A165" s="48">
        <v>156</v>
      </c>
      <c r="B165" s="48">
        <v>644</v>
      </c>
      <c r="C165" s="48">
        <v>24</v>
      </c>
      <c r="D165" s="49">
        <v>1851</v>
      </c>
    </row>
    <row r="166" spans="1:4" x14ac:dyDescent="0.3">
      <c r="A166" s="48">
        <v>157</v>
      </c>
      <c r="B166" s="48">
        <v>40</v>
      </c>
      <c r="C166" s="48">
        <v>9</v>
      </c>
      <c r="D166" s="49">
        <v>458</v>
      </c>
    </row>
    <row r="167" spans="1:4" x14ac:dyDescent="0.3">
      <c r="A167" s="48">
        <v>158</v>
      </c>
      <c r="B167" s="48">
        <v>46</v>
      </c>
      <c r="C167" s="48">
        <v>11</v>
      </c>
      <c r="D167" s="49">
        <v>1393</v>
      </c>
    </row>
    <row r="168" spans="1:4" x14ac:dyDescent="0.3">
      <c r="A168" s="48">
        <v>159</v>
      </c>
      <c r="B168" s="48">
        <v>76</v>
      </c>
      <c r="C168" s="48">
        <v>12</v>
      </c>
      <c r="D168" s="49">
        <v>1526</v>
      </c>
    </row>
    <row r="169" spans="1:4" x14ac:dyDescent="0.3">
      <c r="A169" s="48">
        <v>160</v>
      </c>
      <c r="B169" s="48">
        <v>889</v>
      </c>
      <c r="C169" s="48">
        <v>36</v>
      </c>
      <c r="D169" s="49">
        <v>6614</v>
      </c>
    </row>
    <row r="170" spans="1:4" x14ac:dyDescent="0.3">
      <c r="A170" s="48">
        <v>161</v>
      </c>
      <c r="B170" s="48">
        <v>523</v>
      </c>
      <c r="C170" s="48">
        <v>48</v>
      </c>
      <c r="D170" s="49">
        <v>7119</v>
      </c>
    </row>
    <row r="171" spans="1:4" x14ac:dyDescent="0.3">
      <c r="A171" s="48">
        <v>162</v>
      </c>
      <c r="B171" s="48">
        <v>730</v>
      </c>
      <c r="C171" s="48">
        <v>24</v>
      </c>
      <c r="D171" s="49">
        <v>1275</v>
      </c>
    </row>
    <row r="172" spans="1:4" x14ac:dyDescent="0.3">
      <c r="A172" s="48">
        <v>163</v>
      </c>
      <c r="B172" s="48">
        <v>303</v>
      </c>
      <c r="C172" s="48">
        <v>24</v>
      </c>
      <c r="D172" s="49">
        <v>1344</v>
      </c>
    </row>
    <row r="173" spans="1:4" x14ac:dyDescent="0.3">
      <c r="A173" s="48">
        <v>164</v>
      </c>
      <c r="B173" s="48">
        <v>696</v>
      </c>
      <c r="C173" s="48">
        <v>6</v>
      </c>
      <c r="D173" s="49">
        <v>1236</v>
      </c>
    </row>
    <row r="174" spans="1:4" x14ac:dyDescent="0.3">
      <c r="A174" s="48">
        <v>165</v>
      </c>
      <c r="B174" s="48">
        <v>26</v>
      </c>
      <c r="C174" s="48">
        <v>6</v>
      </c>
      <c r="D174" s="49">
        <v>1374</v>
      </c>
    </row>
    <row r="175" spans="1:4" x14ac:dyDescent="0.3">
      <c r="A175" s="48">
        <v>166</v>
      </c>
      <c r="B175" s="48">
        <v>659</v>
      </c>
      <c r="C175" s="48">
        <v>30</v>
      </c>
      <c r="D175" s="49">
        <v>4221</v>
      </c>
    </row>
    <row r="176" spans="1:4" x14ac:dyDescent="0.3">
      <c r="A176" s="48">
        <v>167</v>
      </c>
      <c r="B176" s="48">
        <v>170</v>
      </c>
      <c r="C176" s="48">
        <v>24</v>
      </c>
      <c r="D176" s="49">
        <v>1935</v>
      </c>
    </row>
    <row r="177" spans="1:4" x14ac:dyDescent="0.3">
      <c r="A177" s="48">
        <v>168</v>
      </c>
      <c r="B177" s="48">
        <v>872</v>
      </c>
      <c r="C177" s="48">
        <v>6</v>
      </c>
      <c r="D177" s="49">
        <v>1343</v>
      </c>
    </row>
    <row r="178" spans="1:4" x14ac:dyDescent="0.3">
      <c r="A178" s="48">
        <v>169</v>
      </c>
      <c r="B178" s="48">
        <v>347</v>
      </c>
      <c r="C178" s="48">
        <v>13</v>
      </c>
      <c r="D178" s="49">
        <v>882</v>
      </c>
    </row>
    <row r="179" spans="1:4" x14ac:dyDescent="0.3">
      <c r="A179" s="48">
        <v>170</v>
      </c>
      <c r="B179" s="48">
        <v>928</v>
      </c>
      <c r="C179" s="48">
        <v>48</v>
      </c>
      <c r="D179" s="49">
        <v>10297</v>
      </c>
    </row>
    <row r="180" spans="1:4" x14ac:dyDescent="0.3">
      <c r="A180" s="48">
        <v>171</v>
      </c>
      <c r="B180" s="48">
        <v>403</v>
      </c>
      <c r="C180" s="48">
        <v>24</v>
      </c>
      <c r="D180" s="49">
        <v>8648</v>
      </c>
    </row>
    <row r="181" spans="1:4" x14ac:dyDescent="0.3">
      <c r="A181" s="48">
        <v>172</v>
      </c>
      <c r="B181" s="48">
        <v>368</v>
      </c>
      <c r="C181" s="48">
        <v>18</v>
      </c>
      <c r="D181" s="49">
        <v>3650</v>
      </c>
    </row>
    <row r="182" spans="1:4" x14ac:dyDescent="0.3">
      <c r="A182" s="48">
        <v>173</v>
      </c>
      <c r="B182" s="48">
        <v>172</v>
      </c>
      <c r="C182" s="48">
        <v>12</v>
      </c>
      <c r="D182" s="49">
        <v>763</v>
      </c>
    </row>
    <row r="183" spans="1:4" x14ac:dyDescent="0.3">
      <c r="A183" s="48">
        <v>174</v>
      </c>
      <c r="B183" s="48">
        <v>300</v>
      </c>
      <c r="C183" s="48">
        <v>21</v>
      </c>
      <c r="D183" s="49">
        <v>2745</v>
      </c>
    </row>
    <row r="184" spans="1:4" x14ac:dyDescent="0.3">
      <c r="A184" s="48">
        <v>175</v>
      </c>
      <c r="B184" s="48">
        <v>882</v>
      </c>
      <c r="C184" s="48">
        <v>24</v>
      </c>
      <c r="D184" s="49">
        <v>9277</v>
      </c>
    </row>
    <row r="185" spans="1:4" x14ac:dyDescent="0.3">
      <c r="A185" s="48">
        <v>176</v>
      </c>
      <c r="B185" s="48">
        <v>396</v>
      </c>
      <c r="C185" s="48">
        <v>39</v>
      </c>
      <c r="D185" s="49">
        <v>11760</v>
      </c>
    </row>
    <row r="186" spans="1:4" x14ac:dyDescent="0.3">
      <c r="A186" s="48">
        <v>177</v>
      </c>
      <c r="B186" s="48">
        <v>171</v>
      </c>
      <c r="C186" s="48">
        <v>15</v>
      </c>
      <c r="D186" s="49">
        <v>950</v>
      </c>
    </row>
    <row r="187" spans="1:4" x14ac:dyDescent="0.3">
      <c r="A187" s="48">
        <v>178</v>
      </c>
      <c r="B187" s="48">
        <v>841</v>
      </c>
      <c r="C187" s="48">
        <v>36</v>
      </c>
      <c r="D187" s="49">
        <v>5179</v>
      </c>
    </row>
    <row r="188" spans="1:4" x14ac:dyDescent="0.3">
      <c r="A188" s="48">
        <v>179</v>
      </c>
      <c r="B188" s="48">
        <v>330</v>
      </c>
      <c r="C188" s="48">
        <v>6</v>
      </c>
      <c r="D188" s="49">
        <v>1068</v>
      </c>
    </row>
    <row r="189" spans="1:4" x14ac:dyDescent="0.3">
      <c r="A189" s="48">
        <v>180</v>
      </c>
      <c r="B189" s="48">
        <v>704</v>
      </c>
      <c r="C189" s="48">
        <v>30</v>
      </c>
      <c r="D189" s="49">
        <v>2503</v>
      </c>
    </row>
    <row r="190" spans="1:4" x14ac:dyDescent="0.3">
      <c r="A190" s="48">
        <v>181</v>
      </c>
      <c r="B190" s="48">
        <v>627</v>
      </c>
      <c r="C190" s="48">
        <v>6</v>
      </c>
      <c r="D190" s="49">
        <v>2116</v>
      </c>
    </row>
    <row r="191" spans="1:4" x14ac:dyDescent="0.3">
      <c r="A191" s="48">
        <v>182</v>
      </c>
      <c r="B191" s="48">
        <v>428</v>
      </c>
      <c r="C191" s="48">
        <v>18</v>
      </c>
      <c r="D191" s="49">
        <v>1149</v>
      </c>
    </row>
    <row r="192" spans="1:4" x14ac:dyDescent="0.3">
      <c r="A192" s="48">
        <v>183</v>
      </c>
      <c r="B192" s="48">
        <v>874</v>
      </c>
      <c r="C192" s="48">
        <v>15</v>
      </c>
      <c r="D192" s="49">
        <v>874</v>
      </c>
    </row>
    <row r="193" spans="1:4" x14ac:dyDescent="0.3">
      <c r="A193" s="48">
        <v>184</v>
      </c>
      <c r="B193" s="48">
        <v>145</v>
      </c>
      <c r="C193" s="48">
        <v>21</v>
      </c>
      <c r="D193" s="49">
        <v>2288</v>
      </c>
    </row>
    <row r="194" spans="1:4" x14ac:dyDescent="0.3">
      <c r="A194" s="48">
        <v>185</v>
      </c>
      <c r="B194" s="48">
        <v>519</v>
      </c>
      <c r="C194" s="48">
        <v>6</v>
      </c>
      <c r="D194" s="49">
        <v>1203</v>
      </c>
    </row>
    <row r="195" spans="1:4" x14ac:dyDescent="0.3">
      <c r="A195" s="48">
        <v>186</v>
      </c>
      <c r="B195" s="48">
        <v>531</v>
      </c>
      <c r="C195" s="48">
        <v>36</v>
      </c>
      <c r="D195" s="49">
        <v>2273</v>
      </c>
    </row>
    <row r="196" spans="1:4" x14ac:dyDescent="0.3">
      <c r="A196" s="48">
        <v>187</v>
      </c>
      <c r="B196" s="48">
        <v>579</v>
      </c>
      <c r="C196" s="48">
        <v>36</v>
      </c>
      <c r="D196" s="49">
        <v>2820</v>
      </c>
    </row>
    <row r="197" spans="1:4" x14ac:dyDescent="0.3">
      <c r="A197" s="48">
        <v>188</v>
      </c>
      <c r="B197" s="48">
        <v>932</v>
      </c>
      <c r="C197" s="48">
        <v>9</v>
      </c>
      <c r="D197" s="49">
        <v>1670</v>
      </c>
    </row>
    <row r="198" spans="1:4" x14ac:dyDescent="0.3">
      <c r="A198" s="48">
        <v>189</v>
      </c>
      <c r="B198" s="48">
        <v>861</v>
      </c>
      <c r="C198" s="48">
        <v>24</v>
      </c>
      <c r="D198" s="49">
        <v>5804</v>
      </c>
    </row>
    <row r="199" spans="1:4" x14ac:dyDescent="0.3">
      <c r="A199" s="48">
        <v>190</v>
      </c>
      <c r="B199" s="48">
        <v>604</v>
      </c>
      <c r="C199" s="48">
        <v>36</v>
      </c>
      <c r="D199" s="49">
        <v>3349</v>
      </c>
    </row>
    <row r="200" spans="1:4" x14ac:dyDescent="0.3">
      <c r="A200" s="48">
        <v>191</v>
      </c>
      <c r="B200" s="48">
        <v>80</v>
      </c>
      <c r="C200" s="48">
        <v>30</v>
      </c>
      <c r="D200" s="49">
        <v>3832</v>
      </c>
    </row>
    <row r="201" spans="1:4" x14ac:dyDescent="0.3">
      <c r="A201" s="48">
        <v>192</v>
      </c>
      <c r="B201" s="48">
        <v>676</v>
      </c>
      <c r="C201" s="48">
        <v>30</v>
      </c>
      <c r="D201" s="49">
        <v>4530</v>
      </c>
    </row>
    <row r="202" spans="1:4" x14ac:dyDescent="0.3">
      <c r="A202" s="48">
        <v>193</v>
      </c>
      <c r="B202" s="48">
        <v>864</v>
      </c>
      <c r="C202" s="48">
        <v>27</v>
      </c>
      <c r="D202" s="49">
        <v>4526</v>
      </c>
    </row>
    <row r="203" spans="1:4" x14ac:dyDescent="0.3">
      <c r="A203" s="48">
        <v>194</v>
      </c>
      <c r="B203" s="48">
        <v>758</v>
      </c>
      <c r="C203" s="48">
        <v>15</v>
      </c>
      <c r="D203" s="49">
        <v>1271</v>
      </c>
    </row>
    <row r="204" spans="1:4" x14ac:dyDescent="0.3">
      <c r="A204" s="48">
        <v>195</v>
      </c>
      <c r="B204" s="48">
        <v>369</v>
      </c>
      <c r="C204" s="48">
        <v>36</v>
      </c>
      <c r="D204" s="49">
        <v>3446</v>
      </c>
    </row>
    <row r="205" spans="1:4" x14ac:dyDescent="0.3">
      <c r="A205" s="48">
        <v>196</v>
      </c>
      <c r="B205" s="48">
        <v>200</v>
      </c>
      <c r="C205" s="48">
        <v>18</v>
      </c>
      <c r="D205" s="49">
        <v>4297</v>
      </c>
    </row>
    <row r="206" spans="1:4" x14ac:dyDescent="0.3">
      <c r="A206" s="48">
        <v>197</v>
      </c>
      <c r="B206" s="48">
        <v>240</v>
      </c>
      <c r="C206" s="48">
        <v>30</v>
      </c>
      <c r="D206" s="49">
        <v>2522</v>
      </c>
    </row>
    <row r="207" spans="1:4" x14ac:dyDescent="0.3">
      <c r="A207" s="48">
        <v>198</v>
      </c>
      <c r="B207" s="48">
        <v>822</v>
      </c>
      <c r="C207" s="48">
        <v>12</v>
      </c>
      <c r="D207" s="49">
        <v>3016</v>
      </c>
    </row>
    <row r="208" spans="1:4" x14ac:dyDescent="0.3">
      <c r="A208" s="48">
        <v>199</v>
      </c>
      <c r="B208" s="48">
        <v>295</v>
      </c>
      <c r="C208" s="48">
        <v>48</v>
      </c>
      <c r="D208" s="49">
        <v>7629</v>
      </c>
    </row>
    <row r="209" spans="1:4" x14ac:dyDescent="0.3">
      <c r="A209" s="48">
        <v>200</v>
      </c>
      <c r="B209" s="48">
        <v>751</v>
      </c>
      <c r="C209" s="48">
        <v>6</v>
      </c>
      <c r="D209" s="49">
        <v>428</v>
      </c>
    </row>
    <row r="210" spans="1:4" x14ac:dyDescent="0.3">
      <c r="A210" s="48">
        <v>201</v>
      </c>
      <c r="B210" s="48">
        <v>296</v>
      </c>
      <c r="C210" s="48">
        <v>48</v>
      </c>
      <c r="D210" s="49">
        <v>9960</v>
      </c>
    </row>
    <row r="211" spans="1:4" x14ac:dyDescent="0.3">
      <c r="A211" s="48">
        <v>202</v>
      </c>
      <c r="B211" s="48">
        <v>728</v>
      </c>
      <c r="C211" s="48">
        <v>18</v>
      </c>
      <c r="D211" s="49">
        <v>1882</v>
      </c>
    </row>
    <row r="212" spans="1:4" x14ac:dyDescent="0.3">
      <c r="A212" s="48">
        <v>203</v>
      </c>
      <c r="B212" s="48">
        <v>878</v>
      </c>
      <c r="C212" s="48">
        <v>36</v>
      </c>
      <c r="D212" s="49">
        <v>3595</v>
      </c>
    </row>
    <row r="213" spans="1:4" x14ac:dyDescent="0.3">
      <c r="A213" s="48">
        <v>204</v>
      </c>
      <c r="B213" s="48">
        <v>804</v>
      </c>
      <c r="C213" s="48">
        <v>12</v>
      </c>
      <c r="D213" s="49">
        <v>976</v>
      </c>
    </row>
    <row r="214" spans="1:4" x14ac:dyDescent="0.3">
      <c r="A214" s="48">
        <v>205</v>
      </c>
      <c r="B214" s="48">
        <v>207</v>
      </c>
      <c r="C214" s="48">
        <v>12</v>
      </c>
      <c r="D214" s="49">
        <v>1935</v>
      </c>
    </row>
    <row r="215" spans="1:4" x14ac:dyDescent="0.3">
      <c r="A215" s="48">
        <v>206</v>
      </c>
      <c r="B215" s="48">
        <v>515</v>
      </c>
      <c r="C215" s="48">
        <v>24</v>
      </c>
      <c r="D215" s="49">
        <v>2255</v>
      </c>
    </row>
    <row r="216" spans="1:4" x14ac:dyDescent="0.3">
      <c r="A216" s="48">
        <v>207</v>
      </c>
      <c r="B216" s="48">
        <v>599</v>
      </c>
      <c r="C216" s="48">
        <v>18</v>
      </c>
      <c r="D216" s="49">
        <v>2775</v>
      </c>
    </row>
    <row r="217" spans="1:4" x14ac:dyDescent="0.3">
      <c r="A217" s="48">
        <v>208</v>
      </c>
      <c r="B217" s="48">
        <v>805</v>
      </c>
      <c r="C217" s="48">
        <v>12</v>
      </c>
      <c r="D217" s="49">
        <v>7472</v>
      </c>
    </row>
    <row r="218" spans="1:4" x14ac:dyDescent="0.3">
      <c r="A218" s="48">
        <v>209</v>
      </c>
      <c r="B218" s="48">
        <v>950</v>
      </c>
      <c r="C218" s="48">
        <v>24</v>
      </c>
      <c r="D218" s="49">
        <v>3621</v>
      </c>
    </row>
    <row r="219" spans="1:4" x14ac:dyDescent="0.3">
      <c r="A219" s="48">
        <v>210</v>
      </c>
      <c r="B219" s="48">
        <v>22</v>
      </c>
      <c r="C219" s="48">
        <v>6</v>
      </c>
      <c r="D219" s="49">
        <v>2647</v>
      </c>
    </row>
    <row r="220" spans="1:4" x14ac:dyDescent="0.3">
      <c r="A220" s="48">
        <v>211</v>
      </c>
      <c r="B220" s="48">
        <v>184</v>
      </c>
      <c r="C220" s="48">
        <v>24</v>
      </c>
      <c r="D220" s="49">
        <v>3777</v>
      </c>
    </row>
    <row r="221" spans="1:4" x14ac:dyDescent="0.3">
      <c r="A221" s="48">
        <v>212</v>
      </c>
      <c r="B221" s="48">
        <v>333</v>
      </c>
      <c r="C221" s="48">
        <v>60</v>
      </c>
      <c r="D221" s="49">
        <v>7408</v>
      </c>
    </row>
    <row r="222" spans="1:4" x14ac:dyDescent="0.3">
      <c r="A222" s="48">
        <v>213</v>
      </c>
      <c r="B222" s="48">
        <v>185</v>
      </c>
      <c r="C222" s="48">
        <v>18</v>
      </c>
      <c r="D222" s="49">
        <v>884</v>
      </c>
    </row>
    <row r="223" spans="1:4" x14ac:dyDescent="0.3">
      <c r="A223" s="48">
        <v>214</v>
      </c>
      <c r="B223" s="48">
        <v>854</v>
      </c>
      <c r="C223" s="48">
        <v>18</v>
      </c>
      <c r="D223" s="49">
        <v>1442</v>
      </c>
    </row>
    <row r="224" spans="1:4" x14ac:dyDescent="0.3">
      <c r="A224" s="48">
        <v>215</v>
      </c>
      <c r="B224" s="48">
        <v>945</v>
      </c>
      <c r="C224" s="48">
        <v>15</v>
      </c>
      <c r="D224" s="49">
        <v>1845</v>
      </c>
    </row>
    <row r="225" spans="1:4" x14ac:dyDescent="0.3">
      <c r="A225" s="48">
        <v>216</v>
      </c>
      <c r="B225" s="48">
        <v>890</v>
      </c>
      <c r="C225" s="48">
        <v>28</v>
      </c>
      <c r="D225" s="49">
        <v>7824</v>
      </c>
    </row>
    <row r="226" spans="1:4" x14ac:dyDescent="0.3">
      <c r="A226" s="48">
        <v>217</v>
      </c>
      <c r="B226" s="48">
        <v>552</v>
      </c>
      <c r="C226" s="48">
        <v>6</v>
      </c>
      <c r="D226" s="49">
        <v>1750</v>
      </c>
    </row>
    <row r="227" spans="1:4" x14ac:dyDescent="0.3">
      <c r="A227" s="48">
        <v>218</v>
      </c>
      <c r="B227" s="48">
        <v>520</v>
      </c>
      <c r="C227" s="48">
        <v>6</v>
      </c>
      <c r="D227" s="49">
        <v>700</v>
      </c>
    </row>
    <row r="228" spans="1:4" x14ac:dyDescent="0.3">
      <c r="A228" s="48">
        <v>219</v>
      </c>
      <c r="B228" s="48">
        <v>842</v>
      </c>
      <c r="C228" s="48">
        <v>21</v>
      </c>
      <c r="D228" s="49">
        <v>2993</v>
      </c>
    </row>
    <row r="229" spans="1:4" x14ac:dyDescent="0.3">
      <c r="A229" s="48">
        <v>220</v>
      </c>
      <c r="B229" s="48">
        <v>282</v>
      </c>
      <c r="C229" s="48">
        <v>12</v>
      </c>
      <c r="D229" s="49">
        <v>1574</v>
      </c>
    </row>
    <row r="230" spans="1:4" x14ac:dyDescent="0.3">
      <c r="A230" s="48">
        <v>221</v>
      </c>
      <c r="B230" s="48">
        <v>680</v>
      </c>
      <c r="C230" s="48">
        <v>18</v>
      </c>
      <c r="D230" s="49">
        <v>1453</v>
      </c>
    </row>
    <row r="231" spans="1:4" x14ac:dyDescent="0.3">
      <c r="A231" s="48">
        <v>222</v>
      </c>
      <c r="B231" s="48">
        <v>348</v>
      </c>
      <c r="C231" s="48">
        <v>24</v>
      </c>
      <c r="D231" s="49">
        <v>3758</v>
      </c>
    </row>
    <row r="232" spans="1:4" x14ac:dyDescent="0.3">
      <c r="A232" s="48">
        <v>223</v>
      </c>
      <c r="B232" s="48">
        <v>752</v>
      </c>
      <c r="C232" s="48">
        <v>18</v>
      </c>
      <c r="D232" s="49">
        <v>976</v>
      </c>
    </row>
    <row r="233" spans="1:4" x14ac:dyDescent="0.3">
      <c r="A233" s="48">
        <v>224</v>
      </c>
      <c r="B233" s="48">
        <v>746</v>
      </c>
      <c r="C233" s="48">
        <v>13</v>
      </c>
      <c r="D233" s="49">
        <v>1797</v>
      </c>
    </row>
    <row r="234" spans="1:4" x14ac:dyDescent="0.3">
      <c r="A234" s="48">
        <v>225</v>
      </c>
      <c r="B234" s="48">
        <v>510</v>
      </c>
      <c r="C234" s="48">
        <v>39</v>
      </c>
      <c r="D234" s="49">
        <v>8588</v>
      </c>
    </row>
    <row r="235" spans="1:4" x14ac:dyDescent="0.3">
      <c r="A235" s="48">
        <v>226</v>
      </c>
      <c r="B235" s="48">
        <v>658</v>
      </c>
      <c r="C235" s="48">
        <v>48</v>
      </c>
      <c r="D235" s="49">
        <v>10222</v>
      </c>
    </row>
    <row r="236" spans="1:4" x14ac:dyDescent="0.3">
      <c r="A236" s="48">
        <v>227</v>
      </c>
      <c r="B236" s="48">
        <v>901</v>
      </c>
      <c r="C236" s="48">
        <v>16</v>
      </c>
      <c r="D236" s="49">
        <v>2625</v>
      </c>
    </row>
    <row r="237" spans="1:4" x14ac:dyDescent="0.3">
      <c r="A237" s="48">
        <v>228</v>
      </c>
      <c r="B237" s="48">
        <v>538</v>
      </c>
      <c r="C237" s="48">
        <v>18</v>
      </c>
      <c r="D237" s="49">
        <v>3612</v>
      </c>
    </row>
    <row r="238" spans="1:4" x14ac:dyDescent="0.3">
      <c r="A238" s="48">
        <v>229</v>
      </c>
      <c r="B238" s="48">
        <v>86</v>
      </c>
      <c r="C238" s="48">
        <v>12</v>
      </c>
      <c r="D238" s="49">
        <v>1412</v>
      </c>
    </row>
    <row r="239" spans="1:4" x14ac:dyDescent="0.3">
      <c r="A239" s="48">
        <v>230</v>
      </c>
      <c r="B239" s="48">
        <v>505</v>
      </c>
      <c r="C239" s="48">
        <v>24</v>
      </c>
      <c r="D239" s="49">
        <v>1207</v>
      </c>
    </row>
    <row r="240" spans="1:4" x14ac:dyDescent="0.3">
      <c r="A240" s="48">
        <v>231</v>
      </c>
      <c r="B240" s="48">
        <v>468</v>
      </c>
      <c r="C240" s="48">
        <v>48</v>
      </c>
      <c r="D240" s="49">
        <v>7238</v>
      </c>
    </row>
    <row r="241" spans="1:4" x14ac:dyDescent="0.3">
      <c r="A241" s="48">
        <v>232</v>
      </c>
      <c r="B241" s="48">
        <v>480</v>
      </c>
      <c r="C241" s="48">
        <v>15</v>
      </c>
      <c r="D241" s="49">
        <v>1478</v>
      </c>
    </row>
    <row r="242" spans="1:4" x14ac:dyDescent="0.3">
      <c r="A242" s="48">
        <v>233</v>
      </c>
      <c r="B242" s="48">
        <v>701</v>
      </c>
      <c r="C242" s="48">
        <v>12</v>
      </c>
      <c r="D242" s="49">
        <v>1123</v>
      </c>
    </row>
    <row r="243" spans="1:4" x14ac:dyDescent="0.3">
      <c r="A243" s="48">
        <v>234</v>
      </c>
      <c r="B243" s="48">
        <v>367</v>
      </c>
      <c r="C243" s="48">
        <v>18</v>
      </c>
      <c r="D243" s="49">
        <v>3850</v>
      </c>
    </row>
    <row r="244" spans="1:4" x14ac:dyDescent="0.3">
      <c r="A244" s="48">
        <v>235</v>
      </c>
      <c r="B244" s="48">
        <v>924</v>
      </c>
      <c r="C244" s="48">
        <v>12</v>
      </c>
      <c r="D244" s="49">
        <v>2002</v>
      </c>
    </row>
    <row r="245" spans="1:4" x14ac:dyDescent="0.3">
      <c r="A245" s="48">
        <v>236</v>
      </c>
      <c r="B245" s="48">
        <v>241</v>
      </c>
      <c r="C245" s="48">
        <v>24</v>
      </c>
      <c r="D245" s="49">
        <v>915</v>
      </c>
    </row>
    <row r="246" spans="1:4" x14ac:dyDescent="0.3">
      <c r="A246" s="48">
        <v>237</v>
      </c>
      <c r="B246" s="48">
        <v>498</v>
      </c>
      <c r="C246" s="48">
        <v>24</v>
      </c>
      <c r="D246" s="49">
        <v>1585</v>
      </c>
    </row>
    <row r="247" spans="1:4" x14ac:dyDescent="0.3">
      <c r="A247" s="48">
        <v>238</v>
      </c>
      <c r="B247" s="48">
        <v>578</v>
      </c>
      <c r="C247" s="48">
        <v>24</v>
      </c>
      <c r="D247" s="49">
        <v>1927</v>
      </c>
    </row>
    <row r="248" spans="1:4" x14ac:dyDescent="0.3">
      <c r="A248" s="48">
        <v>239</v>
      </c>
      <c r="B248" s="48">
        <v>534</v>
      </c>
      <c r="C248" s="48">
        <v>24</v>
      </c>
      <c r="D248" s="49">
        <v>1311</v>
      </c>
    </row>
    <row r="249" spans="1:4" x14ac:dyDescent="0.3">
      <c r="A249" s="48">
        <v>240</v>
      </c>
      <c r="B249" s="48">
        <v>943</v>
      </c>
      <c r="C249" s="48">
        <v>24</v>
      </c>
      <c r="D249" s="49">
        <v>929</v>
      </c>
    </row>
    <row r="250" spans="1:4" x14ac:dyDescent="0.3">
      <c r="A250" s="48">
        <v>241</v>
      </c>
      <c r="B250" s="48">
        <v>635</v>
      </c>
      <c r="C250" s="48">
        <v>24</v>
      </c>
      <c r="D250" s="49">
        <v>1355</v>
      </c>
    </row>
    <row r="251" spans="1:4" x14ac:dyDescent="0.3">
      <c r="A251" s="48">
        <v>242</v>
      </c>
      <c r="B251" s="48">
        <v>634</v>
      </c>
      <c r="C251" s="48">
        <v>9</v>
      </c>
      <c r="D251" s="49">
        <v>1980</v>
      </c>
    </row>
    <row r="252" spans="1:4" x14ac:dyDescent="0.3">
      <c r="A252" s="48">
        <v>243</v>
      </c>
      <c r="B252" s="48">
        <v>517</v>
      </c>
      <c r="C252" s="48">
        <v>6</v>
      </c>
      <c r="D252" s="49">
        <v>1361</v>
      </c>
    </row>
    <row r="253" spans="1:4" x14ac:dyDescent="0.3">
      <c r="A253" s="48">
        <v>244</v>
      </c>
      <c r="B253" s="48">
        <v>766</v>
      </c>
      <c r="C253" s="48">
        <v>12</v>
      </c>
      <c r="D253" s="49">
        <v>1155</v>
      </c>
    </row>
    <row r="254" spans="1:4" x14ac:dyDescent="0.3">
      <c r="A254" s="48">
        <v>245</v>
      </c>
      <c r="B254" s="48">
        <v>712</v>
      </c>
      <c r="C254" s="48">
        <v>6</v>
      </c>
      <c r="D254" s="49">
        <v>1198</v>
      </c>
    </row>
    <row r="255" spans="1:4" x14ac:dyDescent="0.3">
      <c r="A255" s="48">
        <v>246</v>
      </c>
      <c r="B255" s="48">
        <v>148</v>
      </c>
      <c r="C255" s="48">
        <v>12</v>
      </c>
      <c r="D255" s="49">
        <v>682</v>
      </c>
    </row>
    <row r="256" spans="1:4" x14ac:dyDescent="0.3">
      <c r="A256" s="48">
        <v>247</v>
      </c>
      <c r="B256" s="48">
        <v>374</v>
      </c>
      <c r="C256" s="48">
        <v>60</v>
      </c>
      <c r="D256" s="49">
        <v>13756</v>
      </c>
    </row>
    <row r="257" spans="1:4" x14ac:dyDescent="0.3">
      <c r="A257" s="48">
        <v>248</v>
      </c>
      <c r="B257" s="48">
        <v>603</v>
      </c>
      <c r="C257" s="48">
        <v>24</v>
      </c>
      <c r="D257" s="49">
        <v>1837</v>
      </c>
    </row>
    <row r="258" spans="1:4" x14ac:dyDescent="0.3">
      <c r="A258" s="48">
        <v>249</v>
      </c>
      <c r="B258" s="48">
        <v>306</v>
      </c>
      <c r="C258" s="48">
        <v>6</v>
      </c>
      <c r="D258" s="49">
        <v>1543</v>
      </c>
    </row>
    <row r="259" spans="1:4" x14ac:dyDescent="0.3">
      <c r="A259" s="48">
        <v>250</v>
      </c>
      <c r="B259" s="48">
        <v>470</v>
      </c>
      <c r="C259" s="48">
        <v>24</v>
      </c>
      <c r="D259" s="49">
        <v>4679</v>
      </c>
    </row>
    <row r="260" spans="1:4" x14ac:dyDescent="0.3">
      <c r="A260" s="48">
        <v>251</v>
      </c>
      <c r="B260" s="48">
        <v>721</v>
      </c>
      <c r="C260" s="48">
        <v>9</v>
      </c>
      <c r="D260" s="49">
        <v>1337</v>
      </c>
    </row>
    <row r="261" spans="1:4" x14ac:dyDescent="0.3">
      <c r="A261" s="48">
        <v>252</v>
      </c>
      <c r="B261" s="48">
        <v>175</v>
      </c>
      <c r="C261" s="48">
        <v>21</v>
      </c>
      <c r="D261" s="49">
        <v>3414</v>
      </c>
    </row>
    <row r="262" spans="1:4" x14ac:dyDescent="0.3">
      <c r="A262" s="48">
        <v>253</v>
      </c>
      <c r="B262" s="48">
        <v>84</v>
      </c>
      <c r="C262" s="48">
        <v>24</v>
      </c>
      <c r="D262" s="49">
        <v>1755</v>
      </c>
    </row>
    <row r="263" spans="1:4" x14ac:dyDescent="0.3">
      <c r="A263" s="48">
        <v>254</v>
      </c>
      <c r="B263" s="48">
        <v>237</v>
      </c>
      <c r="C263" s="48">
        <v>6</v>
      </c>
      <c r="D263" s="49">
        <v>14555</v>
      </c>
    </row>
    <row r="264" spans="1:4" x14ac:dyDescent="0.3">
      <c r="A264" s="48">
        <v>255</v>
      </c>
      <c r="B264" s="48">
        <v>533</v>
      </c>
      <c r="C264" s="48">
        <v>12</v>
      </c>
      <c r="D264" s="49">
        <v>1503</v>
      </c>
    </row>
    <row r="265" spans="1:4" x14ac:dyDescent="0.3">
      <c r="A265" s="48">
        <v>256</v>
      </c>
      <c r="B265" s="48">
        <v>138</v>
      </c>
      <c r="C265" s="48">
        <v>12</v>
      </c>
      <c r="D265" s="49">
        <v>766</v>
      </c>
    </row>
    <row r="266" spans="1:4" x14ac:dyDescent="0.3">
      <c r="A266" s="48">
        <v>257</v>
      </c>
      <c r="B266" s="48">
        <v>502</v>
      </c>
      <c r="C266" s="48">
        <v>36</v>
      </c>
      <c r="D266" s="49">
        <v>5493</v>
      </c>
    </row>
    <row r="267" spans="1:4" x14ac:dyDescent="0.3">
      <c r="A267" s="48">
        <v>258</v>
      </c>
      <c r="B267" s="48">
        <v>814</v>
      </c>
      <c r="C267" s="48">
        <v>48</v>
      </c>
      <c r="D267" s="49">
        <v>3051</v>
      </c>
    </row>
    <row r="268" spans="1:4" x14ac:dyDescent="0.3">
      <c r="A268" s="48">
        <v>259</v>
      </c>
      <c r="B268" s="48">
        <v>147</v>
      </c>
      <c r="C268" s="48">
        <v>6</v>
      </c>
      <c r="D268" s="49">
        <v>860</v>
      </c>
    </row>
    <row r="269" spans="1:4" x14ac:dyDescent="0.3">
      <c r="A269" s="48">
        <v>260</v>
      </c>
      <c r="B269" s="48">
        <v>547</v>
      </c>
      <c r="C269" s="48">
        <v>24</v>
      </c>
      <c r="D269" s="49">
        <v>2022</v>
      </c>
    </row>
    <row r="270" spans="1:4" x14ac:dyDescent="0.3">
      <c r="A270" s="48">
        <v>261</v>
      </c>
      <c r="B270" s="48">
        <v>871</v>
      </c>
      <c r="C270" s="48">
        <v>36</v>
      </c>
      <c r="D270" s="49">
        <v>7678</v>
      </c>
    </row>
    <row r="271" spans="1:4" x14ac:dyDescent="0.3">
      <c r="A271" s="48">
        <v>262</v>
      </c>
      <c r="B271" s="48">
        <v>756</v>
      </c>
      <c r="C271" s="48">
        <v>24</v>
      </c>
      <c r="D271" s="49">
        <v>1285</v>
      </c>
    </row>
    <row r="272" spans="1:4" x14ac:dyDescent="0.3">
      <c r="A272" s="48">
        <v>263</v>
      </c>
      <c r="B272" s="48">
        <v>229</v>
      </c>
      <c r="C272" s="48">
        <v>9</v>
      </c>
      <c r="D272" s="49">
        <v>1478</v>
      </c>
    </row>
    <row r="273" spans="1:4" x14ac:dyDescent="0.3">
      <c r="A273" s="48">
        <v>264</v>
      </c>
      <c r="B273" s="48">
        <v>507</v>
      </c>
      <c r="C273" s="48">
        <v>15</v>
      </c>
      <c r="D273" s="49">
        <v>2360</v>
      </c>
    </row>
    <row r="274" spans="1:4" x14ac:dyDescent="0.3">
      <c r="A274" s="48">
        <v>265</v>
      </c>
      <c r="B274" s="48">
        <v>404</v>
      </c>
      <c r="C274" s="48">
        <v>14</v>
      </c>
      <c r="D274" s="49">
        <v>802</v>
      </c>
    </row>
    <row r="275" spans="1:4" x14ac:dyDescent="0.3">
      <c r="A275" s="48">
        <v>266</v>
      </c>
      <c r="B275" s="48">
        <v>127</v>
      </c>
      <c r="C275" s="48">
        <v>12</v>
      </c>
      <c r="D275" s="49">
        <v>701</v>
      </c>
    </row>
    <row r="276" spans="1:4" x14ac:dyDescent="0.3">
      <c r="A276" s="48">
        <v>267</v>
      </c>
      <c r="B276" s="48">
        <v>16</v>
      </c>
      <c r="C276" s="48">
        <v>24</v>
      </c>
      <c r="D276" s="49">
        <v>1282</v>
      </c>
    </row>
    <row r="277" spans="1:4" x14ac:dyDescent="0.3">
      <c r="A277" s="48">
        <v>268</v>
      </c>
      <c r="B277" s="48">
        <v>164</v>
      </c>
      <c r="C277" s="48">
        <v>10</v>
      </c>
      <c r="D277" s="49">
        <v>7308</v>
      </c>
    </row>
    <row r="278" spans="1:4" x14ac:dyDescent="0.3">
      <c r="A278" s="48">
        <v>269</v>
      </c>
      <c r="B278" s="48">
        <v>370</v>
      </c>
      <c r="C278" s="48">
        <v>18</v>
      </c>
      <c r="D278" s="49">
        <v>3001</v>
      </c>
    </row>
    <row r="279" spans="1:4" x14ac:dyDescent="0.3">
      <c r="A279" s="48">
        <v>270</v>
      </c>
      <c r="B279" s="48">
        <v>583</v>
      </c>
      <c r="C279" s="48">
        <v>9</v>
      </c>
      <c r="D279" s="49">
        <v>1388</v>
      </c>
    </row>
    <row r="280" spans="1:4" x14ac:dyDescent="0.3">
      <c r="A280" s="48">
        <v>271</v>
      </c>
      <c r="B280" s="48">
        <v>70</v>
      </c>
      <c r="C280" s="48">
        <v>36</v>
      </c>
      <c r="D280" s="49">
        <v>2394</v>
      </c>
    </row>
    <row r="281" spans="1:4" x14ac:dyDescent="0.3">
      <c r="A281" s="48">
        <v>272</v>
      </c>
      <c r="B281" s="48">
        <v>806</v>
      </c>
      <c r="C281" s="48">
        <v>36</v>
      </c>
      <c r="D281" s="49">
        <v>9271</v>
      </c>
    </row>
    <row r="282" spans="1:4" x14ac:dyDescent="0.3">
      <c r="A282" s="48">
        <v>273</v>
      </c>
      <c r="B282" s="48">
        <v>354</v>
      </c>
      <c r="C282" s="48">
        <v>12</v>
      </c>
      <c r="D282" s="49">
        <v>6199</v>
      </c>
    </row>
    <row r="283" spans="1:4" x14ac:dyDescent="0.3">
      <c r="A283" s="48">
        <v>274</v>
      </c>
      <c r="B283" s="48">
        <v>513</v>
      </c>
      <c r="C283" s="48">
        <v>15</v>
      </c>
      <c r="D283" s="49">
        <v>2687</v>
      </c>
    </row>
    <row r="284" spans="1:4" x14ac:dyDescent="0.3">
      <c r="A284" s="48">
        <v>275</v>
      </c>
      <c r="B284" s="48">
        <v>748</v>
      </c>
      <c r="C284" s="48">
        <v>12</v>
      </c>
      <c r="D284" s="49">
        <v>1274</v>
      </c>
    </row>
    <row r="285" spans="1:4" x14ac:dyDescent="0.3">
      <c r="A285" s="48">
        <v>276</v>
      </c>
      <c r="B285" s="48">
        <v>852</v>
      </c>
      <c r="C285" s="48">
        <v>24</v>
      </c>
      <c r="D285" s="49">
        <v>4042</v>
      </c>
    </row>
    <row r="286" spans="1:4" x14ac:dyDescent="0.3">
      <c r="A286" s="48">
        <v>277</v>
      </c>
      <c r="B286" s="48">
        <v>243</v>
      </c>
      <c r="C286" s="48">
        <v>48</v>
      </c>
      <c r="D286" s="49">
        <v>4605</v>
      </c>
    </row>
    <row r="287" spans="1:4" x14ac:dyDescent="0.3">
      <c r="A287" s="48">
        <v>278</v>
      </c>
      <c r="B287" s="48">
        <v>110</v>
      </c>
      <c r="C287" s="48">
        <v>14</v>
      </c>
      <c r="D287" s="49">
        <v>1410</v>
      </c>
    </row>
    <row r="288" spans="1:4" x14ac:dyDescent="0.3">
      <c r="A288" s="48">
        <v>279</v>
      </c>
      <c r="B288" s="48">
        <v>264</v>
      </c>
      <c r="C288" s="48">
        <v>12</v>
      </c>
      <c r="D288" s="49">
        <v>2748</v>
      </c>
    </row>
    <row r="289" spans="1:4" x14ac:dyDescent="0.3">
      <c r="A289" s="48">
        <v>280</v>
      </c>
      <c r="B289" s="48">
        <v>419</v>
      </c>
      <c r="C289" s="48">
        <v>21</v>
      </c>
      <c r="D289" s="49">
        <v>2782</v>
      </c>
    </row>
    <row r="290" spans="1:4" x14ac:dyDescent="0.3">
      <c r="A290" s="48">
        <v>281</v>
      </c>
      <c r="B290" s="48">
        <v>445</v>
      </c>
      <c r="C290" s="48">
        <v>48</v>
      </c>
      <c r="D290" s="49">
        <v>5096</v>
      </c>
    </row>
    <row r="291" spans="1:4" x14ac:dyDescent="0.3">
      <c r="A291" s="48">
        <v>282</v>
      </c>
      <c r="B291" s="48">
        <v>527</v>
      </c>
      <c r="C291" s="48">
        <v>15</v>
      </c>
      <c r="D291" s="49">
        <v>1532</v>
      </c>
    </row>
    <row r="292" spans="1:4" x14ac:dyDescent="0.3">
      <c r="A292" s="48">
        <v>283</v>
      </c>
      <c r="B292" s="48">
        <v>250</v>
      </c>
      <c r="C292" s="48">
        <v>18</v>
      </c>
      <c r="D292" s="49">
        <v>433</v>
      </c>
    </row>
    <row r="293" spans="1:4" x14ac:dyDescent="0.3">
      <c r="A293" s="48">
        <v>284</v>
      </c>
      <c r="B293" s="48">
        <v>567</v>
      </c>
      <c r="C293" s="48">
        <v>12</v>
      </c>
      <c r="D293" s="49">
        <v>1372</v>
      </c>
    </row>
    <row r="294" spans="1:4" x14ac:dyDescent="0.3">
      <c r="A294" s="48">
        <v>285</v>
      </c>
      <c r="B294" s="48">
        <v>320</v>
      </c>
      <c r="C294" s="48">
        <v>15</v>
      </c>
      <c r="D294" s="49">
        <v>3643</v>
      </c>
    </row>
    <row r="295" spans="1:4" x14ac:dyDescent="0.3">
      <c r="A295" s="48">
        <v>286</v>
      </c>
      <c r="B295" s="48">
        <v>893</v>
      </c>
      <c r="C295" s="48">
        <v>12</v>
      </c>
      <c r="D295" s="49">
        <v>2171</v>
      </c>
    </row>
    <row r="296" spans="1:4" x14ac:dyDescent="0.3">
      <c r="A296" s="48">
        <v>287</v>
      </c>
      <c r="B296" s="48">
        <v>843</v>
      </c>
      <c r="C296" s="48">
        <v>18</v>
      </c>
      <c r="D296" s="49">
        <v>1943</v>
      </c>
    </row>
    <row r="297" spans="1:4" x14ac:dyDescent="0.3">
      <c r="A297" s="48">
        <v>288</v>
      </c>
      <c r="B297" s="48">
        <v>639</v>
      </c>
      <c r="C297" s="48">
        <v>12</v>
      </c>
      <c r="D297" s="49">
        <v>1493</v>
      </c>
    </row>
    <row r="298" spans="1:4" x14ac:dyDescent="0.3">
      <c r="A298" s="48">
        <v>289</v>
      </c>
      <c r="B298" s="48">
        <v>376</v>
      </c>
      <c r="C298" s="48">
        <v>48</v>
      </c>
      <c r="D298" s="49">
        <v>7685</v>
      </c>
    </row>
    <row r="299" spans="1:4" x14ac:dyDescent="0.3">
      <c r="A299" s="48">
        <v>290</v>
      </c>
      <c r="B299" s="48">
        <v>112</v>
      </c>
      <c r="C299" s="48">
        <v>15</v>
      </c>
      <c r="D299" s="49">
        <v>392</v>
      </c>
    </row>
    <row r="300" spans="1:4" x14ac:dyDescent="0.3">
      <c r="A300" s="48">
        <v>291</v>
      </c>
      <c r="B300" s="48">
        <v>625</v>
      </c>
      <c r="C300" s="48">
        <v>18</v>
      </c>
      <c r="D300" s="49">
        <v>2600</v>
      </c>
    </row>
    <row r="301" spans="1:4" x14ac:dyDescent="0.3">
      <c r="A301" s="48">
        <v>292</v>
      </c>
      <c r="B301" s="48">
        <v>705</v>
      </c>
      <c r="C301" s="48">
        <v>27</v>
      </c>
      <c r="D301" s="49">
        <v>2528</v>
      </c>
    </row>
    <row r="302" spans="1:4" x14ac:dyDescent="0.3">
      <c r="A302" s="48">
        <v>293</v>
      </c>
      <c r="B302" s="48">
        <v>908</v>
      </c>
      <c r="C302" s="48">
        <v>36</v>
      </c>
      <c r="D302" s="49">
        <v>3711</v>
      </c>
    </row>
    <row r="303" spans="1:4" x14ac:dyDescent="0.3">
      <c r="A303" s="48">
        <v>294</v>
      </c>
      <c r="B303" s="48">
        <v>487</v>
      </c>
      <c r="C303" s="48">
        <v>12</v>
      </c>
      <c r="D303" s="49">
        <v>3077</v>
      </c>
    </row>
    <row r="304" spans="1:4" x14ac:dyDescent="0.3">
      <c r="A304" s="48">
        <v>295</v>
      </c>
      <c r="B304" s="48">
        <v>771</v>
      </c>
      <c r="C304" s="48">
        <v>24</v>
      </c>
      <c r="D304" s="49">
        <v>2812</v>
      </c>
    </row>
    <row r="305" spans="1:4" x14ac:dyDescent="0.3">
      <c r="A305" s="48">
        <v>296</v>
      </c>
      <c r="B305" s="48">
        <v>281</v>
      </c>
      <c r="C305" s="48">
        <v>15</v>
      </c>
      <c r="D305" s="49">
        <v>3368</v>
      </c>
    </row>
    <row r="306" spans="1:4" x14ac:dyDescent="0.3">
      <c r="A306" s="48">
        <v>297</v>
      </c>
      <c r="B306" s="48">
        <v>867</v>
      </c>
      <c r="C306" s="48">
        <v>18</v>
      </c>
      <c r="D306" s="49">
        <v>2389</v>
      </c>
    </row>
    <row r="307" spans="1:4" x14ac:dyDescent="0.3">
      <c r="A307" s="48">
        <v>298</v>
      </c>
      <c r="B307" s="48">
        <v>485</v>
      </c>
      <c r="C307" s="48">
        <v>12</v>
      </c>
      <c r="D307" s="49">
        <v>1163</v>
      </c>
    </row>
    <row r="308" spans="1:4" x14ac:dyDescent="0.3">
      <c r="A308" s="48">
        <v>299</v>
      </c>
      <c r="B308" s="48">
        <v>326</v>
      </c>
      <c r="C308" s="48">
        <v>8</v>
      </c>
      <c r="D308" s="49">
        <v>3398</v>
      </c>
    </row>
    <row r="309" spans="1:4" ht="15" thickBot="1" x14ac:dyDescent="0.35">
      <c r="A309" s="233">
        <v>300</v>
      </c>
      <c r="B309" s="233">
        <v>782</v>
      </c>
      <c r="C309" s="233">
        <v>24</v>
      </c>
      <c r="D309" s="234">
        <v>1940</v>
      </c>
    </row>
    <row r="310" spans="1:4" x14ac:dyDescent="0.3">
      <c r="A310" s="48">
        <v>301</v>
      </c>
      <c r="B310" s="48">
        <v>429</v>
      </c>
      <c r="C310" s="48">
        <v>9</v>
      </c>
      <c r="D310" s="49">
        <v>1313</v>
      </c>
    </row>
    <row r="311" spans="1:4" x14ac:dyDescent="0.3">
      <c r="A311" s="48">
        <v>302</v>
      </c>
      <c r="B311" s="48">
        <v>50</v>
      </c>
      <c r="C311" s="48">
        <v>12</v>
      </c>
      <c r="D311" s="49">
        <v>2073</v>
      </c>
    </row>
    <row r="312" spans="1:4" x14ac:dyDescent="0.3">
      <c r="A312" s="48">
        <v>303</v>
      </c>
      <c r="B312" s="48">
        <v>491</v>
      </c>
      <c r="C312" s="48">
        <v>12</v>
      </c>
      <c r="D312" s="49">
        <v>1934</v>
      </c>
    </row>
    <row r="313" spans="1:4" x14ac:dyDescent="0.3">
      <c r="A313" s="48">
        <v>304</v>
      </c>
      <c r="B313" s="48">
        <v>211</v>
      </c>
      <c r="C313" s="48">
        <v>9</v>
      </c>
      <c r="D313" s="49">
        <v>3074</v>
      </c>
    </row>
    <row r="314" spans="1:4" x14ac:dyDescent="0.3">
      <c r="A314" s="48">
        <v>305</v>
      </c>
      <c r="B314" s="48">
        <v>488</v>
      </c>
      <c r="C314" s="48">
        <v>24</v>
      </c>
      <c r="D314" s="49">
        <v>3757</v>
      </c>
    </row>
    <row r="315" spans="1:4" x14ac:dyDescent="0.3">
      <c r="A315" s="48">
        <v>306</v>
      </c>
      <c r="B315" s="48">
        <v>362</v>
      </c>
      <c r="C315" s="48">
        <v>12</v>
      </c>
      <c r="D315" s="49">
        <v>3399</v>
      </c>
    </row>
    <row r="316" spans="1:4" x14ac:dyDescent="0.3">
      <c r="A316" s="48">
        <v>307</v>
      </c>
      <c r="B316" s="48">
        <v>186</v>
      </c>
      <c r="C316" s="48">
        <v>15</v>
      </c>
      <c r="D316" s="49">
        <v>1360</v>
      </c>
    </row>
    <row r="317" spans="1:4" x14ac:dyDescent="0.3">
      <c r="A317" s="48">
        <v>308</v>
      </c>
      <c r="B317" s="48">
        <v>816</v>
      </c>
      <c r="C317" s="48">
        <v>36</v>
      </c>
      <c r="D317" s="49">
        <v>7432</v>
      </c>
    </row>
    <row r="318" spans="1:4" x14ac:dyDescent="0.3">
      <c r="A318" s="48">
        <v>309</v>
      </c>
      <c r="B318" s="48">
        <v>475</v>
      </c>
      <c r="C318" s="48">
        <v>18</v>
      </c>
      <c r="D318" s="49">
        <v>1245</v>
      </c>
    </row>
    <row r="319" spans="1:4" x14ac:dyDescent="0.3">
      <c r="A319" s="48">
        <v>310</v>
      </c>
      <c r="B319" s="48">
        <v>489</v>
      </c>
      <c r="C319" s="48">
        <v>10</v>
      </c>
      <c r="D319" s="49">
        <v>1418</v>
      </c>
    </row>
    <row r="320" spans="1:4" x14ac:dyDescent="0.3">
      <c r="A320" s="48">
        <v>311</v>
      </c>
      <c r="B320" s="48">
        <v>511</v>
      </c>
      <c r="C320" s="48">
        <v>12</v>
      </c>
      <c r="D320" s="49">
        <v>759</v>
      </c>
    </row>
    <row r="321" spans="1:4" x14ac:dyDescent="0.3">
      <c r="A321" s="48">
        <v>312</v>
      </c>
      <c r="B321" s="48">
        <v>230</v>
      </c>
      <c r="C321" s="48">
        <v>24</v>
      </c>
      <c r="D321" s="49">
        <v>3149</v>
      </c>
    </row>
    <row r="322" spans="1:4" x14ac:dyDescent="0.3">
      <c r="A322" s="48">
        <v>313</v>
      </c>
      <c r="B322" s="48">
        <v>289</v>
      </c>
      <c r="C322" s="48">
        <v>12</v>
      </c>
      <c r="D322" s="49">
        <v>1092</v>
      </c>
    </row>
    <row r="323" spans="1:4" x14ac:dyDescent="0.3">
      <c r="A323" s="48">
        <v>314</v>
      </c>
      <c r="B323" s="48">
        <v>257</v>
      </c>
      <c r="C323" s="48">
        <v>24</v>
      </c>
      <c r="D323" s="49">
        <v>2684</v>
      </c>
    </row>
    <row r="324" spans="1:4" x14ac:dyDescent="0.3">
      <c r="A324" s="48">
        <v>315</v>
      </c>
      <c r="B324" s="48">
        <v>614</v>
      </c>
      <c r="C324" s="48">
        <v>24</v>
      </c>
      <c r="D324" s="49">
        <v>3632</v>
      </c>
    </row>
    <row r="325" spans="1:4" x14ac:dyDescent="0.3">
      <c r="A325" s="48">
        <v>316</v>
      </c>
      <c r="B325" s="48">
        <v>469</v>
      </c>
      <c r="C325" s="48">
        <v>33</v>
      </c>
      <c r="D325" s="49">
        <v>2764</v>
      </c>
    </row>
    <row r="326" spans="1:4" x14ac:dyDescent="0.3">
      <c r="A326" s="48">
        <v>317</v>
      </c>
      <c r="B326" s="48">
        <v>212</v>
      </c>
      <c r="C326" s="48">
        <v>36</v>
      </c>
      <c r="D326" s="49">
        <v>3835</v>
      </c>
    </row>
    <row r="327" spans="1:4" x14ac:dyDescent="0.3">
      <c r="A327" s="48">
        <v>318</v>
      </c>
      <c r="B327" s="48">
        <v>636</v>
      </c>
      <c r="C327" s="48">
        <v>12</v>
      </c>
      <c r="D327" s="49">
        <v>1393</v>
      </c>
    </row>
    <row r="328" spans="1:4" x14ac:dyDescent="0.3">
      <c r="A328" s="48">
        <v>319</v>
      </c>
      <c r="B328" s="48">
        <v>389</v>
      </c>
      <c r="C328" s="48">
        <v>15</v>
      </c>
      <c r="D328" s="49">
        <v>2326</v>
      </c>
    </row>
    <row r="329" spans="1:4" x14ac:dyDescent="0.3">
      <c r="A329" s="58">
        <v>320</v>
      </c>
      <c r="B329" s="58">
        <v>509</v>
      </c>
      <c r="C329" s="58">
        <v>24</v>
      </c>
      <c r="D329" s="59">
        <v>1413</v>
      </c>
    </row>
  </sheetData>
  <mergeCells count="2">
    <mergeCell ref="B2:M2"/>
    <mergeCell ref="B3: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BD14-2CEB-4BA6-B0AB-B449C5293627}">
  <sheetPr>
    <tabColor rgb="FFFF8989"/>
  </sheetPr>
  <dimension ref="A1:M258"/>
  <sheetViews>
    <sheetView topLeftCell="B1" zoomScale="140" zoomScaleNormal="140" workbookViewId="0">
      <selection activeCell="B6" sqref="B6"/>
    </sheetView>
  </sheetViews>
  <sheetFormatPr defaultRowHeight="14.4" x14ac:dyDescent="0.3"/>
  <cols>
    <col min="3" max="3" width="13.6640625" customWidth="1"/>
    <col min="4" max="4" width="13.88671875" customWidth="1"/>
  </cols>
  <sheetData>
    <row r="1" spans="1:13" ht="15" thickBot="1" x14ac:dyDescent="0.35"/>
    <row r="2" spans="1:13" ht="15" thickBot="1" x14ac:dyDescent="0.35">
      <c r="B2" s="302" t="s">
        <v>73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1:13" x14ac:dyDescent="0.3">
      <c r="B3" s="305" t="s">
        <v>283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7"/>
    </row>
    <row r="4" spans="1:13" x14ac:dyDescent="0.3">
      <c r="B4" s="308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10"/>
    </row>
    <row r="5" spans="1:13" ht="15" thickBot="1" x14ac:dyDescent="0.35">
      <c r="B5" s="311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3"/>
    </row>
    <row r="6" spans="1:13" x14ac:dyDescent="0.3">
      <c r="B6" s="86"/>
      <c r="C6" s="86"/>
      <c r="D6" s="86"/>
      <c r="E6" s="86"/>
      <c r="F6" s="43"/>
      <c r="G6" s="86"/>
      <c r="H6" s="86"/>
      <c r="I6" s="86"/>
      <c r="J6" s="86"/>
      <c r="K6" s="86"/>
      <c r="L6" s="86"/>
      <c r="M6" s="86"/>
    </row>
    <row r="7" spans="1:13" x14ac:dyDescent="0.3">
      <c r="C7" s="33" t="s">
        <v>23</v>
      </c>
      <c r="F7" s="188" t="s">
        <v>133</v>
      </c>
    </row>
    <row r="8" spans="1:13" x14ac:dyDescent="0.3">
      <c r="A8" s="37" t="s">
        <v>13</v>
      </c>
      <c r="B8" s="37" t="s">
        <v>12</v>
      </c>
      <c r="C8" s="37" t="s">
        <v>42</v>
      </c>
      <c r="D8" s="41"/>
      <c r="F8" t="s">
        <v>145</v>
      </c>
    </row>
    <row r="9" spans="1:13" x14ac:dyDescent="0.3">
      <c r="A9" s="34">
        <v>1</v>
      </c>
      <c r="B9" s="34">
        <v>608</v>
      </c>
      <c r="C9" s="34" t="str">
        <f>VLOOKUP(B9,Dane!$A$1:$G$1001,7,FALSE)</f>
        <v>zły</v>
      </c>
      <c r="D9" s="39">
        <f>IF(C9="dobry",1,0)</f>
        <v>0</v>
      </c>
      <c r="F9" s="25" t="s">
        <v>14</v>
      </c>
      <c r="G9" s="4">
        <v>1000</v>
      </c>
    </row>
    <row r="10" spans="1:13" x14ac:dyDescent="0.3">
      <c r="A10" s="34">
        <v>2</v>
      </c>
      <c r="B10" s="34">
        <v>388</v>
      </c>
      <c r="C10" s="34" t="str">
        <f>VLOOKUP(B10,Dane!$A$1:$G$1001,7,FALSE)</f>
        <v>dobry</v>
      </c>
      <c r="D10" s="39">
        <f>IF(C10="dobry",1,0)</f>
        <v>1</v>
      </c>
      <c r="F10" s="25" t="s">
        <v>16</v>
      </c>
      <c r="G10" s="4">
        <v>200</v>
      </c>
    </row>
    <row r="11" spans="1:13" x14ac:dyDescent="0.3">
      <c r="A11" s="34">
        <v>3</v>
      </c>
      <c r="B11" s="34">
        <v>385</v>
      </c>
      <c r="C11" s="34" t="str">
        <f>VLOOKUP(B11,Dane!$A$1:$G$1001,7,FALSE)</f>
        <v>dobry</v>
      </c>
      <c r="D11" s="39">
        <f t="shared" ref="D11:D74" si="0">IF(C11="dobry",1,0)</f>
        <v>1</v>
      </c>
      <c r="F11" s="25" t="s">
        <v>20</v>
      </c>
      <c r="G11" s="4">
        <v>0.05</v>
      </c>
    </row>
    <row r="12" spans="1:13" x14ac:dyDescent="0.3">
      <c r="A12" s="34">
        <v>4</v>
      </c>
      <c r="B12" s="34">
        <v>453</v>
      </c>
      <c r="C12" s="34" t="str">
        <f>VLOOKUP(B12,Dane!$A$1:$G$1001,7,FALSE)</f>
        <v>dobry</v>
      </c>
      <c r="D12" s="39">
        <f t="shared" si="0"/>
        <v>1</v>
      </c>
      <c r="F12" s="25" t="s">
        <v>35</v>
      </c>
      <c r="G12" s="4">
        <f>AVERAGE(D9:D208)</f>
        <v>0.71499999999999997</v>
      </c>
      <c r="H12" s="1" t="s">
        <v>203</v>
      </c>
    </row>
    <row r="13" spans="1:13" x14ac:dyDescent="0.3">
      <c r="A13" s="34">
        <v>5</v>
      </c>
      <c r="B13" s="34">
        <v>169</v>
      </c>
      <c r="C13" s="34" t="str">
        <f>VLOOKUP(B13,Dane!$A$1:$G$1001,7,FALSE)</f>
        <v>dobry</v>
      </c>
      <c r="D13" s="39">
        <f t="shared" si="0"/>
        <v>1</v>
      </c>
      <c r="F13" s="25" t="s">
        <v>36</v>
      </c>
      <c r="G13" s="4">
        <f>G12*(1-G12)*(G10/(G10-1))</f>
        <v>0.20479899497487436</v>
      </c>
    </row>
    <row r="14" spans="1:13" x14ac:dyDescent="0.3">
      <c r="A14" s="34">
        <v>6</v>
      </c>
      <c r="B14" s="34">
        <v>811</v>
      </c>
      <c r="C14" s="34" t="str">
        <f>VLOOKUP(B14,Dane!$A$1:$G$1001,7,FALSE)</f>
        <v>dobry</v>
      </c>
      <c r="D14" s="39">
        <f t="shared" si="0"/>
        <v>1</v>
      </c>
      <c r="F14" s="25" t="s">
        <v>15</v>
      </c>
      <c r="G14" s="4">
        <f>ROUNDUP(G9/(1+(G9*G11^2)/(4*G13)),0)</f>
        <v>247</v>
      </c>
      <c r="H14" s="1"/>
    </row>
    <row r="15" spans="1:13" x14ac:dyDescent="0.3">
      <c r="A15" s="34">
        <v>7</v>
      </c>
      <c r="B15" s="34">
        <v>564</v>
      </c>
      <c r="C15" s="34" t="str">
        <f>VLOOKUP(B15,Dane!$A$1:$G$1001,7,FALSE)</f>
        <v>zły</v>
      </c>
      <c r="D15" s="39">
        <f t="shared" si="0"/>
        <v>0</v>
      </c>
    </row>
    <row r="16" spans="1:13" x14ac:dyDescent="0.3">
      <c r="A16" s="34">
        <v>8</v>
      </c>
      <c r="B16" s="34">
        <v>802</v>
      </c>
      <c r="C16" s="34" t="str">
        <f>VLOOKUP(B16,Dane!$A$1:$G$1001,7,FALSE)</f>
        <v>dobry</v>
      </c>
      <c r="D16" s="39">
        <f t="shared" si="0"/>
        <v>1</v>
      </c>
      <c r="F16" t="s">
        <v>146</v>
      </c>
    </row>
    <row r="17" spans="1:8" x14ac:dyDescent="0.3">
      <c r="A17" s="34">
        <v>9</v>
      </c>
      <c r="B17" s="34">
        <v>136</v>
      </c>
      <c r="C17" s="34" t="str">
        <f>VLOOKUP(B17,Dane!$A$1:$G$1001,7,FALSE)</f>
        <v>dobry</v>
      </c>
      <c r="D17" s="39">
        <f t="shared" si="0"/>
        <v>1</v>
      </c>
    </row>
    <row r="18" spans="1:8" x14ac:dyDescent="0.3">
      <c r="A18" s="34">
        <v>10</v>
      </c>
      <c r="B18" s="34">
        <v>597</v>
      </c>
      <c r="C18" s="34" t="str">
        <f>VLOOKUP(B18,Dane!$A$1:$G$1001,7,FALSE)</f>
        <v>zły</v>
      </c>
      <c r="D18" s="39">
        <f t="shared" si="0"/>
        <v>0</v>
      </c>
      <c r="F18" s="25" t="s">
        <v>14</v>
      </c>
      <c r="G18" s="4">
        <v>1000</v>
      </c>
    </row>
    <row r="19" spans="1:8" x14ac:dyDescent="0.3">
      <c r="A19" s="34">
        <v>11</v>
      </c>
      <c r="B19" s="34">
        <v>256</v>
      </c>
      <c r="C19" s="34" t="str">
        <f>VLOOKUP(B19,Dane!$A$1:$G$1001,7,FALSE)</f>
        <v>dobry</v>
      </c>
      <c r="D19" s="39">
        <f t="shared" si="0"/>
        <v>1</v>
      </c>
      <c r="F19" s="25" t="s">
        <v>16</v>
      </c>
      <c r="G19" s="4">
        <v>250</v>
      </c>
    </row>
    <row r="20" spans="1:8" x14ac:dyDescent="0.3">
      <c r="A20" s="34">
        <v>12</v>
      </c>
      <c r="B20" s="34">
        <v>255</v>
      </c>
      <c r="C20" s="34" t="str">
        <f>VLOOKUP(B20,Dane!$A$1:$G$1001,7,FALSE)</f>
        <v>dobry</v>
      </c>
      <c r="D20" s="39">
        <f t="shared" si="0"/>
        <v>1</v>
      </c>
      <c r="F20" s="25" t="s">
        <v>20</v>
      </c>
      <c r="G20" s="4">
        <v>0.05</v>
      </c>
    </row>
    <row r="21" spans="1:8" x14ac:dyDescent="0.3">
      <c r="A21" s="34">
        <v>13</v>
      </c>
      <c r="B21" s="34">
        <v>421</v>
      </c>
      <c r="C21" s="34" t="str">
        <f>VLOOKUP(B21,Dane!$A$1:$G$1001,7,FALSE)</f>
        <v>dobry</v>
      </c>
      <c r="D21" s="39">
        <f t="shared" si="0"/>
        <v>1</v>
      </c>
      <c r="F21" s="25" t="s">
        <v>35</v>
      </c>
      <c r="G21" s="190">
        <f>AVERAGE(D9:D258)</f>
        <v>0.70799999999999996</v>
      </c>
      <c r="H21" s="1" t="s">
        <v>203</v>
      </c>
    </row>
    <row r="22" spans="1:8" x14ac:dyDescent="0.3">
      <c r="A22" s="34">
        <v>14</v>
      </c>
      <c r="B22" s="34">
        <v>573</v>
      </c>
      <c r="C22" s="34" t="str">
        <f>VLOOKUP(B22,Dane!$A$1:$G$1001,7,FALSE)</f>
        <v>dobry</v>
      </c>
      <c r="D22" s="39">
        <f t="shared" si="0"/>
        <v>1</v>
      </c>
      <c r="F22" s="25" t="s">
        <v>36</v>
      </c>
      <c r="G22" s="4">
        <f>G21*(1-G21)*(G19/(G19-1))</f>
        <v>0.20756626506024098</v>
      </c>
    </row>
    <row r="23" spans="1:8" x14ac:dyDescent="0.3">
      <c r="A23" s="34">
        <v>15</v>
      </c>
      <c r="B23" s="34">
        <v>294</v>
      </c>
      <c r="C23" s="34" t="str">
        <f>VLOOKUP(B23,Dane!$A$1:$G$1001,7,FALSE)</f>
        <v>dobry</v>
      </c>
      <c r="D23" s="39">
        <f t="shared" si="0"/>
        <v>1</v>
      </c>
      <c r="F23" s="25" t="s">
        <v>15</v>
      </c>
      <c r="G23" s="4">
        <f>ROUNDUP(G18/(1+(G18*G20^2)/(4*G22)),0)</f>
        <v>250</v>
      </c>
      <c r="H23" s="1"/>
    </row>
    <row r="24" spans="1:8" x14ac:dyDescent="0.3">
      <c r="A24" s="34">
        <v>16</v>
      </c>
      <c r="B24" s="34">
        <v>17</v>
      </c>
      <c r="C24" s="34" t="str">
        <f>VLOOKUP(B24,Dane!$A$1:$G$1001,7,FALSE)</f>
        <v>dobry</v>
      </c>
      <c r="D24" s="39">
        <f t="shared" si="0"/>
        <v>1</v>
      </c>
    </row>
    <row r="25" spans="1:8" x14ac:dyDescent="0.3">
      <c r="A25" s="34">
        <v>17</v>
      </c>
      <c r="B25" s="34">
        <v>899</v>
      </c>
      <c r="C25" s="34" t="str">
        <f>VLOOKUP(B25,Dane!$A$1:$G$1001,7,FALSE)</f>
        <v>dobry</v>
      </c>
      <c r="D25" s="39">
        <f t="shared" si="0"/>
        <v>1</v>
      </c>
      <c r="F25" t="s">
        <v>147</v>
      </c>
    </row>
    <row r="26" spans="1:8" x14ac:dyDescent="0.3">
      <c r="A26" s="34">
        <v>18</v>
      </c>
      <c r="B26" s="34">
        <v>232</v>
      </c>
      <c r="C26" s="34" t="str">
        <f>VLOOKUP(B26,Dane!$A$1:$G$1001,7,FALSE)</f>
        <v>dobry</v>
      </c>
      <c r="D26" s="39">
        <f t="shared" si="0"/>
        <v>1</v>
      </c>
    </row>
    <row r="27" spans="1:8" x14ac:dyDescent="0.3">
      <c r="A27" s="34">
        <v>19</v>
      </c>
      <c r="B27" s="34">
        <v>948</v>
      </c>
      <c r="C27" s="34" t="str">
        <f>VLOOKUP(B27,Dane!$A$1:$G$1001,7,FALSE)</f>
        <v>dobry</v>
      </c>
      <c r="D27" s="39">
        <f t="shared" si="0"/>
        <v>1</v>
      </c>
      <c r="F27" s="5" t="s">
        <v>67</v>
      </c>
    </row>
    <row r="28" spans="1:8" x14ac:dyDescent="0.3">
      <c r="A28" s="34">
        <v>20</v>
      </c>
      <c r="B28" s="34">
        <v>744</v>
      </c>
      <c r="C28" s="34" t="str">
        <f>VLOOKUP(B28,Dane!$A$1:$G$1001,7,FALSE)</f>
        <v>dobry</v>
      </c>
      <c r="D28" s="39">
        <f t="shared" si="0"/>
        <v>1</v>
      </c>
      <c r="F28" s="28" t="str">
        <f>"D"&amp;_xlfn.UNICHAR(770) &amp; "²(p)"</f>
        <v>D̂²(p)</v>
      </c>
      <c r="G28" s="4">
        <f>(G18-G19)*G22/(G18*(G19-1))</f>
        <v>6.2519959355494272E-4</v>
      </c>
    </row>
    <row r="29" spans="1:8" x14ac:dyDescent="0.3">
      <c r="A29" s="34">
        <v>21</v>
      </c>
      <c r="B29" s="34">
        <v>671</v>
      </c>
      <c r="C29" s="34" t="str">
        <f>VLOOKUP(B29,Dane!$A$1:$G$1001,7,FALSE)</f>
        <v>dobry</v>
      </c>
      <c r="D29" s="39">
        <f t="shared" si="0"/>
        <v>1</v>
      </c>
      <c r="F29" s="28" t="str">
        <f>"D"&amp;_xlfn.UNICHAR(770) &amp; "(p)"</f>
        <v>D̂(p)</v>
      </c>
      <c r="G29" s="190">
        <f>SQRT(G28)</f>
        <v>2.5003991552449034E-2</v>
      </c>
    </row>
    <row r="30" spans="1:8" x14ac:dyDescent="0.3">
      <c r="A30" s="34">
        <v>22</v>
      </c>
      <c r="B30" s="34">
        <v>204</v>
      </c>
      <c r="C30" s="34" t="str">
        <f>VLOOKUP(B30,Dane!$A$1:$G$1001,7,FALSE)</f>
        <v>zły</v>
      </c>
      <c r="D30" s="39">
        <f t="shared" si="0"/>
        <v>0</v>
      </c>
    </row>
    <row r="31" spans="1:8" x14ac:dyDescent="0.3">
      <c r="A31" s="34">
        <v>23</v>
      </c>
      <c r="B31" s="34">
        <v>718</v>
      </c>
      <c r="C31" s="34" t="str">
        <f>VLOOKUP(B31,Dane!$A$1:$G$1001,7,FALSE)</f>
        <v>dobry</v>
      </c>
      <c r="D31" s="39">
        <f t="shared" si="0"/>
        <v>1</v>
      </c>
      <c r="F31" t="s">
        <v>148</v>
      </c>
    </row>
    <row r="32" spans="1:8" x14ac:dyDescent="0.3">
      <c r="A32" s="34">
        <v>24</v>
      </c>
      <c r="B32" s="34">
        <v>472</v>
      </c>
      <c r="C32" s="34" t="str">
        <f>VLOOKUP(B32,Dane!$A$1:$G$1001,7,FALSE)</f>
        <v>zły</v>
      </c>
      <c r="D32" s="39">
        <f t="shared" si="0"/>
        <v>0</v>
      </c>
    </row>
    <row r="33" spans="1:9" x14ac:dyDescent="0.3">
      <c r="A33" s="34">
        <v>25</v>
      </c>
      <c r="B33" s="34">
        <v>940</v>
      </c>
      <c r="C33" s="34" t="str">
        <f>VLOOKUP(B33,Dane!$A$1:$G$1001,7,FALSE)</f>
        <v>dobry</v>
      </c>
      <c r="D33" s="39">
        <f t="shared" si="0"/>
        <v>1</v>
      </c>
      <c r="F33" s="5" t="s">
        <v>253</v>
      </c>
    </row>
    <row r="34" spans="1:9" x14ac:dyDescent="0.3">
      <c r="A34" s="34">
        <v>26</v>
      </c>
      <c r="B34" s="34">
        <v>577</v>
      </c>
      <c r="C34" s="34" t="str">
        <f>VLOOKUP(B34,Dane!$A$1:$G$1001,7,FALSE)</f>
        <v>dobry</v>
      </c>
      <c r="D34" s="39">
        <f t="shared" si="0"/>
        <v>1</v>
      </c>
      <c r="F34" s="6" t="s">
        <v>37</v>
      </c>
      <c r="G34" s="4">
        <v>0.95</v>
      </c>
    </row>
    <row r="35" spans="1:9" x14ac:dyDescent="0.3">
      <c r="A35" s="34">
        <v>27</v>
      </c>
      <c r="B35" s="34">
        <v>786</v>
      </c>
      <c r="C35" s="34" t="str">
        <f>VLOOKUP(B35,Dane!$A$1:$G$1001,7,FALSE)</f>
        <v>dobry</v>
      </c>
      <c r="D35" s="39">
        <f t="shared" si="0"/>
        <v>1</v>
      </c>
      <c r="F35" s="6" t="s">
        <v>38</v>
      </c>
      <c r="G35" s="4">
        <v>0.05</v>
      </c>
    </row>
    <row r="36" spans="1:9" x14ac:dyDescent="0.3">
      <c r="A36" s="34">
        <v>28</v>
      </c>
      <c r="B36" s="34">
        <v>274</v>
      </c>
      <c r="C36" s="34" t="str">
        <f>VLOOKUP(B36,Dane!$A$1:$G$1001,7,FALSE)</f>
        <v>zły</v>
      </c>
      <c r="D36" s="39">
        <f t="shared" si="0"/>
        <v>0</v>
      </c>
      <c r="F36" s="6" t="s">
        <v>39</v>
      </c>
      <c r="G36" s="4">
        <f>_xlfn.NORM.S.INV(1-G35/2)</f>
        <v>1.9599639845400536</v>
      </c>
    </row>
    <row r="37" spans="1:9" x14ac:dyDescent="0.3">
      <c r="A37" s="34">
        <v>29</v>
      </c>
      <c r="B37" s="34">
        <v>703</v>
      </c>
      <c r="C37" s="34" t="str">
        <f>VLOOKUP(B37,Dane!$A$1:$G$1001,7,FALSE)</f>
        <v>dobry</v>
      </c>
      <c r="D37" s="39">
        <f t="shared" si="0"/>
        <v>1</v>
      </c>
    </row>
    <row r="38" spans="1:9" ht="28.8" x14ac:dyDescent="0.3">
      <c r="A38" s="34">
        <v>30</v>
      </c>
      <c r="B38" s="34">
        <v>340</v>
      </c>
      <c r="C38" s="34" t="str">
        <f>VLOOKUP(B38,Dane!$A$1:$G$1001,7,FALSE)</f>
        <v>dobry</v>
      </c>
      <c r="D38" s="39">
        <f t="shared" si="0"/>
        <v>1</v>
      </c>
      <c r="F38" s="46" t="s">
        <v>40</v>
      </c>
      <c r="G38" s="7">
        <f>G21-G36*G29</f>
        <v>0.65899307708745614</v>
      </c>
      <c r="I38" t="s">
        <v>149</v>
      </c>
    </row>
    <row r="39" spans="1:9" ht="28.8" x14ac:dyDescent="0.3">
      <c r="A39" s="34">
        <v>31</v>
      </c>
      <c r="B39" s="34">
        <v>322</v>
      </c>
      <c r="C39" s="34" t="str">
        <f>VLOOKUP(B39,Dane!$A$1:$G$1001,7,FALSE)</f>
        <v>zły</v>
      </c>
      <c r="D39" s="39">
        <f t="shared" si="0"/>
        <v>0</v>
      </c>
      <c r="F39" s="46" t="s">
        <v>41</v>
      </c>
      <c r="G39" s="7">
        <f>G21+G36*G29</f>
        <v>0.75700692291254379</v>
      </c>
    </row>
    <row r="40" spans="1:9" x14ac:dyDescent="0.3">
      <c r="A40" s="34">
        <v>32</v>
      </c>
      <c r="B40" s="34">
        <v>960</v>
      </c>
      <c r="C40" s="34" t="str">
        <f>VLOOKUP(B40,Dane!$A$1:$G$1001,7,FALSE)</f>
        <v>dobry</v>
      </c>
      <c r="D40" s="39">
        <f t="shared" si="0"/>
        <v>1</v>
      </c>
    </row>
    <row r="41" spans="1:9" x14ac:dyDescent="0.3">
      <c r="A41" s="34">
        <v>33</v>
      </c>
      <c r="B41" s="34">
        <v>176</v>
      </c>
      <c r="C41" s="34" t="str">
        <f>VLOOKUP(B41,Dane!$A$1:$G$1001,7,FALSE)</f>
        <v>zły</v>
      </c>
      <c r="D41" s="39">
        <f t="shared" si="0"/>
        <v>0</v>
      </c>
      <c r="F41" s="2" t="s">
        <v>204</v>
      </c>
    </row>
    <row r="42" spans="1:9" x14ac:dyDescent="0.3">
      <c r="A42" s="34">
        <v>34</v>
      </c>
      <c r="B42" s="34">
        <v>360</v>
      </c>
      <c r="C42" s="34" t="str">
        <f>VLOOKUP(B42,Dane!$A$1:$G$1001,7,FALSE)</f>
        <v>zły</v>
      </c>
      <c r="D42" s="39">
        <f t="shared" si="0"/>
        <v>0</v>
      </c>
      <c r="F42" s="236" t="s">
        <v>205</v>
      </c>
      <c r="G42" s="190">
        <f>G21*G18</f>
        <v>708</v>
      </c>
    </row>
    <row r="43" spans="1:9" x14ac:dyDescent="0.3">
      <c r="A43" s="34">
        <v>35</v>
      </c>
      <c r="B43" s="34">
        <v>944</v>
      </c>
      <c r="C43" s="34" t="str">
        <f>VLOOKUP(B43,Dane!$A$1:$G$1001,7,FALSE)</f>
        <v>dobry</v>
      </c>
      <c r="D43" s="39">
        <f t="shared" si="0"/>
        <v>1</v>
      </c>
      <c r="F43" s="29" t="str">
        <f>"D"&amp;_xlfn.UNICHAR(770) &amp; "²(p)"</f>
        <v>D̂²(p)</v>
      </c>
      <c r="G43" s="4">
        <f>G28*G18^2</f>
        <v>625.19959355494268</v>
      </c>
    </row>
    <row r="44" spans="1:9" x14ac:dyDescent="0.3">
      <c r="A44" s="34">
        <v>36</v>
      </c>
      <c r="B44" s="34">
        <v>743</v>
      </c>
      <c r="C44" s="34" t="str">
        <f>VLOOKUP(B44,Dane!$A$1:$G$1001,7,FALSE)</f>
        <v>dobry</v>
      </c>
      <c r="D44" s="39">
        <f t="shared" si="0"/>
        <v>1</v>
      </c>
      <c r="F44" s="29" t="str">
        <f>"D"&amp;_xlfn.UNICHAR(770) &amp; "(p)"</f>
        <v>D̂(p)</v>
      </c>
      <c r="G44" s="190">
        <f>SQRT(G43)</f>
        <v>25.003991552449033</v>
      </c>
    </row>
    <row r="45" spans="1:9" x14ac:dyDescent="0.3">
      <c r="A45" s="34">
        <v>37</v>
      </c>
      <c r="B45" s="34">
        <v>412</v>
      </c>
      <c r="C45" s="34" t="str">
        <f>VLOOKUP(B45,Dane!$A$1:$G$1001,7,FALSE)</f>
        <v>dobry</v>
      </c>
      <c r="D45" s="39">
        <f t="shared" si="0"/>
        <v>1</v>
      </c>
    </row>
    <row r="46" spans="1:9" x14ac:dyDescent="0.3">
      <c r="A46" s="34">
        <v>38</v>
      </c>
      <c r="B46" s="34">
        <v>224</v>
      </c>
      <c r="C46" s="34" t="str">
        <f>VLOOKUP(B46,Dane!$A$1:$G$1001,7,FALSE)</f>
        <v>dobry</v>
      </c>
      <c r="D46" s="39">
        <f t="shared" si="0"/>
        <v>1</v>
      </c>
      <c r="F46" t="s">
        <v>150</v>
      </c>
    </row>
    <row r="47" spans="1:9" x14ac:dyDescent="0.3">
      <c r="A47" s="34">
        <v>39</v>
      </c>
      <c r="B47" s="34">
        <v>803</v>
      </c>
      <c r="C47" s="34" t="str">
        <f>VLOOKUP(B47,Dane!$A$1:$G$1001,7,FALSE)</f>
        <v>dobry</v>
      </c>
      <c r="D47" s="39">
        <f t="shared" si="0"/>
        <v>1</v>
      </c>
    </row>
    <row r="48" spans="1:9" x14ac:dyDescent="0.3">
      <c r="A48" s="34">
        <v>40</v>
      </c>
      <c r="B48" s="34">
        <v>962</v>
      </c>
      <c r="C48" s="34" t="str">
        <f>VLOOKUP(B48,Dane!$A$1:$G$1001,7,FALSE)</f>
        <v>dobry</v>
      </c>
      <c r="D48" s="39">
        <f t="shared" si="0"/>
        <v>1</v>
      </c>
    </row>
    <row r="49" spans="1:4" x14ac:dyDescent="0.3">
      <c r="A49" s="34">
        <v>41</v>
      </c>
      <c r="B49" s="34">
        <v>654</v>
      </c>
      <c r="C49" s="34" t="str">
        <f>VLOOKUP(B49,Dane!$A$1:$G$1001,7,FALSE)</f>
        <v>zły</v>
      </c>
      <c r="D49" s="39">
        <f t="shared" si="0"/>
        <v>0</v>
      </c>
    </row>
    <row r="50" spans="1:4" x14ac:dyDescent="0.3">
      <c r="A50" s="34">
        <v>42</v>
      </c>
      <c r="B50" s="34">
        <v>559</v>
      </c>
      <c r="C50" s="34" t="str">
        <f>VLOOKUP(B50,Dane!$A$1:$G$1001,7,FALSE)</f>
        <v>zły</v>
      </c>
      <c r="D50" s="39">
        <f t="shared" si="0"/>
        <v>0</v>
      </c>
    </row>
    <row r="51" spans="1:4" x14ac:dyDescent="0.3">
      <c r="A51" s="34">
        <v>43</v>
      </c>
      <c r="B51" s="34">
        <v>747</v>
      </c>
      <c r="C51" s="34" t="str">
        <f>VLOOKUP(B51,Dane!$A$1:$G$1001,7,FALSE)</f>
        <v>dobry</v>
      </c>
      <c r="D51" s="39">
        <f t="shared" si="0"/>
        <v>1</v>
      </c>
    </row>
    <row r="52" spans="1:4" x14ac:dyDescent="0.3">
      <c r="A52" s="34">
        <v>44</v>
      </c>
      <c r="B52" s="34">
        <v>789</v>
      </c>
      <c r="C52" s="34" t="str">
        <f>VLOOKUP(B52,Dane!$A$1:$G$1001,7,FALSE)</f>
        <v>zły</v>
      </c>
      <c r="D52" s="39">
        <f t="shared" si="0"/>
        <v>0</v>
      </c>
    </row>
    <row r="53" spans="1:4" x14ac:dyDescent="0.3">
      <c r="A53" s="34">
        <v>45</v>
      </c>
      <c r="B53" s="34">
        <v>793</v>
      </c>
      <c r="C53" s="34" t="str">
        <f>VLOOKUP(B53,Dane!$A$1:$G$1001,7,FALSE)</f>
        <v>dobry</v>
      </c>
      <c r="D53" s="39">
        <f t="shared" si="0"/>
        <v>1</v>
      </c>
    </row>
    <row r="54" spans="1:4" x14ac:dyDescent="0.3">
      <c r="A54" s="34">
        <v>46</v>
      </c>
      <c r="B54" s="34">
        <v>846</v>
      </c>
      <c r="C54" s="34" t="str">
        <f>VLOOKUP(B54,Dane!$A$1:$G$1001,7,FALSE)</f>
        <v>dobry</v>
      </c>
      <c r="D54" s="39">
        <f t="shared" si="0"/>
        <v>1</v>
      </c>
    </row>
    <row r="55" spans="1:4" x14ac:dyDescent="0.3">
      <c r="A55" s="34">
        <v>47</v>
      </c>
      <c r="B55" s="34">
        <v>749</v>
      </c>
      <c r="C55" s="34" t="str">
        <f>VLOOKUP(B55,Dane!$A$1:$G$1001,7,FALSE)</f>
        <v>dobry</v>
      </c>
      <c r="D55" s="39">
        <f t="shared" si="0"/>
        <v>1</v>
      </c>
    </row>
    <row r="56" spans="1:4" x14ac:dyDescent="0.3">
      <c r="A56" s="34">
        <v>48</v>
      </c>
      <c r="B56" s="34">
        <v>315</v>
      </c>
      <c r="C56" s="34" t="str">
        <f>VLOOKUP(B56,Dane!$A$1:$G$1001,7,FALSE)</f>
        <v>dobry</v>
      </c>
      <c r="D56" s="39">
        <f t="shared" si="0"/>
        <v>1</v>
      </c>
    </row>
    <row r="57" spans="1:4" x14ac:dyDescent="0.3">
      <c r="A57" s="34">
        <v>49</v>
      </c>
      <c r="B57" s="34">
        <v>650</v>
      </c>
      <c r="C57" s="34" t="str">
        <f>VLOOKUP(B57,Dane!$A$1:$G$1001,7,FALSE)</f>
        <v>zły</v>
      </c>
      <c r="D57" s="39">
        <f t="shared" si="0"/>
        <v>0</v>
      </c>
    </row>
    <row r="58" spans="1:4" x14ac:dyDescent="0.3">
      <c r="A58" s="34">
        <v>50</v>
      </c>
      <c r="B58" s="34">
        <v>371</v>
      </c>
      <c r="C58" s="34" t="str">
        <f>VLOOKUP(B58,Dane!$A$1:$G$1001,7,FALSE)</f>
        <v>dobry</v>
      </c>
      <c r="D58" s="39">
        <f t="shared" si="0"/>
        <v>1</v>
      </c>
    </row>
    <row r="59" spans="1:4" x14ac:dyDescent="0.3">
      <c r="A59" s="34">
        <v>51</v>
      </c>
      <c r="B59" s="34">
        <v>277</v>
      </c>
      <c r="C59" s="34" t="str">
        <f>VLOOKUP(B59,Dane!$A$1:$G$1001,7,FALSE)</f>
        <v>dobry</v>
      </c>
      <c r="D59" s="39">
        <f t="shared" si="0"/>
        <v>1</v>
      </c>
    </row>
    <row r="60" spans="1:4" x14ac:dyDescent="0.3">
      <c r="A60" s="34">
        <v>52</v>
      </c>
      <c r="B60" s="34">
        <v>275</v>
      </c>
      <c r="C60" s="34" t="str">
        <f>VLOOKUP(B60,Dane!$A$1:$G$1001,7,FALSE)</f>
        <v>zły</v>
      </c>
      <c r="D60" s="39">
        <f t="shared" si="0"/>
        <v>0</v>
      </c>
    </row>
    <row r="61" spans="1:4" x14ac:dyDescent="0.3">
      <c r="A61" s="34">
        <v>53</v>
      </c>
      <c r="B61" s="34">
        <v>898</v>
      </c>
      <c r="C61" s="34" t="str">
        <f>VLOOKUP(B61,Dane!$A$1:$G$1001,7,FALSE)</f>
        <v>dobry</v>
      </c>
      <c r="D61" s="39">
        <f t="shared" si="0"/>
        <v>1</v>
      </c>
    </row>
    <row r="62" spans="1:4" x14ac:dyDescent="0.3">
      <c r="A62" s="34">
        <v>54</v>
      </c>
      <c r="B62" s="34">
        <v>934</v>
      </c>
      <c r="C62" s="34" t="str">
        <f>VLOOKUP(B62,Dane!$A$1:$G$1001,7,FALSE)</f>
        <v>dobry</v>
      </c>
      <c r="D62" s="39">
        <f t="shared" si="0"/>
        <v>1</v>
      </c>
    </row>
    <row r="63" spans="1:4" x14ac:dyDescent="0.3">
      <c r="A63" s="34">
        <v>55</v>
      </c>
      <c r="B63" s="34">
        <v>762</v>
      </c>
      <c r="C63" s="34" t="str">
        <f>VLOOKUP(B63,Dane!$A$1:$G$1001,7,FALSE)</f>
        <v>zły</v>
      </c>
      <c r="D63" s="39">
        <f t="shared" si="0"/>
        <v>0</v>
      </c>
    </row>
    <row r="64" spans="1:4" x14ac:dyDescent="0.3">
      <c r="A64" s="34">
        <v>56</v>
      </c>
      <c r="B64" s="34">
        <v>278</v>
      </c>
      <c r="C64" s="34" t="str">
        <f>VLOOKUP(B64,Dane!$A$1:$G$1001,7,FALSE)</f>
        <v>dobry</v>
      </c>
      <c r="D64" s="39">
        <f t="shared" si="0"/>
        <v>1</v>
      </c>
    </row>
    <row r="65" spans="1:4" x14ac:dyDescent="0.3">
      <c r="A65" s="34">
        <v>57</v>
      </c>
      <c r="B65" s="34">
        <v>27</v>
      </c>
      <c r="C65" s="34" t="str">
        <f>VLOOKUP(B65,Dane!$A$1:$G$1001,7,FALSE)</f>
        <v>dobry</v>
      </c>
      <c r="D65" s="39">
        <f t="shared" si="0"/>
        <v>1</v>
      </c>
    </row>
    <row r="66" spans="1:4" x14ac:dyDescent="0.3">
      <c r="A66" s="34">
        <v>58</v>
      </c>
      <c r="B66" s="34">
        <v>327</v>
      </c>
      <c r="C66" s="34" t="str">
        <f>VLOOKUP(B66,Dane!$A$1:$G$1001,7,FALSE)</f>
        <v>dobry</v>
      </c>
      <c r="D66" s="39">
        <f t="shared" si="0"/>
        <v>1</v>
      </c>
    </row>
    <row r="67" spans="1:4" x14ac:dyDescent="0.3">
      <c r="A67" s="34">
        <v>59</v>
      </c>
      <c r="B67" s="34">
        <v>961</v>
      </c>
      <c r="C67" s="34" t="str">
        <f>VLOOKUP(B67,Dane!$A$1:$G$1001,7,FALSE)</f>
        <v>dobry</v>
      </c>
      <c r="D67" s="39">
        <f t="shared" si="0"/>
        <v>1</v>
      </c>
    </row>
    <row r="68" spans="1:4" x14ac:dyDescent="0.3">
      <c r="A68" s="34">
        <v>60</v>
      </c>
      <c r="B68" s="34">
        <v>118</v>
      </c>
      <c r="C68" s="34" t="str">
        <f>VLOOKUP(B68,Dane!$A$1:$G$1001,7,FALSE)</f>
        <v>dobry</v>
      </c>
      <c r="D68" s="39">
        <f t="shared" si="0"/>
        <v>1</v>
      </c>
    </row>
    <row r="69" spans="1:4" x14ac:dyDescent="0.3">
      <c r="A69" s="34">
        <v>61</v>
      </c>
      <c r="B69" s="34">
        <v>402</v>
      </c>
      <c r="C69" s="34" t="str">
        <f>VLOOKUP(B69,Dane!$A$1:$G$1001,7,FALSE)</f>
        <v>dobry</v>
      </c>
      <c r="D69" s="39">
        <f t="shared" si="0"/>
        <v>1</v>
      </c>
    </row>
    <row r="70" spans="1:4" x14ac:dyDescent="0.3">
      <c r="A70" s="34">
        <v>62</v>
      </c>
      <c r="B70" s="34">
        <v>391</v>
      </c>
      <c r="C70" s="34" t="str">
        <f>VLOOKUP(B70,Dane!$A$1:$G$1001,7,FALSE)</f>
        <v>dobry</v>
      </c>
      <c r="D70" s="39">
        <f t="shared" si="0"/>
        <v>1</v>
      </c>
    </row>
    <row r="71" spans="1:4" x14ac:dyDescent="0.3">
      <c r="A71" s="34">
        <v>63</v>
      </c>
      <c r="B71" s="34">
        <v>95</v>
      </c>
      <c r="C71" s="34" t="str">
        <f>VLOOKUP(B71,Dane!$A$1:$G$1001,7,FALSE)</f>
        <v>dobry</v>
      </c>
      <c r="D71" s="39">
        <f t="shared" si="0"/>
        <v>1</v>
      </c>
    </row>
    <row r="72" spans="1:4" x14ac:dyDescent="0.3">
      <c r="A72" s="34">
        <v>64</v>
      </c>
      <c r="B72" s="34">
        <v>464</v>
      </c>
      <c r="C72" s="34" t="str">
        <f>VLOOKUP(B72,Dane!$A$1:$G$1001,7,FALSE)</f>
        <v>dobry</v>
      </c>
      <c r="D72" s="39">
        <f t="shared" si="0"/>
        <v>1</v>
      </c>
    </row>
    <row r="73" spans="1:4" x14ac:dyDescent="0.3">
      <c r="A73" s="34">
        <v>65</v>
      </c>
      <c r="B73" s="34">
        <v>856</v>
      </c>
      <c r="C73" s="34" t="str">
        <f>VLOOKUP(B73,Dane!$A$1:$G$1001,7,FALSE)</f>
        <v>dobry</v>
      </c>
      <c r="D73" s="39">
        <f t="shared" si="0"/>
        <v>1</v>
      </c>
    </row>
    <row r="74" spans="1:4" x14ac:dyDescent="0.3">
      <c r="A74" s="34">
        <v>66</v>
      </c>
      <c r="B74" s="34">
        <v>343</v>
      </c>
      <c r="C74" s="34" t="str">
        <f>VLOOKUP(B74,Dane!$A$1:$G$1001,7,FALSE)</f>
        <v>dobry</v>
      </c>
      <c r="D74" s="39">
        <f t="shared" si="0"/>
        <v>1</v>
      </c>
    </row>
    <row r="75" spans="1:4" x14ac:dyDescent="0.3">
      <c r="A75" s="34">
        <v>67</v>
      </c>
      <c r="B75" s="34">
        <v>364</v>
      </c>
      <c r="C75" s="34" t="str">
        <f>VLOOKUP(B75,Dane!$A$1:$G$1001,7,FALSE)</f>
        <v>dobry</v>
      </c>
      <c r="D75" s="39">
        <f t="shared" ref="D75:D138" si="1">IF(C75="dobry",1,0)</f>
        <v>1</v>
      </c>
    </row>
    <row r="76" spans="1:4" x14ac:dyDescent="0.3">
      <c r="A76" s="34">
        <v>68</v>
      </c>
      <c r="B76" s="34">
        <v>463</v>
      </c>
      <c r="C76" s="34" t="str">
        <f>VLOOKUP(B76,Dane!$A$1:$G$1001,7,FALSE)</f>
        <v>dobry</v>
      </c>
      <c r="D76" s="39">
        <f t="shared" si="1"/>
        <v>1</v>
      </c>
    </row>
    <row r="77" spans="1:4" x14ac:dyDescent="0.3">
      <c r="A77" s="34">
        <v>69</v>
      </c>
      <c r="B77" s="34">
        <v>790</v>
      </c>
      <c r="C77" s="34" t="str">
        <f>VLOOKUP(B77,Dane!$A$1:$G$1001,7,FALSE)</f>
        <v>zły</v>
      </c>
      <c r="D77" s="39">
        <f t="shared" si="1"/>
        <v>0</v>
      </c>
    </row>
    <row r="78" spans="1:4" x14ac:dyDescent="0.3">
      <c r="A78" s="34">
        <v>70</v>
      </c>
      <c r="B78" s="34">
        <v>81</v>
      </c>
      <c r="C78" s="34" t="str">
        <f>VLOOKUP(B78,Dane!$A$1:$G$1001,7,FALSE)</f>
        <v>zły</v>
      </c>
      <c r="D78" s="39">
        <f t="shared" si="1"/>
        <v>0</v>
      </c>
    </row>
    <row r="79" spans="1:4" x14ac:dyDescent="0.3">
      <c r="A79" s="34">
        <v>71</v>
      </c>
      <c r="B79" s="34">
        <v>735</v>
      </c>
      <c r="C79" s="34" t="str">
        <f>VLOOKUP(B79,Dane!$A$1:$G$1001,7,FALSE)</f>
        <v>dobry</v>
      </c>
      <c r="D79" s="39">
        <f t="shared" si="1"/>
        <v>1</v>
      </c>
    </row>
    <row r="80" spans="1:4" x14ac:dyDescent="0.3">
      <c r="A80" s="34">
        <v>72</v>
      </c>
      <c r="B80" s="34">
        <v>857</v>
      </c>
      <c r="C80" s="34" t="str">
        <f>VLOOKUP(B80,Dane!$A$1:$G$1001,7,FALSE)</f>
        <v>dobry</v>
      </c>
      <c r="D80" s="39">
        <f t="shared" si="1"/>
        <v>1</v>
      </c>
    </row>
    <row r="81" spans="1:4" x14ac:dyDescent="0.3">
      <c r="A81" s="34">
        <v>73</v>
      </c>
      <c r="B81" s="34">
        <v>855</v>
      </c>
      <c r="C81" s="34" t="str">
        <f>VLOOKUP(B81,Dane!$A$1:$G$1001,7,FALSE)</f>
        <v>dobry</v>
      </c>
      <c r="D81" s="39">
        <f t="shared" si="1"/>
        <v>1</v>
      </c>
    </row>
    <row r="82" spans="1:4" x14ac:dyDescent="0.3">
      <c r="A82" s="34">
        <v>74</v>
      </c>
      <c r="B82" s="34">
        <v>609</v>
      </c>
      <c r="C82" s="34" t="str">
        <f>VLOOKUP(B82,Dane!$A$1:$G$1001,7,FALSE)</f>
        <v>dobry</v>
      </c>
      <c r="D82" s="39">
        <f t="shared" si="1"/>
        <v>1</v>
      </c>
    </row>
    <row r="83" spans="1:4" x14ac:dyDescent="0.3">
      <c r="A83" s="34">
        <v>75</v>
      </c>
      <c r="B83" s="34">
        <v>435</v>
      </c>
      <c r="C83" s="34" t="str">
        <f>VLOOKUP(B83,Dane!$A$1:$G$1001,7,FALSE)</f>
        <v>dobry</v>
      </c>
      <c r="D83" s="39">
        <f t="shared" si="1"/>
        <v>1</v>
      </c>
    </row>
    <row r="84" spans="1:4" x14ac:dyDescent="0.3">
      <c r="A84" s="34">
        <v>76</v>
      </c>
      <c r="B84" s="34">
        <v>742</v>
      </c>
      <c r="C84" s="34" t="str">
        <f>VLOOKUP(B84,Dane!$A$1:$G$1001,7,FALSE)</f>
        <v>dobry</v>
      </c>
      <c r="D84" s="39">
        <f t="shared" si="1"/>
        <v>1</v>
      </c>
    </row>
    <row r="85" spans="1:4" x14ac:dyDescent="0.3">
      <c r="A85" s="34">
        <v>77</v>
      </c>
      <c r="B85" s="34">
        <v>980</v>
      </c>
      <c r="C85" s="34" t="str">
        <f>VLOOKUP(B85,Dane!$A$1:$G$1001,7,FALSE)</f>
        <v>zły</v>
      </c>
      <c r="D85" s="39">
        <f t="shared" si="1"/>
        <v>0</v>
      </c>
    </row>
    <row r="86" spans="1:4" x14ac:dyDescent="0.3">
      <c r="A86" s="34">
        <v>78</v>
      </c>
      <c r="B86" s="34">
        <v>139</v>
      </c>
      <c r="C86" s="34" t="str">
        <f>VLOOKUP(B86,Dane!$A$1:$G$1001,7,FALSE)</f>
        <v>dobry</v>
      </c>
      <c r="D86" s="39">
        <f t="shared" si="1"/>
        <v>1</v>
      </c>
    </row>
    <row r="87" spans="1:4" x14ac:dyDescent="0.3">
      <c r="A87" s="34">
        <v>79</v>
      </c>
      <c r="B87" s="34">
        <v>2</v>
      </c>
      <c r="C87" s="34" t="str">
        <f>VLOOKUP(B87,Dane!$A$1:$G$1001,7,FALSE)</f>
        <v>zły</v>
      </c>
      <c r="D87" s="39">
        <f t="shared" si="1"/>
        <v>0</v>
      </c>
    </row>
    <row r="88" spans="1:4" x14ac:dyDescent="0.3">
      <c r="A88" s="34">
        <v>80</v>
      </c>
      <c r="B88" s="34">
        <v>384</v>
      </c>
      <c r="C88" s="34" t="str">
        <f>VLOOKUP(B88,Dane!$A$1:$G$1001,7,FALSE)</f>
        <v>dobry</v>
      </c>
      <c r="D88" s="39">
        <f t="shared" si="1"/>
        <v>1</v>
      </c>
    </row>
    <row r="89" spans="1:4" x14ac:dyDescent="0.3">
      <c r="A89" s="34">
        <v>81</v>
      </c>
      <c r="B89" s="34">
        <v>741</v>
      </c>
      <c r="C89" s="34" t="str">
        <f>VLOOKUP(B89,Dane!$A$1:$G$1001,7,FALSE)</f>
        <v>dobry</v>
      </c>
      <c r="D89" s="39">
        <f t="shared" si="1"/>
        <v>1</v>
      </c>
    </row>
    <row r="90" spans="1:4" x14ac:dyDescent="0.3">
      <c r="A90" s="34">
        <v>82</v>
      </c>
      <c r="B90" s="34">
        <v>451</v>
      </c>
      <c r="C90" s="34" t="str">
        <f>VLOOKUP(B90,Dane!$A$1:$G$1001,7,FALSE)</f>
        <v>dobry</v>
      </c>
      <c r="D90" s="39">
        <f t="shared" si="1"/>
        <v>1</v>
      </c>
    </row>
    <row r="91" spans="1:4" x14ac:dyDescent="0.3">
      <c r="A91" s="34">
        <v>83</v>
      </c>
      <c r="B91" s="34">
        <v>681</v>
      </c>
      <c r="C91" s="34" t="str">
        <f>VLOOKUP(B91,Dane!$A$1:$G$1001,7,FALSE)</f>
        <v>dobry</v>
      </c>
      <c r="D91" s="39">
        <f t="shared" si="1"/>
        <v>1</v>
      </c>
    </row>
    <row r="92" spans="1:4" x14ac:dyDescent="0.3">
      <c r="A92" s="34">
        <v>84</v>
      </c>
      <c r="B92" s="34">
        <v>13</v>
      </c>
      <c r="C92" s="34" t="str">
        <f>VLOOKUP(B92,Dane!$A$1:$G$1001,7,FALSE)</f>
        <v>dobry</v>
      </c>
      <c r="D92" s="39">
        <f t="shared" si="1"/>
        <v>1</v>
      </c>
    </row>
    <row r="93" spans="1:4" x14ac:dyDescent="0.3">
      <c r="A93" s="34">
        <v>85</v>
      </c>
      <c r="B93" s="34">
        <v>221</v>
      </c>
      <c r="C93" s="34" t="str">
        <f>VLOOKUP(B93,Dane!$A$1:$G$1001,7,FALSE)</f>
        <v>dobry</v>
      </c>
      <c r="D93" s="39">
        <f t="shared" si="1"/>
        <v>1</v>
      </c>
    </row>
    <row r="94" spans="1:4" x14ac:dyDescent="0.3">
      <c r="A94" s="34">
        <v>86</v>
      </c>
      <c r="B94" s="34">
        <v>946</v>
      </c>
      <c r="C94" s="34" t="str">
        <f>VLOOKUP(B94,Dane!$A$1:$G$1001,7,FALSE)</f>
        <v>dobry</v>
      </c>
      <c r="D94" s="39">
        <f t="shared" si="1"/>
        <v>1</v>
      </c>
    </row>
    <row r="95" spans="1:4" x14ac:dyDescent="0.3">
      <c r="A95" s="34">
        <v>87</v>
      </c>
      <c r="B95" s="34">
        <v>206</v>
      </c>
      <c r="C95" s="34" t="str">
        <f>VLOOKUP(B95,Dane!$A$1:$G$1001,7,FALSE)</f>
        <v>dobry</v>
      </c>
      <c r="D95" s="39">
        <f t="shared" si="1"/>
        <v>1</v>
      </c>
    </row>
    <row r="96" spans="1:4" x14ac:dyDescent="0.3">
      <c r="A96" s="34">
        <v>88</v>
      </c>
      <c r="B96" s="34">
        <v>684</v>
      </c>
      <c r="C96" s="34" t="str">
        <f>VLOOKUP(B96,Dane!$A$1:$G$1001,7,FALSE)</f>
        <v>dobry</v>
      </c>
      <c r="D96" s="39">
        <f t="shared" si="1"/>
        <v>1</v>
      </c>
    </row>
    <row r="97" spans="1:4" x14ac:dyDescent="0.3">
      <c r="A97" s="34">
        <v>89</v>
      </c>
      <c r="B97" s="34">
        <v>629</v>
      </c>
      <c r="C97" s="34" t="str">
        <f>VLOOKUP(B97,Dane!$A$1:$G$1001,7,FALSE)</f>
        <v>dobry</v>
      </c>
      <c r="D97" s="39">
        <f t="shared" si="1"/>
        <v>1</v>
      </c>
    </row>
    <row r="98" spans="1:4" x14ac:dyDescent="0.3">
      <c r="A98" s="34">
        <v>90</v>
      </c>
      <c r="B98" s="34">
        <v>906</v>
      </c>
      <c r="C98" s="34" t="str">
        <f>VLOOKUP(B98,Dane!$A$1:$G$1001,7,FALSE)</f>
        <v>dobry</v>
      </c>
      <c r="D98" s="39">
        <f t="shared" si="1"/>
        <v>1</v>
      </c>
    </row>
    <row r="99" spans="1:4" x14ac:dyDescent="0.3">
      <c r="A99" s="34">
        <v>91</v>
      </c>
      <c r="B99" s="34">
        <v>776</v>
      </c>
      <c r="C99" s="34" t="str">
        <f>VLOOKUP(B99,Dane!$A$1:$G$1001,7,FALSE)</f>
        <v>zły</v>
      </c>
      <c r="D99" s="39">
        <f t="shared" si="1"/>
        <v>0</v>
      </c>
    </row>
    <row r="100" spans="1:4" x14ac:dyDescent="0.3">
      <c r="A100" s="34">
        <v>92</v>
      </c>
      <c r="B100" s="34">
        <v>154</v>
      </c>
      <c r="C100" s="34" t="str">
        <f>VLOOKUP(B100,Dane!$A$1:$G$1001,7,FALSE)</f>
        <v>dobry</v>
      </c>
      <c r="D100" s="39">
        <f t="shared" si="1"/>
        <v>1</v>
      </c>
    </row>
    <row r="101" spans="1:4" x14ac:dyDescent="0.3">
      <c r="A101" s="34">
        <v>93</v>
      </c>
      <c r="B101" s="34">
        <v>465</v>
      </c>
      <c r="C101" s="34" t="str">
        <f>VLOOKUP(B101,Dane!$A$1:$G$1001,7,FALSE)</f>
        <v>dobry</v>
      </c>
      <c r="D101" s="39">
        <f t="shared" si="1"/>
        <v>1</v>
      </c>
    </row>
    <row r="102" spans="1:4" x14ac:dyDescent="0.3">
      <c r="A102" s="34">
        <v>94</v>
      </c>
      <c r="B102" s="34">
        <v>501</v>
      </c>
      <c r="C102" s="34" t="str">
        <f>VLOOKUP(B102,Dane!$A$1:$G$1001,7,FALSE)</f>
        <v>zły</v>
      </c>
      <c r="D102" s="39">
        <f t="shared" si="1"/>
        <v>0</v>
      </c>
    </row>
    <row r="103" spans="1:4" x14ac:dyDescent="0.3">
      <c r="A103" s="34">
        <v>95</v>
      </c>
      <c r="B103" s="34">
        <v>813</v>
      </c>
      <c r="C103" s="34" t="str">
        <f>VLOOKUP(B103,Dane!$A$1:$G$1001,7,FALSE)</f>
        <v>zły</v>
      </c>
      <c r="D103" s="39">
        <f t="shared" si="1"/>
        <v>0</v>
      </c>
    </row>
    <row r="104" spans="1:4" x14ac:dyDescent="0.3">
      <c r="A104" s="34">
        <v>96</v>
      </c>
      <c r="B104" s="34">
        <v>30</v>
      </c>
      <c r="C104" s="34" t="str">
        <f>VLOOKUP(B104,Dane!$A$1:$G$1001,7,FALSE)</f>
        <v>zły</v>
      </c>
      <c r="D104" s="39">
        <f t="shared" si="1"/>
        <v>0</v>
      </c>
    </row>
    <row r="105" spans="1:4" x14ac:dyDescent="0.3">
      <c r="A105" s="34">
        <v>97</v>
      </c>
      <c r="B105" s="34">
        <v>120</v>
      </c>
      <c r="C105" s="34" t="str">
        <f>VLOOKUP(B105,Dane!$A$1:$G$1001,7,FALSE)</f>
        <v>dobry</v>
      </c>
      <c r="D105" s="39">
        <f t="shared" si="1"/>
        <v>1</v>
      </c>
    </row>
    <row r="106" spans="1:4" x14ac:dyDescent="0.3">
      <c r="A106" s="34">
        <v>98</v>
      </c>
      <c r="B106" s="34">
        <v>272</v>
      </c>
      <c r="C106" s="34" t="str">
        <f>VLOOKUP(B106,Dane!$A$1:$G$1001,7,FALSE)</f>
        <v>dobry</v>
      </c>
      <c r="D106" s="39">
        <f t="shared" si="1"/>
        <v>1</v>
      </c>
    </row>
    <row r="107" spans="1:4" x14ac:dyDescent="0.3">
      <c r="A107" s="34">
        <v>99</v>
      </c>
      <c r="B107" s="34">
        <v>768</v>
      </c>
      <c r="C107" s="34" t="str">
        <f>VLOOKUP(B107,Dane!$A$1:$G$1001,7,FALSE)</f>
        <v>dobry</v>
      </c>
      <c r="D107" s="39">
        <f t="shared" si="1"/>
        <v>1</v>
      </c>
    </row>
    <row r="108" spans="1:4" x14ac:dyDescent="0.3">
      <c r="A108" s="34">
        <v>100</v>
      </c>
      <c r="B108" s="34">
        <v>205</v>
      </c>
      <c r="C108" s="34" t="str">
        <f>VLOOKUP(B108,Dane!$A$1:$G$1001,7,FALSE)</f>
        <v>dobry</v>
      </c>
      <c r="D108" s="39">
        <f t="shared" si="1"/>
        <v>1</v>
      </c>
    </row>
    <row r="109" spans="1:4" x14ac:dyDescent="0.3">
      <c r="A109" s="34">
        <v>101</v>
      </c>
      <c r="B109" s="34">
        <v>260</v>
      </c>
      <c r="C109" s="34" t="str">
        <f>VLOOKUP(B109,Dane!$A$1:$G$1001,7,FALSE)</f>
        <v>dobry</v>
      </c>
      <c r="D109" s="39">
        <f t="shared" si="1"/>
        <v>1</v>
      </c>
    </row>
    <row r="110" spans="1:4" x14ac:dyDescent="0.3">
      <c r="A110" s="34">
        <v>102</v>
      </c>
      <c r="B110" s="34">
        <v>375</v>
      </c>
      <c r="C110" s="34" t="str">
        <f>VLOOKUP(B110,Dane!$A$1:$G$1001,7,FALSE)</f>
        <v>zły</v>
      </c>
      <c r="D110" s="39">
        <f t="shared" si="1"/>
        <v>0</v>
      </c>
    </row>
    <row r="111" spans="1:4" x14ac:dyDescent="0.3">
      <c r="A111" s="34">
        <v>103</v>
      </c>
      <c r="B111" s="34">
        <v>640</v>
      </c>
      <c r="C111" s="34" t="str">
        <f>VLOOKUP(B111,Dane!$A$1:$G$1001,7,FALSE)</f>
        <v>zły</v>
      </c>
      <c r="D111" s="39">
        <f t="shared" si="1"/>
        <v>0</v>
      </c>
    </row>
    <row r="112" spans="1:4" x14ac:dyDescent="0.3">
      <c r="A112" s="34">
        <v>104</v>
      </c>
      <c r="B112" s="34">
        <v>508</v>
      </c>
      <c r="C112" s="34" t="str">
        <f>VLOOKUP(B112,Dane!$A$1:$G$1001,7,FALSE)</f>
        <v>zły</v>
      </c>
      <c r="D112" s="39">
        <f t="shared" si="1"/>
        <v>0</v>
      </c>
    </row>
    <row r="113" spans="1:4" x14ac:dyDescent="0.3">
      <c r="A113" s="34">
        <v>105</v>
      </c>
      <c r="B113" s="34">
        <v>117</v>
      </c>
      <c r="C113" s="34" t="str">
        <f>VLOOKUP(B113,Dane!$A$1:$G$1001,7,FALSE)</f>
        <v>zły</v>
      </c>
      <c r="D113" s="39">
        <f t="shared" si="1"/>
        <v>0</v>
      </c>
    </row>
    <row r="114" spans="1:4" x14ac:dyDescent="0.3">
      <c r="A114" s="34">
        <v>106</v>
      </c>
      <c r="B114" s="34">
        <v>935</v>
      </c>
      <c r="C114" s="34" t="str">
        <f>VLOOKUP(B114,Dane!$A$1:$G$1001,7,FALSE)</f>
        <v>dobry</v>
      </c>
      <c r="D114" s="39">
        <f t="shared" si="1"/>
        <v>1</v>
      </c>
    </row>
    <row r="115" spans="1:4" x14ac:dyDescent="0.3">
      <c r="A115" s="34">
        <v>107</v>
      </c>
      <c r="B115" s="34">
        <v>976</v>
      </c>
      <c r="C115" s="34" t="str">
        <f>VLOOKUP(B115,Dane!$A$1:$G$1001,7,FALSE)</f>
        <v>dobry</v>
      </c>
      <c r="D115" s="39">
        <f t="shared" si="1"/>
        <v>1</v>
      </c>
    </row>
    <row r="116" spans="1:4" x14ac:dyDescent="0.3">
      <c r="A116" s="34">
        <v>108</v>
      </c>
      <c r="B116" s="34">
        <v>258</v>
      </c>
      <c r="C116" s="34" t="str">
        <f>VLOOKUP(B116,Dane!$A$1:$G$1001,7,FALSE)</f>
        <v>zły</v>
      </c>
      <c r="D116" s="39">
        <f t="shared" si="1"/>
        <v>0</v>
      </c>
    </row>
    <row r="117" spans="1:4" x14ac:dyDescent="0.3">
      <c r="A117" s="34">
        <v>109</v>
      </c>
      <c r="B117" s="34">
        <v>452</v>
      </c>
      <c r="C117" s="34" t="str">
        <f>VLOOKUP(B117,Dane!$A$1:$G$1001,7,FALSE)</f>
        <v>dobry</v>
      </c>
      <c r="D117" s="39">
        <f t="shared" si="1"/>
        <v>1</v>
      </c>
    </row>
    <row r="118" spans="1:4" x14ac:dyDescent="0.3">
      <c r="A118" s="34">
        <v>110</v>
      </c>
      <c r="B118" s="34">
        <v>47</v>
      </c>
      <c r="C118" s="34" t="str">
        <f>VLOOKUP(B118,Dane!$A$1:$G$1001,7,FALSE)</f>
        <v>dobry</v>
      </c>
      <c r="D118" s="39">
        <f t="shared" si="1"/>
        <v>1</v>
      </c>
    </row>
    <row r="119" spans="1:4" x14ac:dyDescent="0.3">
      <c r="A119" s="34">
        <v>111</v>
      </c>
      <c r="B119" s="34">
        <v>920</v>
      </c>
      <c r="C119" s="34" t="str">
        <f>VLOOKUP(B119,Dane!$A$1:$G$1001,7,FALSE)</f>
        <v>zły</v>
      </c>
      <c r="D119" s="39">
        <f t="shared" si="1"/>
        <v>0</v>
      </c>
    </row>
    <row r="120" spans="1:4" x14ac:dyDescent="0.3">
      <c r="A120" s="34">
        <v>112</v>
      </c>
      <c r="B120" s="34">
        <v>972</v>
      </c>
      <c r="C120" s="34" t="str">
        <f>VLOOKUP(B120,Dane!$A$1:$G$1001,7,FALSE)</f>
        <v>dobry</v>
      </c>
      <c r="D120" s="39">
        <f t="shared" si="1"/>
        <v>1</v>
      </c>
    </row>
    <row r="121" spans="1:4" x14ac:dyDescent="0.3">
      <c r="A121" s="34">
        <v>113</v>
      </c>
      <c r="B121" s="34">
        <v>74</v>
      </c>
      <c r="C121" s="34" t="str">
        <f>VLOOKUP(B121,Dane!$A$1:$G$1001,7,FALSE)</f>
        <v>dobry</v>
      </c>
      <c r="D121" s="39">
        <f t="shared" si="1"/>
        <v>1</v>
      </c>
    </row>
    <row r="122" spans="1:4" x14ac:dyDescent="0.3">
      <c r="A122" s="34">
        <v>114</v>
      </c>
      <c r="B122" s="34">
        <v>862</v>
      </c>
      <c r="C122" s="34" t="str">
        <f>VLOOKUP(B122,Dane!$A$1:$G$1001,7,FALSE)</f>
        <v>zły</v>
      </c>
      <c r="D122" s="39">
        <f t="shared" si="1"/>
        <v>0</v>
      </c>
    </row>
    <row r="123" spans="1:4" x14ac:dyDescent="0.3">
      <c r="A123" s="34">
        <v>115</v>
      </c>
      <c r="B123" s="34">
        <v>675</v>
      </c>
      <c r="C123" s="34" t="str">
        <f>VLOOKUP(B123,Dane!$A$1:$G$1001,7,FALSE)</f>
        <v>zły</v>
      </c>
      <c r="D123" s="39">
        <f t="shared" si="1"/>
        <v>0</v>
      </c>
    </row>
    <row r="124" spans="1:4" x14ac:dyDescent="0.3">
      <c r="A124" s="34">
        <v>116</v>
      </c>
      <c r="B124" s="34">
        <v>325</v>
      </c>
      <c r="C124" s="34" t="str">
        <f>VLOOKUP(B124,Dane!$A$1:$G$1001,7,FALSE)</f>
        <v>dobry</v>
      </c>
      <c r="D124" s="39">
        <f t="shared" si="1"/>
        <v>1</v>
      </c>
    </row>
    <row r="125" spans="1:4" x14ac:dyDescent="0.3">
      <c r="A125" s="34">
        <v>117</v>
      </c>
      <c r="B125" s="34">
        <v>595</v>
      </c>
      <c r="C125" s="34" t="str">
        <f>VLOOKUP(B125,Dane!$A$1:$G$1001,7,FALSE)</f>
        <v>zły</v>
      </c>
      <c r="D125" s="39">
        <f t="shared" si="1"/>
        <v>0</v>
      </c>
    </row>
    <row r="126" spans="1:4" x14ac:dyDescent="0.3">
      <c r="A126" s="34">
        <v>118</v>
      </c>
      <c r="B126" s="34">
        <v>162</v>
      </c>
      <c r="C126" s="34" t="str">
        <f>VLOOKUP(B126,Dane!$A$1:$G$1001,7,FALSE)</f>
        <v>dobry</v>
      </c>
      <c r="D126" s="39">
        <f t="shared" si="1"/>
        <v>1</v>
      </c>
    </row>
    <row r="127" spans="1:4" x14ac:dyDescent="0.3">
      <c r="A127" s="34">
        <v>119</v>
      </c>
      <c r="B127" s="34">
        <v>424</v>
      </c>
      <c r="C127" s="34" t="str">
        <f>VLOOKUP(B127,Dane!$A$1:$G$1001,7,FALSE)</f>
        <v>dobry</v>
      </c>
      <c r="D127" s="39">
        <f t="shared" si="1"/>
        <v>1</v>
      </c>
    </row>
    <row r="128" spans="1:4" x14ac:dyDescent="0.3">
      <c r="A128" s="34">
        <v>120</v>
      </c>
      <c r="B128" s="34">
        <v>506</v>
      </c>
      <c r="C128" s="34" t="str">
        <f>VLOOKUP(B128,Dane!$A$1:$G$1001,7,FALSE)</f>
        <v>zły</v>
      </c>
      <c r="D128" s="39">
        <f t="shared" si="1"/>
        <v>0</v>
      </c>
    </row>
    <row r="129" spans="1:4" x14ac:dyDescent="0.3">
      <c r="A129" s="34">
        <v>121</v>
      </c>
      <c r="B129" s="34">
        <v>119</v>
      </c>
      <c r="C129" s="34" t="str">
        <f>VLOOKUP(B129,Dane!$A$1:$G$1001,7,FALSE)</f>
        <v>zły</v>
      </c>
      <c r="D129" s="39">
        <f t="shared" si="1"/>
        <v>0</v>
      </c>
    </row>
    <row r="130" spans="1:4" x14ac:dyDescent="0.3">
      <c r="A130" s="34">
        <v>122</v>
      </c>
      <c r="B130" s="34">
        <v>760</v>
      </c>
      <c r="C130" s="34" t="str">
        <f>VLOOKUP(B130,Dane!$A$1:$G$1001,7,FALSE)</f>
        <v>zły</v>
      </c>
      <c r="D130" s="39">
        <f t="shared" si="1"/>
        <v>0</v>
      </c>
    </row>
    <row r="131" spans="1:4" x14ac:dyDescent="0.3">
      <c r="A131" s="34">
        <v>123</v>
      </c>
      <c r="B131" s="34">
        <v>226</v>
      </c>
      <c r="C131" s="34" t="str">
        <f>VLOOKUP(B131,Dane!$A$1:$G$1001,7,FALSE)</f>
        <v>dobry</v>
      </c>
      <c r="D131" s="39">
        <f t="shared" si="1"/>
        <v>1</v>
      </c>
    </row>
    <row r="132" spans="1:4" x14ac:dyDescent="0.3">
      <c r="A132" s="34">
        <v>124</v>
      </c>
      <c r="B132" s="34">
        <v>493</v>
      </c>
      <c r="C132" s="34" t="str">
        <f>VLOOKUP(B132,Dane!$A$1:$G$1001,7,FALSE)</f>
        <v>dobry</v>
      </c>
      <c r="D132" s="39">
        <f t="shared" si="1"/>
        <v>1</v>
      </c>
    </row>
    <row r="133" spans="1:4" x14ac:dyDescent="0.3">
      <c r="A133" s="34">
        <v>125</v>
      </c>
      <c r="B133" s="34">
        <v>819</v>
      </c>
      <c r="C133" s="34" t="str">
        <f>VLOOKUP(B133,Dane!$A$1:$G$1001,7,FALSE)</f>
        <v>dobry</v>
      </c>
      <c r="D133" s="39">
        <f t="shared" si="1"/>
        <v>1</v>
      </c>
    </row>
    <row r="134" spans="1:4" x14ac:dyDescent="0.3">
      <c r="A134" s="34">
        <v>126</v>
      </c>
      <c r="B134" s="34">
        <v>619</v>
      </c>
      <c r="C134" s="34" t="str">
        <f>VLOOKUP(B134,Dane!$A$1:$G$1001,7,FALSE)</f>
        <v>zły</v>
      </c>
      <c r="D134" s="39">
        <f t="shared" si="1"/>
        <v>0</v>
      </c>
    </row>
    <row r="135" spans="1:4" x14ac:dyDescent="0.3">
      <c r="A135" s="34">
        <v>127</v>
      </c>
      <c r="B135" s="34">
        <v>34</v>
      </c>
      <c r="C135" s="34" t="str">
        <f>VLOOKUP(B135,Dane!$A$1:$G$1001,7,FALSE)</f>
        <v>dobry</v>
      </c>
      <c r="D135" s="39">
        <f t="shared" si="1"/>
        <v>1</v>
      </c>
    </row>
    <row r="136" spans="1:4" x14ac:dyDescent="0.3">
      <c r="A136" s="34">
        <v>128</v>
      </c>
      <c r="B136" s="34">
        <v>227</v>
      </c>
      <c r="C136" s="34" t="str">
        <f>VLOOKUP(B136,Dane!$A$1:$G$1001,7,FALSE)</f>
        <v>zły</v>
      </c>
      <c r="D136" s="39">
        <f t="shared" si="1"/>
        <v>0</v>
      </c>
    </row>
    <row r="137" spans="1:4" x14ac:dyDescent="0.3">
      <c r="A137" s="34">
        <v>129</v>
      </c>
      <c r="B137" s="34">
        <v>319</v>
      </c>
      <c r="C137" s="34" t="str">
        <f>VLOOKUP(B137,Dane!$A$1:$G$1001,7,FALSE)</f>
        <v>dobry</v>
      </c>
      <c r="D137" s="39">
        <f t="shared" si="1"/>
        <v>1</v>
      </c>
    </row>
    <row r="138" spans="1:4" x14ac:dyDescent="0.3">
      <c r="A138" s="34">
        <v>130</v>
      </c>
      <c r="B138" s="34">
        <v>155</v>
      </c>
      <c r="C138" s="34" t="str">
        <f>VLOOKUP(B138,Dane!$A$1:$G$1001,7,FALSE)</f>
        <v>dobry</v>
      </c>
      <c r="D138" s="39">
        <f t="shared" si="1"/>
        <v>1</v>
      </c>
    </row>
    <row r="139" spans="1:4" x14ac:dyDescent="0.3">
      <c r="A139" s="34">
        <v>131</v>
      </c>
      <c r="B139" s="34">
        <v>673</v>
      </c>
      <c r="C139" s="34" t="str">
        <f>VLOOKUP(B139,Dane!$A$1:$G$1001,7,FALSE)</f>
        <v>dobry</v>
      </c>
      <c r="D139" s="39">
        <f t="shared" ref="D139:D202" si="2">IF(C139="dobry",1,0)</f>
        <v>1</v>
      </c>
    </row>
    <row r="140" spans="1:4" x14ac:dyDescent="0.3">
      <c r="A140" s="34">
        <v>132</v>
      </c>
      <c r="B140" s="34">
        <v>194</v>
      </c>
      <c r="C140" s="34" t="str">
        <f>VLOOKUP(B140,Dane!$A$1:$G$1001,7,FALSE)</f>
        <v>dobry</v>
      </c>
      <c r="D140" s="39">
        <f t="shared" si="2"/>
        <v>1</v>
      </c>
    </row>
    <row r="141" spans="1:4" x14ac:dyDescent="0.3">
      <c r="A141" s="34">
        <v>133</v>
      </c>
      <c r="B141" s="34">
        <v>436</v>
      </c>
      <c r="C141" s="34" t="str">
        <f>VLOOKUP(B141,Dane!$A$1:$G$1001,7,FALSE)</f>
        <v>zły</v>
      </c>
      <c r="D141" s="39">
        <f t="shared" si="2"/>
        <v>0</v>
      </c>
    </row>
    <row r="142" spans="1:4" x14ac:dyDescent="0.3">
      <c r="A142" s="34">
        <v>134</v>
      </c>
      <c r="B142" s="34">
        <v>304</v>
      </c>
      <c r="C142" s="34" t="str">
        <f>VLOOKUP(B142,Dane!$A$1:$G$1001,7,FALSE)</f>
        <v>dobry</v>
      </c>
      <c r="D142" s="39">
        <f t="shared" si="2"/>
        <v>1</v>
      </c>
    </row>
    <row r="143" spans="1:4" x14ac:dyDescent="0.3">
      <c r="A143" s="34">
        <v>135</v>
      </c>
      <c r="B143" s="34">
        <v>439</v>
      </c>
      <c r="C143" s="34" t="str">
        <f>VLOOKUP(B143,Dane!$A$1:$G$1001,7,FALSE)</f>
        <v>dobry</v>
      </c>
      <c r="D143" s="39">
        <f t="shared" si="2"/>
        <v>1</v>
      </c>
    </row>
    <row r="144" spans="1:4" x14ac:dyDescent="0.3">
      <c r="A144" s="34">
        <v>136</v>
      </c>
      <c r="B144" s="34">
        <v>499</v>
      </c>
      <c r="C144" s="34" t="str">
        <f>VLOOKUP(B144,Dane!$A$1:$G$1001,7,FALSE)</f>
        <v>dobry</v>
      </c>
      <c r="D144" s="39">
        <f t="shared" si="2"/>
        <v>1</v>
      </c>
    </row>
    <row r="145" spans="1:4" x14ac:dyDescent="0.3">
      <c r="A145" s="34">
        <v>137</v>
      </c>
      <c r="B145" s="34">
        <v>708</v>
      </c>
      <c r="C145" s="34" t="str">
        <f>VLOOKUP(B145,Dane!$A$1:$G$1001,7,FALSE)</f>
        <v>zły</v>
      </c>
      <c r="D145" s="39">
        <f t="shared" si="2"/>
        <v>0</v>
      </c>
    </row>
    <row r="146" spans="1:4" x14ac:dyDescent="0.3">
      <c r="A146" s="34">
        <v>138</v>
      </c>
      <c r="B146" s="34">
        <v>778</v>
      </c>
      <c r="C146" s="34" t="str">
        <f>VLOOKUP(B146,Dane!$A$1:$G$1001,7,FALSE)</f>
        <v>dobry</v>
      </c>
      <c r="D146" s="39">
        <f t="shared" si="2"/>
        <v>1</v>
      </c>
    </row>
    <row r="147" spans="1:4" x14ac:dyDescent="0.3">
      <c r="A147" s="34">
        <v>139</v>
      </c>
      <c r="B147" s="34">
        <v>914</v>
      </c>
      <c r="C147" s="34" t="str">
        <f>VLOOKUP(B147,Dane!$A$1:$G$1001,7,FALSE)</f>
        <v>dobry</v>
      </c>
      <c r="D147" s="39">
        <f t="shared" si="2"/>
        <v>1</v>
      </c>
    </row>
    <row r="148" spans="1:4" x14ac:dyDescent="0.3">
      <c r="A148" s="34">
        <v>140</v>
      </c>
      <c r="B148" s="34">
        <v>585</v>
      </c>
      <c r="C148" s="34" t="str">
        <f>VLOOKUP(B148,Dane!$A$1:$G$1001,7,FALSE)</f>
        <v>dobry</v>
      </c>
      <c r="D148" s="39">
        <f t="shared" si="2"/>
        <v>1</v>
      </c>
    </row>
    <row r="149" spans="1:4" x14ac:dyDescent="0.3">
      <c r="A149" s="34">
        <v>141</v>
      </c>
      <c r="B149" s="34">
        <v>565</v>
      </c>
      <c r="C149" s="34" t="str">
        <f>VLOOKUP(B149,Dane!$A$1:$G$1001,7,FALSE)</f>
        <v>dobry</v>
      </c>
      <c r="D149" s="39">
        <f t="shared" si="2"/>
        <v>1</v>
      </c>
    </row>
    <row r="150" spans="1:4" x14ac:dyDescent="0.3">
      <c r="A150" s="34">
        <v>142</v>
      </c>
      <c r="B150" s="34">
        <v>8</v>
      </c>
      <c r="C150" s="34" t="str">
        <f>VLOOKUP(B150,Dane!$A$1:$G$1001,7,FALSE)</f>
        <v>dobry</v>
      </c>
      <c r="D150" s="39">
        <f t="shared" si="2"/>
        <v>1</v>
      </c>
    </row>
    <row r="151" spans="1:4" x14ac:dyDescent="0.3">
      <c r="A151" s="34">
        <v>143</v>
      </c>
      <c r="B151" s="34">
        <v>832</v>
      </c>
      <c r="C151" s="34" t="str">
        <f>VLOOKUP(B151,Dane!$A$1:$G$1001,7,FALSE)</f>
        <v>zły</v>
      </c>
      <c r="D151" s="39">
        <f t="shared" si="2"/>
        <v>0</v>
      </c>
    </row>
    <row r="152" spans="1:4" x14ac:dyDescent="0.3">
      <c r="A152" s="34">
        <v>144</v>
      </c>
      <c r="B152" s="34">
        <v>584</v>
      </c>
      <c r="C152" s="34" t="str">
        <f>VLOOKUP(B152,Dane!$A$1:$G$1001,7,FALSE)</f>
        <v>zły</v>
      </c>
      <c r="D152" s="39">
        <f t="shared" si="2"/>
        <v>0</v>
      </c>
    </row>
    <row r="153" spans="1:4" x14ac:dyDescent="0.3">
      <c r="A153" s="34">
        <v>145</v>
      </c>
      <c r="B153" s="34">
        <v>689</v>
      </c>
      <c r="C153" s="34" t="str">
        <f>VLOOKUP(B153,Dane!$A$1:$G$1001,7,FALSE)</f>
        <v>dobry</v>
      </c>
      <c r="D153" s="39">
        <f t="shared" si="2"/>
        <v>1</v>
      </c>
    </row>
    <row r="154" spans="1:4" x14ac:dyDescent="0.3">
      <c r="A154" s="34">
        <v>146</v>
      </c>
      <c r="B154" s="34">
        <v>909</v>
      </c>
      <c r="C154" s="34" t="str">
        <f>VLOOKUP(B154,Dane!$A$1:$G$1001,7,FALSE)</f>
        <v>dobry</v>
      </c>
      <c r="D154" s="39">
        <f t="shared" si="2"/>
        <v>1</v>
      </c>
    </row>
    <row r="155" spans="1:4" x14ac:dyDescent="0.3">
      <c r="A155" s="34">
        <v>147</v>
      </c>
      <c r="B155" s="34">
        <v>31</v>
      </c>
      <c r="C155" s="34" t="str">
        <f>VLOOKUP(B155,Dane!$A$1:$G$1001,7,FALSE)</f>
        <v>dobry</v>
      </c>
      <c r="D155" s="39">
        <f t="shared" si="2"/>
        <v>1</v>
      </c>
    </row>
    <row r="156" spans="1:4" x14ac:dyDescent="0.3">
      <c r="A156" s="34">
        <v>148</v>
      </c>
      <c r="B156" s="34">
        <v>590</v>
      </c>
      <c r="C156" s="34" t="str">
        <f>VLOOKUP(B156,Dane!$A$1:$G$1001,7,FALSE)</f>
        <v>zły</v>
      </c>
      <c r="D156" s="39">
        <f t="shared" si="2"/>
        <v>0</v>
      </c>
    </row>
    <row r="157" spans="1:4" x14ac:dyDescent="0.3">
      <c r="A157" s="34">
        <v>149</v>
      </c>
      <c r="B157" s="34">
        <v>848</v>
      </c>
      <c r="C157" s="34" t="str">
        <f>VLOOKUP(B157,Dane!$A$1:$G$1001,7,FALSE)</f>
        <v>dobry</v>
      </c>
      <c r="D157" s="39">
        <f t="shared" si="2"/>
        <v>1</v>
      </c>
    </row>
    <row r="158" spans="1:4" x14ac:dyDescent="0.3">
      <c r="A158" s="34">
        <v>150</v>
      </c>
      <c r="B158" s="34">
        <v>137</v>
      </c>
      <c r="C158" s="34" t="str">
        <f>VLOOKUP(B158,Dane!$A$1:$G$1001,7,FALSE)</f>
        <v>dobry</v>
      </c>
      <c r="D158" s="39">
        <f t="shared" si="2"/>
        <v>1</v>
      </c>
    </row>
    <row r="159" spans="1:4" x14ac:dyDescent="0.3">
      <c r="A159" s="34">
        <v>151</v>
      </c>
      <c r="B159" s="34">
        <v>106</v>
      </c>
      <c r="C159" s="34" t="str">
        <f>VLOOKUP(B159,Dane!$A$1:$G$1001,7,FALSE)</f>
        <v>zły</v>
      </c>
      <c r="D159" s="39">
        <f t="shared" si="2"/>
        <v>0</v>
      </c>
    </row>
    <row r="160" spans="1:4" x14ac:dyDescent="0.3">
      <c r="A160" s="34">
        <v>152</v>
      </c>
      <c r="B160" s="34">
        <v>248</v>
      </c>
      <c r="C160" s="34" t="str">
        <f>VLOOKUP(B160,Dane!$A$1:$G$1001,7,FALSE)</f>
        <v>dobry</v>
      </c>
      <c r="D160" s="39">
        <f t="shared" si="2"/>
        <v>1</v>
      </c>
    </row>
    <row r="161" spans="1:4" x14ac:dyDescent="0.3">
      <c r="A161" s="34">
        <v>153</v>
      </c>
      <c r="B161" s="34">
        <v>276</v>
      </c>
      <c r="C161" s="34" t="str">
        <f>VLOOKUP(B161,Dane!$A$1:$G$1001,7,FALSE)</f>
        <v>dobry</v>
      </c>
      <c r="D161" s="39">
        <f t="shared" si="2"/>
        <v>1</v>
      </c>
    </row>
    <row r="162" spans="1:4" x14ac:dyDescent="0.3">
      <c r="A162" s="34">
        <v>154</v>
      </c>
      <c r="B162" s="34">
        <v>664</v>
      </c>
      <c r="C162" s="34" t="str">
        <f>VLOOKUP(B162,Dane!$A$1:$G$1001,7,FALSE)</f>
        <v>dobry</v>
      </c>
      <c r="D162" s="39">
        <f t="shared" si="2"/>
        <v>1</v>
      </c>
    </row>
    <row r="163" spans="1:4" x14ac:dyDescent="0.3">
      <c r="A163" s="34">
        <v>155</v>
      </c>
      <c r="B163" s="34">
        <v>850</v>
      </c>
      <c r="C163" s="34" t="str">
        <f>VLOOKUP(B163,Dane!$A$1:$G$1001,7,FALSE)</f>
        <v>zły</v>
      </c>
      <c r="D163" s="39">
        <f t="shared" si="2"/>
        <v>0</v>
      </c>
    </row>
    <row r="164" spans="1:4" x14ac:dyDescent="0.3">
      <c r="A164" s="34">
        <v>156</v>
      </c>
      <c r="B164" s="34">
        <v>644</v>
      </c>
      <c r="C164" s="34" t="str">
        <f>VLOOKUP(B164,Dane!$A$1:$G$1001,7,FALSE)</f>
        <v>dobry</v>
      </c>
      <c r="D164" s="39">
        <f t="shared" si="2"/>
        <v>1</v>
      </c>
    </row>
    <row r="165" spans="1:4" x14ac:dyDescent="0.3">
      <c r="A165" s="34">
        <v>157</v>
      </c>
      <c r="B165" s="34">
        <v>40</v>
      </c>
      <c r="C165" s="34" t="str">
        <f>VLOOKUP(B165,Dane!$A$1:$G$1001,7,FALSE)</f>
        <v>dobry</v>
      </c>
      <c r="D165" s="39">
        <f t="shared" si="2"/>
        <v>1</v>
      </c>
    </row>
    <row r="166" spans="1:4" x14ac:dyDescent="0.3">
      <c r="A166" s="34">
        <v>158</v>
      </c>
      <c r="B166" s="34">
        <v>46</v>
      </c>
      <c r="C166" s="34" t="str">
        <f>VLOOKUP(B166,Dane!$A$1:$G$1001,7,FALSE)</f>
        <v>dobry</v>
      </c>
      <c r="D166" s="39">
        <f t="shared" si="2"/>
        <v>1</v>
      </c>
    </row>
    <row r="167" spans="1:4" x14ac:dyDescent="0.3">
      <c r="A167" s="34">
        <v>159</v>
      </c>
      <c r="B167" s="34">
        <v>76</v>
      </c>
      <c r="C167" s="34" t="str">
        <f>VLOOKUP(B167,Dane!$A$1:$G$1001,7,FALSE)</f>
        <v>dobry</v>
      </c>
      <c r="D167" s="39">
        <f t="shared" si="2"/>
        <v>1</v>
      </c>
    </row>
    <row r="168" spans="1:4" x14ac:dyDescent="0.3">
      <c r="A168" s="34">
        <v>160</v>
      </c>
      <c r="B168" s="34">
        <v>889</v>
      </c>
      <c r="C168" s="34" t="str">
        <f>VLOOKUP(B168,Dane!$A$1:$G$1001,7,FALSE)</f>
        <v>dobry</v>
      </c>
      <c r="D168" s="39">
        <f t="shared" si="2"/>
        <v>1</v>
      </c>
    </row>
    <row r="169" spans="1:4" x14ac:dyDescent="0.3">
      <c r="A169" s="34">
        <v>161</v>
      </c>
      <c r="B169" s="34">
        <v>523</v>
      </c>
      <c r="C169" s="34" t="str">
        <f>VLOOKUP(B169,Dane!$A$1:$G$1001,7,FALSE)</f>
        <v>zły</v>
      </c>
      <c r="D169" s="39">
        <f t="shared" si="2"/>
        <v>0</v>
      </c>
    </row>
    <row r="170" spans="1:4" x14ac:dyDescent="0.3">
      <c r="A170" s="34">
        <v>162</v>
      </c>
      <c r="B170" s="34">
        <v>730</v>
      </c>
      <c r="C170" s="34" t="str">
        <f>VLOOKUP(B170,Dane!$A$1:$G$1001,7,FALSE)</f>
        <v>dobry</v>
      </c>
      <c r="D170" s="39">
        <f t="shared" si="2"/>
        <v>1</v>
      </c>
    </row>
    <row r="171" spans="1:4" x14ac:dyDescent="0.3">
      <c r="A171" s="34">
        <v>163</v>
      </c>
      <c r="B171" s="34">
        <v>303</v>
      </c>
      <c r="C171" s="34" t="str">
        <f>VLOOKUP(B171,Dane!$A$1:$G$1001,7,FALSE)</f>
        <v>zły</v>
      </c>
      <c r="D171" s="39">
        <f t="shared" si="2"/>
        <v>0</v>
      </c>
    </row>
    <row r="172" spans="1:4" x14ac:dyDescent="0.3">
      <c r="A172" s="34">
        <v>164</v>
      </c>
      <c r="B172" s="34">
        <v>696</v>
      </c>
      <c r="C172" s="34" t="str">
        <f>VLOOKUP(B172,Dane!$A$1:$G$1001,7,FALSE)</f>
        <v>dobry</v>
      </c>
      <c r="D172" s="39">
        <f t="shared" si="2"/>
        <v>1</v>
      </c>
    </row>
    <row r="173" spans="1:4" x14ac:dyDescent="0.3">
      <c r="A173" s="34">
        <v>165</v>
      </c>
      <c r="B173" s="34">
        <v>26</v>
      </c>
      <c r="C173" s="34" t="str">
        <f>VLOOKUP(B173,Dane!$A$1:$G$1001,7,FALSE)</f>
        <v>dobry</v>
      </c>
      <c r="D173" s="39">
        <f t="shared" si="2"/>
        <v>1</v>
      </c>
    </row>
    <row r="174" spans="1:4" x14ac:dyDescent="0.3">
      <c r="A174" s="34">
        <v>166</v>
      </c>
      <c r="B174" s="34">
        <v>659</v>
      </c>
      <c r="C174" s="34" t="str">
        <f>VLOOKUP(B174,Dane!$A$1:$G$1001,7,FALSE)</f>
        <v>dobry</v>
      </c>
      <c r="D174" s="39">
        <f t="shared" si="2"/>
        <v>1</v>
      </c>
    </row>
    <row r="175" spans="1:4" x14ac:dyDescent="0.3">
      <c r="A175" s="34">
        <v>167</v>
      </c>
      <c r="B175" s="34">
        <v>170</v>
      </c>
      <c r="C175" s="34" t="str">
        <f>VLOOKUP(B175,Dane!$A$1:$G$1001,7,FALSE)</f>
        <v>zły</v>
      </c>
      <c r="D175" s="39">
        <f t="shared" si="2"/>
        <v>0</v>
      </c>
    </row>
    <row r="176" spans="1:4" x14ac:dyDescent="0.3">
      <c r="A176" s="34">
        <v>168</v>
      </c>
      <c r="B176" s="34">
        <v>872</v>
      </c>
      <c r="C176" s="34" t="str">
        <f>VLOOKUP(B176,Dane!$A$1:$G$1001,7,FALSE)</f>
        <v>dobry</v>
      </c>
      <c r="D176" s="39">
        <f t="shared" si="2"/>
        <v>1</v>
      </c>
    </row>
    <row r="177" spans="1:4" x14ac:dyDescent="0.3">
      <c r="A177" s="34">
        <v>169</v>
      </c>
      <c r="B177" s="34">
        <v>347</v>
      </c>
      <c r="C177" s="34" t="str">
        <f>VLOOKUP(B177,Dane!$A$1:$G$1001,7,FALSE)</f>
        <v>dobry</v>
      </c>
      <c r="D177" s="39">
        <f t="shared" si="2"/>
        <v>1</v>
      </c>
    </row>
    <row r="178" spans="1:4" x14ac:dyDescent="0.3">
      <c r="A178" s="34">
        <v>170</v>
      </c>
      <c r="B178" s="34">
        <v>928</v>
      </c>
      <c r="C178" s="34" t="str">
        <f>VLOOKUP(B178,Dane!$A$1:$G$1001,7,FALSE)</f>
        <v>zły</v>
      </c>
      <c r="D178" s="39">
        <f t="shared" si="2"/>
        <v>0</v>
      </c>
    </row>
    <row r="179" spans="1:4" x14ac:dyDescent="0.3">
      <c r="A179" s="34">
        <v>171</v>
      </c>
      <c r="B179" s="34">
        <v>403</v>
      </c>
      <c r="C179" s="34" t="str">
        <f>VLOOKUP(B179,Dane!$A$1:$G$1001,7,FALSE)</f>
        <v>zły</v>
      </c>
      <c r="D179" s="39">
        <f t="shared" si="2"/>
        <v>0</v>
      </c>
    </row>
    <row r="180" spans="1:4" x14ac:dyDescent="0.3">
      <c r="A180" s="34">
        <v>172</v>
      </c>
      <c r="B180" s="34">
        <v>368</v>
      </c>
      <c r="C180" s="34" t="str">
        <f>VLOOKUP(B180,Dane!$A$1:$G$1001,7,FALSE)</f>
        <v>dobry</v>
      </c>
      <c r="D180" s="39">
        <f t="shared" si="2"/>
        <v>1</v>
      </c>
    </row>
    <row r="181" spans="1:4" x14ac:dyDescent="0.3">
      <c r="A181" s="34">
        <v>173</v>
      </c>
      <c r="B181" s="34">
        <v>172</v>
      </c>
      <c r="C181" s="34" t="str">
        <f>VLOOKUP(B181,Dane!$A$1:$G$1001,7,FALSE)</f>
        <v>dobry</v>
      </c>
      <c r="D181" s="39">
        <f t="shared" si="2"/>
        <v>1</v>
      </c>
    </row>
    <row r="182" spans="1:4" x14ac:dyDescent="0.3">
      <c r="A182" s="34">
        <v>174</v>
      </c>
      <c r="B182" s="34">
        <v>300</v>
      </c>
      <c r="C182" s="34" t="str">
        <f>VLOOKUP(B182,Dane!$A$1:$G$1001,7,FALSE)</f>
        <v>dobry</v>
      </c>
      <c r="D182" s="39">
        <f t="shared" si="2"/>
        <v>1</v>
      </c>
    </row>
    <row r="183" spans="1:4" x14ac:dyDescent="0.3">
      <c r="A183" s="34">
        <v>175</v>
      </c>
      <c r="B183" s="34">
        <v>882</v>
      </c>
      <c r="C183" s="34" t="str">
        <f>VLOOKUP(B183,Dane!$A$1:$G$1001,7,FALSE)</f>
        <v>dobry</v>
      </c>
      <c r="D183" s="39">
        <f t="shared" si="2"/>
        <v>1</v>
      </c>
    </row>
    <row r="184" spans="1:4" x14ac:dyDescent="0.3">
      <c r="A184" s="34">
        <v>176</v>
      </c>
      <c r="B184" s="34">
        <v>396</v>
      </c>
      <c r="C184" s="34" t="str">
        <f>VLOOKUP(B184,Dane!$A$1:$G$1001,7,FALSE)</f>
        <v>dobry</v>
      </c>
      <c r="D184" s="39">
        <f t="shared" si="2"/>
        <v>1</v>
      </c>
    </row>
    <row r="185" spans="1:4" x14ac:dyDescent="0.3">
      <c r="A185" s="34">
        <v>177</v>
      </c>
      <c r="B185" s="34">
        <v>171</v>
      </c>
      <c r="C185" s="34" t="str">
        <f>VLOOKUP(B185,Dane!$A$1:$G$1001,7,FALSE)</f>
        <v>zły</v>
      </c>
      <c r="D185" s="39">
        <f t="shared" si="2"/>
        <v>0</v>
      </c>
    </row>
    <row r="186" spans="1:4" x14ac:dyDescent="0.3">
      <c r="A186" s="34">
        <v>178</v>
      </c>
      <c r="B186" s="34">
        <v>841</v>
      </c>
      <c r="C186" s="34" t="str">
        <f>VLOOKUP(B186,Dane!$A$1:$G$1001,7,FALSE)</f>
        <v>zły</v>
      </c>
      <c r="D186" s="39">
        <f t="shared" si="2"/>
        <v>0</v>
      </c>
    </row>
    <row r="187" spans="1:4" x14ac:dyDescent="0.3">
      <c r="A187" s="34">
        <v>179</v>
      </c>
      <c r="B187" s="34">
        <v>330</v>
      </c>
      <c r="C187" s="34" t="str">
        <f>VLOOKUP(B187,Dane!$A$1:$G$1001,7,FALSE)</f>
        <v>dobry</v>
      </c>
      <c r="D187" s="39">
        <f t="shared" si="2"/>
        <v>1</v>
      </c>
    </row>
    <row r="188" spans="1:4" x14ac:dyDescent="0.3">
      <c r="A188" s="34">
        <v>180</v>
      </c>
      <c r="B188" s="34">
        <v>704</v>
      </c>
      <c r="C188" s="34" t="str">
        <f>VLOOKUP(B188,Dane!$A$1:$G$1001,7,FALSE)</f>
        <v>dobry</v>
      </c>
      <c r="D188" s="39">
        <f t="shared" si="2"/>
        <v>1</v>
      </c>
    </row>
    <row r="189" spans="1:4" x14ac:dyDescent="0.3">
      <c r="A189" s="34">
        <v>181</v>
      </c>
      <c r="B189" s="34">
        <v>627</v>
      </c>
      <c r="C189" s="34" t="str">
        <f>VLOOKUP(B189,Dane!$A$1:$G$1001,7,FALSE)</f>
        <v>dobry</v>
      </c>
      <c r="D189" s="39">
        <f t="shared" si="2"/>
        <v>1</v>
      </c>
    </row>
    <row r="190" spans="1:4" x14ac:dyDescent="0.3">
      <c r="A190" s="34">
        <v>182</v>
      </c>
      <c r="B190" s="34">
        <v>428</v>
      </c>
      <c r="C190" s="34" t="str">
        <f>VLOOKUP(B190,Dane!$A$1:$G$1001,7,FALSE)</f>
        <v>dobry</v>
      </c>
      <c r="D190" s="39">
        <f t="shared" si="2"/>
        <v>1</v>
      </c>
    </row>
    <row r="191" spans="1:4" x14ac:dyDescent="0.3">
      <c r="A191" s="34">
        <v>183</v>
      </c>
      <c r="B191" s="34">
        <v>874</v>
      </c>
      <c r="C191" s="34" t="str">
        <f>VLOOKUP(B191,Dane!$A$1:$G$1001,7,FALSE)</f>
        <v>dobry</v>
      </c>
      <c r="D191" s="39">
        <f t="shared" si="2"/>
        <v>1</v>
      </c>
    </row>
    <row r="192" spans="1:4" x14ac:dyDescent="0.3">
      <c r="A192" s="34">
        <v>184</v>
      </c>
      <c r="B192" s="34">
        <v>145</v>
      </c>
      <c r="C192" s="34" t="str">
        <f>VLOOKUP(B192,Dane!$A$1:$G$1001,7,FALSE)</f>
        <v>dobry</v>
      </c>
      <c r="D192" s="39">
        <f t="shared" si="2"/>
        <v>1</v>
      </c>
    </row>
    <row r="193" spans="1:4" x14ac:dyDescent="0.3">
      <c r="A193" s="34">
        <v>185</v>
      </c>
      <c r="B193" s="34">
        <v>519</v>
      </c>
      <c r="C193" s="34" t="str">
        <f>VLOOKUP(B193,Dane!$A$1:$G$1001,7,FALSE)</f>
        <v>dobry</v>
      </c>
      <c r="D193" s="39">
        <f t="shared" si="2"/>
        <v>1</v>
      </c>
    </row>
    <row r="194" spans="1:4" x14ac:dyDescent="0.3">
      <c r="A194" s="34">
        <v>186</v>
      </c>
      <c r="B194" s="34">
        <v>531</v>
      </c>
      <c r="C194" s="34" t="str">
        <f>VLOOKUP(B194,Dane!$A$1:$G$1001,7,FALSE)</f>
        <v>dobry</v>
      </c>
      <c r="D194" s="39">
        <f t="shared" si="2"/>
        <v>1</v>
      </c>
    </row>
    <row r="195" spans="1:4" x14ac:dyDescent="0.3">
      <c r="A195" s="34">
        <v>187</v>
      </c>
      <c r="B195" s="34">
        <v>579</v>
      </c>
      <c r="C195" s="34" t="str">
        <f>VLOOKUP(B195,Dane!$A$1:$G$1001,7,FALSE)</f>
        <v>zły</v>
      </c>
      <c r="D195" s="39">
        <f t="shared" si="2"/>
        <v>0</v>
      </c>
    </row>
    <row r="196" spans="1:4" x14ac:dyDescent="0.3">
      <c r="A196" s="34">
        <v>188</v>
      </c>
      <c r="B196" s="34">
        <v>932</v>
      </c>
      <c r="C196" s="34" t="str">
        <f>VLOOKUP(B196,Dane!$A$1:$G$1001,7,FALSE)</f>
        <v>zły</v>
      </c>
      <c r="D196" s="39">
        <f t="shared" si="2"/>
        <v>0</v>
      </c>
    </row>
    <row r="197" spans="1:4" x14ac:dyDescent="0.3">
      <c r="A197" s="34">
        <v>189</v>
      </c>
      <c r="B197" s="34">
        <v>861</v>
      </c>
      <c r="C197" s="34" t="str">
        <f>VLOOKUP(B197,Dane!$A$1:$G$1001,7,FALSE)</f>
        <v>dobry</v>
      </c>
      <c r="D197" s="39">
        <f t="shared" si="2"/>
        <v>1</v>
      </c>
    </row>
    <row r="198" spans="1:4" x14ac:dyDescent="0.3">
      <c r="A198" s="34">
        <v>190</v>
      </c>
      <c r="B198" s="34">
        <v>604</v>
      </c>
      <c r="C198" s="34" t="str">
        <f>VLOOKUP(B198,Dane!$A$1:$G$1001,7,FALSE)</f>
        <v>zły</v>
      </c>
      <c r="D198" s="39">
        <f t="shared" si="2"/>
        <v>0</v>
      </c>
    </row>
    <row r="199" spans="1:4" x14ac:dyDescent="0.3">
      <c r="A199" s="34">
        <v>191</v>
      </c>
      <c r="B199" s="34">
        <v>80</v>
      </c>
      <c r="C199" s="34" t="str">
        <f>VLOOKUP(B199,Dane!$A$1:$G$1001,7,FALSE)</f>
        <v>dobry</v>
      </c>
      <c r="D199" s="39">
        <f t="shared" si="2"/>
        <v>1</v>
      </c>
    </row>
    <row r="200" spans="1:4" x14ac:dyDescent="0.3">
      <c r="A200" s="34">
        <v>192</v>
      </c>
      <c r="B200" s="34">
        <v>676</v>
      </c>
      <c r="C200" s="34" t="str">
        <f>VLOOKUP(B200,Dane!$A$1:$G$1001,7,FALSE)</f>
        <v>dobry</v>
      </c>
      <c r="D200" s="39">
        <f t="shared" si="2"/>
        <v>1</v>
      </c>
    </row>
    <row r="201" spans="1:4" x14ac:dyDescent="0.3">
      <c r="A201" s="34">
        <v>193</v>
      </c>
      <c r="B201" s="34">
        <v>864</v>
      </c>
      <c r="C201" s="34" t="str">
        <f>VLOOKUP(B201,Dane!$A$1:$G$1001,7,FALSE)</f>
        <v>dobry</v>
      </c>
      <c r="D201" s="39">
        <f t="shared" si="2"/>
        <v>1</v>
      </c>
    </row>
    <row r="202" spans="1:4" x14ac:dyDescent="0.3">
      <c r="A202" s="34">
        <v>194</v>
      </c>
      <c r="B202" s="34">
        <v>758</v>
      </c>
      <c r="C202" s="34" t="str">
        <f>VLOOKUP(B202,Dane!$A$1:$G$1001,7,FALSE)</f>
        <v>zły</v>
      </c>
      <c r="D202" s="39">
        <f t="shared" si="2"/>
        <v>0</v>
      </c>
    </row>
    <row r="203" spans="1:4" x14ac:dyDescent="0.3">
      <c r="A203" s="34">
        <v>195</v>
      </c>
      <c r="B203" s="34">
        <v>369</v>
      </c>
      <c r="C203" s="34" t="str">
        <f>VLOOKUP(B203,Dane!$A$1:$G$1001,7,FALSE)</f>
        <v>zły</v>
      </c>
      <c r="D203" s="39">
        <f t="shared" ref="D203:D258" si="3">IF(C203="dobry",1,0)</f>
        <v>0</v>
      </c>
    </row>
    <row r="204" spans="1:4" x14ac:dyDescent="0.3">
      <c r="A204" s="34">
        <v>196</v>
      </c>
      <c r="B204" s="34">
        <v>200</v>
      </c>
      <c r="C204" s="34" t="str">
        <f>VLOOKUP(B204,Dane!$A$1:$G$1001,7,FALSE)</f>
        <v>zły</v>
      </c>
      <c r="D204" s="39">
        <f t="shared" si="3"/>
        <v>0</v>
      </c>
    </row>
    <row r="205" spans="1:4" x14ac:dyDescent="0.3">
      <c r="A205" s="34">
        <v>197</v>
      </c>
      <c r="B205" s="34">
        <v>240</v>
      </c>
      <c r="C205" s="34" t="str">
        <f>VLOOKUP(B205,Dane!$A$1:$G$1001,7,FALSE)</f>
        <v>dobry</v>
      </c>
      <c r="D205" s="39">
        <f t="shared" si="3"/>
        <v>1</v>
      </c>
    </row>
    <row r="206" spans="1:4" x14ac:dyDescent="0.3">
      <c r="A206" s="34">
        <v>198</v>
      </c>
      <c r="B206" s="34">
        <v>822</v>
      </c>
      <c r="C206" s="34" t="str">
        <f>VLOOKUP(B206,Dane!$A$1:$G$1001,7,FALSE)</f>
        <v>dobry</v>
      </c>
      <c r="D206" s="39">
        <f t="shared" si="3"/>
        <v>1</v>
      </c>
    </row>
    <row r="207" spans="1:4" x14ac:dyDescent="0.3">
      <c r="A207" s="34">
        <v>199</v>
      </c>
      <c r="B207" s="34">
        <v>295</v>
      </c>
      <c r="C207" s="34" t="str">
        <f>VLOOKUP(B207,Dane!$A$1:$G$1001,7,FALSE)</f>
        <v>dobry</v>
      </c>
      <c r="D207" s="39">
        <f t="shared" si="3"/>
        <v>1</v>
      </c>
    </row>
    <row r="208" spans="1:4" ht="15" thickBot="1" x14ac:dyDescent="0.35">
      <c r="A208" s="93">
        <v>200</v>
      </c>
      <c r="B208" s="93">
        <v>751</v>
      </c>
      <c r="C208" s="93" t="str">
        <f>VLOOKUP(B208,Dane!$A$1:$G$1001,7,FALSE)</f>
        <v>dobry</v>
      </c>
      <c r="D208" s="235">
        <f t="shared" si="3"/>
        <v>1</v>
      </c>
    </row>
    <row r="209" spans="1:4" x14ac:dyDescent="0.3">
      <c r="A209" s="34">
        <v>201</v>
      </c>
      <c r="B209" s="34">
        <v>296</v>
      </c>
      <c r="C209" s="34" t="str">
        <f>VLOOKUP(B209,Dane!$A$1:$G$1001,7,FALSE)</f>
        <v>zły</v>
      </c>
      <c r="D209" s="39">
        <f t="shared" si="3"/>
        <v>0</v>
      </c>
    </row>
    <row r="210" spans="1:4" x14ac:dyDescent="0.3">
      <c r="A210" s="34">
        <v>202</v>
      </c>
      <c r="B210" s="34">
        <v>728</v>
      </c>
      <c r="C210" s="34" t="str">
        <f>VLOOKUP(B210,Dane!$A$1:$G$1001,7,FALSE)</f>
        <v>zły</v>
      </c>
      <c r="D210" s="39">
        <f t="shared" si="3"/>
        <v>0</v>
      </c>
    </row>
    <row r="211" spans="1:4" x14ac:dyDescent="0.3">
      <c r="A211" s="34">
        <v>203</v>
      </c>
      <c r="B211" s="34">
        <v>878</v>
      </c>
      <c r="C211" s="34" t="str">
        <f>VLOOKUP(B211,Dane!$A$1:$G$1001,7,FALSE)</f>
        <v>dobry</v>
      </c>
      <c r="D211" s="39">
        <f t="shared" si="3"/>
        <v>1</v>
      </c>
    </row>
    <row r="212" spans="1:4" x14ac:dyDescent="0.3">
      <c r="A212" s="34">
        <v>204</v>
      </c>
      <c r="B212" s="34">
        <v>804</v>
      </c>
      <c r="C212" s="34" t="str">
        <f>VLOOKUP(B212,Dane!$A$1:$G$1001,7,FALSE)</f>
        <v>dobry</v>
      </c>
      <c r="D212" s="39">
        <f t="shared" si="3"/>
        <v>1</v>
      </c>
    </row>
    <row r="213" spans="1:4" x14ac:dyDescent="0.3">
      <c r="A213" s="34">
        <v>205</v>
      </c>
      <c r="B213" s="34">
        <v>207</v>
      </c>
      <c r="C213" s="34" t="str">
        <f>VLOOKUP(B213,Dane!$A$1:$G$1001,7,FALSE)</f>
        <v>dobry</v>
      </c>
      <c r="D213" s="39">
        <f t="shared" si="3"/>
        <v>1</v>
      </c>
    </row>
    <row r="214" spans="1:4" x14ac:dyDescent="0.3">
      <c r="A214" s="34">
        <v>206</v>
      </c>
      <c r="B214" s="34">
        <v>515</v>
      </c>
      <c r="C214" s="34" t="str">
        <f>VLOOKUP(B214,Dane!$A$1:$G$1001,7,FALSE)</f>
        <v>dobry</v>
      </c>
      <c r="D214" s="39">
        <f t="shared" si="3"/>
        <v>1</v>
      </c>
    </row>
    <row r="215" spans="1:4" x14ac:dyDescent="0.3">
      <c r="A215" s="34">
        <v>207</v>
      </c>
      <c r="B215" s="34">
        <v>599</v>
      </c>
      <c r="C215" s="34" t="str">
        <f>VLOOKUP(B215,Dane!$A$1:$G$1001,7,FALSE)</f>
        <v>zły</v>
      </c>
      <c r="D215" s="39">
        <f t="shared" si="3"/>
        <v>0</v>
      </c>
    </row>
    <row r="216" spans="1:4" x14ac:dyDescent="0.3">
      <c r="A216" s="34">
        <v>208</v>
      </c>
      <c r="B216" s="34">
        <v>805</v>
      </c>
      <c r="C216" s="34" t="str">
        <f>VLOOKUP(B216,Dane!$A$1:$G$1001,7,FALSE)</f>
        <v>dobry</v>
      </c>
      <c r="D216" s="39">
        <f t="shared" si="3"/>
        <v>1</v>
      </c>
    </row>
    <row r="217" spans="1:4" x14ac:dyDescent="0.3">
      <c r="A217" s="34">
        <v>209</v>
      </c>
      <c r="B217" s="34">
        <v>950</v>
      </c>
      <c r="C217" s="34" t="str">
        <f>VLOOKUP(B217,Dane!$A$1:$G$1001,7,FALSE)</f>
        <v>zły</v>
      </c>
      <c r="D217" s="39">
        <f t="shared" si="3"/>
        <v>0</v>
      </c>
    </row>
    <row r="218" spans="1:4" x14ac:dyDescent="0.3">
      <c r="A218" s="34">
        <v>210</v>
      </c>
      <c r="B218" s="34">
        <v>22</v>
      </c>
      <c r="C218" s="34" t="str">
        <f>VLOOKUP(B218,Dane!$A$1:$G$1001,7,FALSE)</f>
        <v>dobry</v>
      </c>
      <c r="D218" s="39">
        <f t="shared" si="3"/>
        <v>1</v>
      </c>
    </row>
    <row r="219" spans="1:4" x14ac:dyDescent="0.3">
      <c r="A219" s="34">
        <v>211</v>
      </c>
      <c r="B219" s="34">
        <v>184</v>
      </c>
      <c r="C219" s="34" t="str">
        <f>VLOOKUP(B219,Dane!$A$1:$G$1001,7,FALSE)</f>
        <v>dobry</v>
      </c>
      <c r="D219" s="39">
        <f t="shared" si="3"/>
        <v>1</v>
      </c>
    </row>
    <row r="220" spans="1:4" x14ac:dyDescent="0.3">
      <c r="A220" s="34">
        <v>212</v>
      </c>
      <c r="B220" s="34">
        <v>333</v>
      </c>
      <c r="C220" s="34" t="str">
        <f>VLOOKUP(B220,Dane!$A$1:$G$1001,7,FALSE)</f>
        <v>zły</v>
      </c>
      <c r="D220" s="39">
        <f t="shared" si="3"/>
        <v>0</v>
      </c>
    </row>
    <row r="221" spans="1:4" x14ac:dyDescent="0.3">
      <c r="A221" s="34">
        <v>213</v>
      </c>
      <c r="B221" s="34">
        <v>185</v>
      </c>
      <c r="C221" s="34" t="str">
        <f>VLOOKUP(B221,Dane!$A$1:$G$1001,7,FALSE)</f>
        <v>zły</v>
      </c>
      <c r="D221" s="39">
        <f t="shared" si="3"/>
        <v>0</v>
      </c>
    </row>
    <row r="222" spans="1:4" x14ac:dyDescent="0.3">
      <c r="A222" s="34">
        <v>214</v>
      </c>
      <c r="B222" s="34">
        <v>854</v>
      </c>
      <c r="C222" s="34" t="str">
        <f>VLOOKUP(B222,Dane!$A$1:$G$1001,7,FALSE)</f>
        <v>zły</v>
      </c>
      <c r="D222" s="39">
        <f t="shared" si="3"/>
        <v>0</v>
      </c>
    </row>
    <row r="223" spans="1:4" x14ac:dyDescent="0.3">
      <c r="A223" s="34">
        <v>215</v>
      </c>
      <c r="B223" s="34">
        <v>945</v>
      </c>
      <c r="C223" s="34" t="str">
        <f>VLOOKUP(B223,Dane!$A$1:$G$1001,7,FALSE)</f>
        <v>dobry</v>
      </c>
      <c r="D223" s="39">
        <f t="shared" si="3"/>
        <v>1</v>
      </c>
    </row>
    <row r="224" spans="1:4" x14ac:dyDescent="0.3">
      <c r="A224" s="34">
        <v>216</v>
      </c>
      <c r="B224" s="34">
        <v>890</v>
      </c>
      <c r="C224" s="34" t="str">
        <f>VLOOKUP(B224,Dane!$A$1:$G$1001,7,FALSE)</f>
        <v>dobry</v>
      </c>
      <c r="D224" s="39">
        <f t="shared" si="3"/>
        <v>1</v>
      </c>
    </row>
    <row r="225" spans="1:4" x14ac:dyDescent="0.3">
      <c r="A225" s="34">
        <v>217</v>
      </c>
      <c r="B225" s="34">
        <v>552</v>
      </c>
      <c r="C225" s="34" t="str">
        <f>VLOOKUP(B225,Dane!$A$1:$G$1001,7,FALSE)</f>
        <v>dobry</v>
      </c>
      <c r="D225" s="39">
        <f t="shared" si="3"/>
        <v>1</v>
      </c>
    </row>
    <row r="226" spans="1:4" x14ac:dyDescent="0.3">
      <c r="A226" s="34">
        <v>218</v>
      </c>
      <c r="B226" s="34">
        <v>520</v>
      </c>
      <c r="C226" s="34" t="str">
        <f>VLOOKUP(B226,Dane!$A$1:$G$1001,7,FALSE)</f>
        <v>dobry</v>
      </c>
      <c r="D226" s="39">
        <f t="shared" si="3"/>
        <v>1</v>
      </c>
    </row>
    <row r="227" spans="1:4" x14ac:dyDescent="0.3">
      <c r="A227" s="34">
        <v>219</v>
      </c>
      <c r="B227" s="34">
        <v>842</v>
      </c>
      <c r="C227" s="34" t="str">
        <f>VLOOKUP(B227,Dane!$A$1:$G$1001,7,FALSE)</f>
        <v>dobry</v>
      </c>
      <c r="D227" s="39">
        <f t="shared" si="3"/>
        <v>1</v>
      </c>
    </row>
    <row r="228" spans="1:4" x14ac:dyDescent="0.3">
      <c r="A228" s="34">
        <v>220</v>
      </c>
      <c r="B228" s="34">
        <v>282</v>
      </c>
      <c r="C228" s="34" t="str">
        <f>VLOOKUP(B228,Dane!$A$1:$G$1001,7,FALSE)</f>
        <v>dobry</v>
      </c>
      <c r="D228" s="39">
        <f t="shared" si="3"/>
        <v>1</v>
      </c>
    </row>
    <row r="229" spans="1:4" x14ac:dyDescent="0.3">
      <c r="A229" s="34">
        <v>221</v>
      </c>
      <c r="B229" s="34">
        <v>680</v>
      </c>
      <c r="C229" s="34" t="str">
        <f>VLOOKUP(B229,Dane!$A$1:$G$1001,7,FALSE)</f>
        <v>dobry</v>
      </c>
      <c r="D229" s="39">
        <f t="shared" si="3"/>
        <v>1</v>
      </c>
    </row>
    <row r="230" spans="1:4" x14ac:dyDescent="0.3">
      <c r="A230" s="34">
        <v>222</v>
      </c>
      <c r="B230" s="34">
        <v>348</v>
      </c>
      <c r="C230" s="34" t="str">
        <f>VLOOKUP(B230,Dane!$A$1:$G$1001,7,FALSE)</f>
        <v>dobry</v>
      </c>
      <c r="D230" s="39">
        <f t="shared" si="3"/>
        <v>1</v>
      </c>
    </row>
    <row r="231" spans="1:4" x14ac:dyDescent="0.3">
      <c r="A231" s="34">
        <v>223</v>
      </c>
      <c r="B231" s="34">
        <v>752</v>
      </c>
      <c r="C231" s="34" t="str">
        <f>VLOOKUP(B231,Dane!$A$1:$G$1001,7,FALSE)</f>
        <v>zły</v>
      </c>
      <c r="D231" s="39">
        <f t="shared" si="3"/>
        <v>0</v>
      </c>
    </row>
    <row r="232" spans="1:4" x14ac:dyDescent="0.3">
      <c r="A232" s="34">
        <v>224</v>
      </c>
      <c r="B232" s="34">
        <v>746</v>
      </c>
      <c r="C232" s="34" t="str">
        <f>VLOOKUP(B232,Dane!$A$1:$G$1001,7,FALSE)</f>
        <v>dobry</v>
      </c>
      <c r="D232" s="39">
        <f t="shared" si="3"/>
        <v>1</v>
      </c>
    </row>
    <row r="233" spans="1:4" x14ac:dyDescent="0.3">
      <c r="A233" s="34">
        <v>225</v>
      </c>
      <c r="B233" s="34">
        <v>510</v>
      </c>
      <c r="C233" s="34" t="str">
        <f>VLOOKUP(B233,Dane!$A$1:$G$1001,7,FALSE)</f>
        <v>dobry</v>
      </c>
      <c r="D233" s="39">
        <f t="shared" si="3"/>
        <v>1</v>
      </c>
    </row>
    <row r="234" spans="1:4" x14ac:dyDescent="0.3">
      <c r="A234" s="34">
        <v>226</v>
      </c>
      <c r="B234" s="34">
        <v>658</v>
      </c>
      <c r="C234" s="34" t="str">
        <f>VLOOKUP(B234,Dane!$A$1:$G$1001,7,FALSE)</f>
        <v>dobry</v>
      </c>
      <c r="D234" s="39">
        <f t="shared" si="3"/>
        <v>1</v>
      </c>
    </row>
    <row r="235" spans="1:4" x14ac:dyDescent="0.3">
      <c r="A235" s="34">
        <v>227</v>
      </c>
      <c r="B235" s="34">
        <v>901</v>
      </c>
      <c r="C235" s="34" t="str">
        <f>VLOOKUP(B235,Dane!$A$1:$G$1001,7,FALSE)</f>
        <v>zły</v>
      </c>
      <c r="D235" s="39">
        <f t="shared" si="3"/>
        <v>0</v>
      </c>
    </row>
    <row r="236" spans="1:4" x14ac:dyDescent="0.3">
      <c r="A236" s="34">
        <v>228</v>
      </c>
      <c r="B236" s="34">
        <v>538</v>
      </c>
      <c r="C236" s="34" t="str">
        <f>VLOOKUP(B236,Dane!$A$1:$G$1001,7,FALSE)</f>
        <v>dobry</v>
      </c>
      <c r="D236" s="39">
        <f t="shared" si="3"/>
        <v>1</v>
      </c>
    </row>
    <row r="237" spans="1:4" x14ac:dyDescent="0.3">
      <c r="A237" s="34">
        <v>229</v>
      </c>
      <c r="B237" s="34">
        <v>86</v>
      </c>
      <c r="C237" s="34" t="str">
        <f>VLOOKUP(B237,Dane!$A$1:$G$1001,7,FALSE)</f>
        <v>dobry</v>
      </c>
      <c r="D237" s="39">
        <f t="shared" si="3"/>
        <v>1</v>
      </c>
    </row>
    <row r="238" spans="1:4" x14ac:dyDescent="0.3">
      <c r="A238" s="34">
        <v>230</v>
      </c>
      <c r="B238" s="34">
        <v>505</v>
      </c>
      <c r="C238" s="34" t="str">
        <f>VLOOKUP(B238,Dane!$A$1:$G$1001,7,FALSE)</f>
        <v>zły</v>
      </c>
      <c r="D238" s="39">
        <f t="shared" si="3"/>
        <v>0</v>
      </c>
    </row>
    <row r="239" spans="1:4" x14ac:dyDescent="0.3">
      <c r="A239" s="34">
        <v>231</v>
      </c>
      <c r="B239" s="34">
        <v>468</v>
      </c>
      <c r="C239" s="34" t="str">
        <f>VLOOKUP(B239,Dane!$A$1:$G$1001,7,FALSE)</f>
        <v>dobry</v>
      </c>
      <c r="D239" s="39">
        <f t="shared" si="3"/>
        <v>1</v>
      </c>
    </row>
    <row r="240" spans="1:4" x14ac:dyDescent="0.3">
      <c r="A240" s="34">
        <v>232</v>
      </c>
      <c r="B240" s="34">
        <v>480</v>
      </c>
      <c r="C240" s="34" t="str">
        <f>VLOOKUP(B240,Dane!$A$1:$G$1001,7,FALSE)</f>
        <v>dobry</v>
      </c>
      <c r="D240" s="39">
        <f t="shared" si="3"/>
        <v>1</v>
      </c>
    </row>
    <row r="241" spans="1:4" x14ac:dyDescent="0.3">
      <c r="A241" s="34">
        <v>233</v>
      </c>
      <c r="B241" s="34">
        <v>701</v>
      </c>
      <c r="C241" s="34" t="str">
        <f>VLOOKUP(B241,Dane!$A$1:$G$1001,7,FALSE)</f>
        <v>zły</v>
      </c>
      <c r="D241" s="39">
        <f t="shared" si="3"/>
        <v>0</v>
      </c>
    </row>
    <row r="242" spans="1:4" x14ac:dyDescent="0.3">
      <c r="A242" s="34">
        <v>234</v>
      </c>
      <c r="B242" s="34">
        <v>367</v>
      </c>
      <c r="C242" s="34" t="str">
        <f>VLOOKUP(B242,Dane!$A$1:$G$1001,7,FALSE)</f>
        <v>dobry</v>
      </c>
      <c r="D242" s="39">
        <f t="shared" si="3"/>
        <v>1</v>
      </c>
    </row>
    <row r="243" spans="1:4" x14ac:dyDescent="0.3">
      <c r="A243" s="34">
        <v>235</v>
      </c>
      <c r="B243" s="34">
        <v>924</v>
      </c>
      <c r="C243" s="34" t="str">
        <f>VLOOKUP(B243,Dane!$A$1:$G$1001,7,FALSE)</f>
        <v>dobry</v>
      </c>
      <c r="D243" s="39">
        <f t="shared" si="3"/>
        <v>1</v>
      </c>
    </row>
    <row r="244" spans="1:4" x14ac:dyDescent="0.3">
      <c r="A244" s="34">
        <v>236</v>
      </c>
      <c r="B244" s="34">
        <v>241</v>
      </c>
      <c r="C244" s="34" t="str">
        <f>VLOOKUP(B244,Dane!$A$1:$G$1001,7,FALSE)</f>
        <v>zły</v>
      </c>
      <c r="D244" s="39">
        <f t="shared" si="3"/>
        <v>0</v>
      </c>
    </row>
    <row r="245" spans="1:4" x14ac:dyDescent="0.3">
      <c r="A245" s="34">
        <v>237</v>
      </c>
      <c r="B245" s="34">
        <v>498</v>
      </c>
      <c r="C245" s="34" t="str">
        <f>VLOOKUP(B245,Dane!$A$1:$G$1001,7,FALSE)</f>
        <v>dobry</v>
      </c>
      <c r="D245" s="39">
        <f t="shared" si="3"/>
        <v>1</v>
      </c>
    </row>
    <row r="246" spans="1:4" x14ac:dyDescent="0.3">
      <c r="A246" s="34">
        <v>238</v>
      </c>
      <c r="B246" s="34">
        <v>578</v>
      </c>
      <c r="C246" s="34" t="str">
        <f>VLOOKUP(B246,Dane!$A$1:$G$1001,7,FALSE)</f>
        <v>dobry</v>
      </c>
      <c r="D246" s="39">
        <f t="shared" si="3"/>
        <v>1</v>
      </c>
    </row>
    <row r="247" spans="1:4" x14ac:dyDescent="0.3">
      <c r="A247" s="34">
        <v>239</v>
      </c>
      <c r="B247" s="34">
        <v>534</v>
      </c>
      <c r="C247" s="34" t="str">
        <f>VLOOKUP(B247,Dane!$A$1:$G$1001,7,FALSE)</f>
        <v>dobry</v>
      </c>
      <c r="D247" s="39">
        <f t="shared" si="3"/>
        <v>1</v>
      </c>
    </row>
    <row r="248" spans="1:4" x14ac:dyDescent="0.3">
      <c r="A248" s="34">
        <v>240</v>
      </c>
      <c r="B248" s="34">
        <v>943</v>
      </c>
      <c r="C248" s="34" t="str">
        <f>VLOOKUP(B248,Dane!$A$1:$G$1001,7,FALSE)</f>
        <v>dobry</v>
      </c>
      <c r="D248" s="39">
        <f t="shared" si="3"/>
        <v>1</v>
      </c>
    </row>
    <row r="249" spans="1:4" x14ac:dyDescent="0.3">
      <c r="A249" s="34">
        <v>241</v>
      </c>
      <c r="B249" s="34">
        <v>635</v>
      </c>
      <c r="C249" s="34" t="str">
        <f>VLOOKUP(B249,Dane!$A$1:$G$1001,7,FALSE)</f>
        <v>zły</v>
      </c>
      <c r="D249" s="39">
        <f t="shared" si="3"/>
        <v>0</v>
      </c>
    </row>
    <row r="250" spans="1:4" x14ac:dyDescent="0.3">
      <c r="A250" s="34">
        <v>242</v>
      </c>
      <c r="B250" s="34">
        <v>634</v>
      </c>
      <c r="C250" s="34" t="str">
        <f>VLOOKUP(B250,Dane!$A$1:$G$1001,7,FALSE)</f>
        <v>zły</v>
      </c>
      <c r="D250" s="39">
        <f t="shared" si="3"/>
        <v>0</v>
      </c>
    </row>
    <row r="251" spans="1:4" x14ac:dyDescent="0.3">
      <c r="A251" s="34">
        <v>243</v>
      </c>
      <c r="B251" s="34">
        <v>517</v>
      </c>
      <c r="C251" s="34" t="str">
        <f>VLOOKUP(B251,Dane!$A$1:$G$1001,7,FALSE)</f>
        <v>dobry</v>
      </c>
      <c r="D251" s="39">
        <f t="shared" si="3"/>
        <v>1</v>
      </c>
    </row>
    <row r="252" spans="1:4" x14ac:dyDescent="0.3">
      <c r="A252" s="34">
        <v>244</v>
      </c>
      <c r="B252" s="34">
        <v>766</v>
      </c>
      <c r="C252" s="34" t="str">
        <f>VLOOKUP(B252,Dane!$A$1:$G$1001,7,FALSE)</f>
        <v>dobry</v>
      </c>
      <c r="D252" s="39">
        <f t="shared" si="3"/>
        <v>1</v>
      </c>
    </row>
    <row r="253" spans="1:4" x14ac:dyDescent="0.3">
      <c r="A253" s="34">
        <v>245</v>
      </c>
      <c r="B253" s="34">
        <v>712</v>
      </c>
      <c r="C253" s="34" t="str">
        <f>VLOOKUP(B253,Dane!$A$1:$G$1001,7,FALSE)</f>
        <v>zły</v>
      </c>
      <c r="D253" s="39">
        <f t="shared" si="3"/>
        <v>0</v>
      </c>
    </row>
    <row r="254" spans="1:4" x14ac:dyDescent="0.3">
      <c r="A254" s="34">
        <v>246</v>
      </c>
      <c r="B254" s="34">
        <v>148</v>
      </c>
      <c r="C254" s="34" t="str">
        <f>VLOOKUP(B254,Dane!$A$1:$G$1001,7,FALSE)</f>
        <v>dobry</v>
      </c>
      <c r="D254" s="39">
        <f t="shared" si="3"/>
        <v>1</v>
      </c>
    </row>
    <row r="255" spans="1:4" x14ac:dyDescent="0.3">
      <c r="A255" s="34">
        <v>247</v>
      </c>
      <c r="B255" s="34">
        <v>374</v>
      </c>
      <c r="C255" s="34" t="str">
        <f>VLOOKUP(B255,Dane!$A$1:$G$1001,7,FALSE)</f>
        <v>dobry</v>
      </c>
      <c r="D255" s="39">
        <f t="shared" si="3"/>
        <v>1</v>
      </c>
    </row>
    <row r="256" spans="1:4" x14ac:dyDescent="0.3">
      <c r="A256" s="34">
        <v>248</v>
      </c>
      <c r="B256" s="34">
        <v>603</v>
      </c>
      <c r="C256" s="34" t="str">
        <f>VLOOKUP(B256,Dane!$A$1:$G$1001,7,FALSE)</f>
        <v>zły</v>
      </c>
      <c r="D256" s="39">
        <f t="shared" si="3"/>
        <v>0</v>
      </c>
    </row>
    <row r="257" spans="1:4" x14ac:dyDescent="0.3">
      <c r="A257" s="34">
        <v>249</v>
      </c>
      <c r="B257" s="34">
        <v>306</v>
      </c>
      <c r="C257" s="34" t="str">
        <f>VLOOKUP(B257,Dane!$A$1:$G$1001,7,FALSE)</f>
        <v>dobry</v>
      </c>
      <c r="D257" s="39">
        <f t="shared" si="3"/>
        <v>1</v>
      </c>
    </row>
    <row r="258" spans="1:4" x14ac:dyDescent="0.3">
      <c r="A258" s="35">
        <v>250</v>
      </c>
      <c r="B258" s="35">
        <v>470</v>
      </c>
      <c r="C258" s="35" t="str">
        <f>VLOOKUP(B258,Dane!$A$1:$G$1001,7,FALSE)</f>
        <v>dobry</v>
      </c>
      <c r="D258" s="40">
        <f t="shared" si="3"/>
        <v>1</v>
      </c>
    </row>
  </sheetData>
  <mergeCells count="2">
    <mergeCell ref="B2:M2"/>
    <mergeCell ref="B3:M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5C16-0A2D-4CA1-9A0C-BA5156244AA9}">
  <dimension ref="A1:G1001"/>
  <sheetViews>
    <sheetView workbookViewId="0">
      <selection activeCell="L8" sqref="L8"/>
    </sheetView>
  </sheetViews>
  <sheetFormatPr defaultRowHeight="14.4" x14ac:dyDescent="0.3"/>
  <cols>
    <col min="1" max="1" width="9.33203125" customWidth="1"/>
    <col min="2" max="2" width="16.88671875" bestFit="1" customWidth="1"/>
    <col min="3" max="3" width="18.6640625" bestFit="1" customWidth="1"/>
    <col min="4" max="4" width="9.6640625" bestFit="1" customWidth="1"/>
    <col min="5" max="5" width="22.6640625" bestFit="1" customWidth="1"/>
    <col min="6" max="6" width="15.6640625" bestFit="1" customWidth="1"/>
    <col min="7" max="7" width="10.109375" bestFit="1" customWidth="1"/>
  </cols>
  <sheetData>
    <row r="1" spans="1:7" x14ac:dyDescent="0.3">
      <c r="A1" s="37" t="s">
        <v>12</v>
      </c>
      <c r="B1" s="37" t="s">
        <v>63</v>
      </c>
      <c r="C1" s="37" t="s">
        <v>126</v>
      </c>
      <c r="D1" s="37" t="s">
        <v>0</v>
      </c>
      <c r="E1" s="37" t="s">
        <v>127</v>
      </c>
      <c r="F1" s="37" t="s">
        <v>1</v>
      </c>
      <c r="G1" s="37" t="s">
        <v>2</v>
      </c>
    </row>
    <row r="2" spans="1:7" x14ac:dyDescent="0.3">
      <c r="A2" s="34">
        <v>1</v>
      </c>
      <c r="B2" s="34">
        <v>6</v>
      </c>
      <c r="C2" s="38">
        <v>1169</v>
      </c>
      <c r="D2" s="38">
        <v>67</v>
      </c>
      <c r="E2" s="38" t="s">
        <v>3</v>
      </c>
      <c r="F2" s="38" t="s">
        <v>4</v>
      </c>
      <c r="G2" s="38" t="s">
        <v>5</v>
      </c>
    </row>
    <row r="3" spans="1:7" x14ac:dyDescent="0.3">
      <c r="A3" s="34">
        <v>2</v>
      </c>
      <c r="B3" s="34">
        <v>48</v>
      </c>
      <c r="C3" s="34">
        <v>5951</v>
      </c>
      <c r="D3" s="34">
        <v>22</v>
      </c>
      <c r="E3" s="34" t="s">
        <v>6</v>
      </c>
      <c r="F3" s="34" t="s">
        <v>4</v>
      </c>
      <c r="G3" s="34" t="s">
        <v>7</v>
      </c>
    </row>
    <row r="4" spans="1:7" x14ac:dyDescent="0.3">
      <c r="A4" s="34">
        <v>3</v>
      </c>
      <c r="B4" s="34">
        <v>12</v>
      </c>
      <c r="C4" s="34">
        <v>2096</v>
      </c>
      <c r="D4" s="34">
        <v>49</v>
      </c>
      <c r="E4" s="34" t="s">
        <v>3</v>
      </c>
      <c r="F4" s="34" t="s">
        <v>4</v>
      </c>
      <c r="G4" s="34" t="s">
        <v>5</v>
      </c>
    </row>
    <row r="5" spans="1:7" x14ac:dyDescent="0.3">
      <c r="A5" s="34">
        <v>4</v>
      </c>
      <c r="B5" s="34">
        <v>42</v>
      </c>
      <c r="C5" s="34">
        <v>7882</v>
      </c>
      <c r="D5" s="34">
        <v>45</v>
      </c>
      <c r="E5" s="34" t="s">
        <v>3</v>
      </c>
      <c r="F5" s="34" t="s">
        <v>8</v>
      </c>
      <c r="G5" s="34" t="s">
        <v>5</v>
      </c>
    </row>
    <row r="6" spans="1:7" x14ac:dyDescent="0.3">
      <c r="A6" s="34">
        <v>5</v>
      </c>
      <c r="B6" s="34">
        <v>24</v>
      </c>
      <c r="C6" s="34">
        <v>4870</v>
      </c>
      <c r="D6" s="34">
        <v>53</v>
      </c>
      <c r="E6" s="34" t="s">
        <v>3</v>
      </c>
      <c r="F6" s="34" t="s">
        <v>8</v>
      </c>
      <c r="G6" s="34" t="s">
        <v>7</v>
      </c>
    </row>
    <row r="7" spans="1:7" x14ac:dyDescent="0.3">
      <c r="A7" s="34">
        <v>6</v>
      </c>
      <c r="B7" s="34">
        <v>36</v>
      </c>
      <c r="C7" s="34">
        <v>9055</v>
      </c>
      <c r="D7" s="34">
        <v>35</v>
      </c>
      <c r="E7" s="34" t="s">
        <v>3</v>
      </c>
      <c r="F7" s="34" t="s">
        <v>8</v>
      </c>
      <c r="G7" s="34" t="s">
        <v>5</v>
      </c>
    </row>
    <row r="8" spans="1:7" x14ac:dyDescent="0.3">
      <c r="A8" s="34">
        <v>7</v>
      </c>
      <c r="B8" s="34">
        <v>24</v>
      </c>
      <c r="C8" s="34">
        <v>2835</v>
      </c>
      <c r="D8" s="34">
        <v>53</v>
      </c>
      <c r="E8" s="34" t="s">
        <v>3</v>
      </c>
      <c r="F8" s="34" t="s">
        <v>4</v>
      </c>
      <c r="G8" s="34" t="s">
        <v>5</v>
      </c>
    </row>
    <row r="9" spans="1:7" x14ac:dyDescent="0.3">
      <c r="A9" s="34">
        <v>8</v>
      </c>
      <c r="B9" s="34">
        <v>36</v>
      </c>
      <c r="C9" s="34">
        <v>6948</v>
      </c>
      <c r="D9" s="34">
        <v>35</v>
      </c>
      <c r="E9" s="34" t="s">
        <v>3</v>
      </c>
      <c r="F9" s="34" t="s">
        <v>9</v>
      </c>
      <c r="G9" s="34" t="s">
        <v>5</v>
      </c>
    </row>
    <row r="10" spans="1:7" x14ac:dyDescent="0.3">
      <c r="A10" s="34">
        <v>9</v>
      </c>
      <c r="B10" s="34">
        <v>12</v>
      </c>
      <c r="C10" s="34">
        <v>3059</v>
      </c>
      <c r="D10" s="34">
        <v>61</v>
      </c>
      <c r="E10" s="34" t="s">
        <v>10</v>
      </c>
      <c r="F10" s="34" t="s">
        <v>4</v>
      </c>
      <c r="G10" s="34" t="s">
        <v>5</v>
      </c>
    </row>
    <row r="11" spans="1:7" x14ac:dyDescent="0.3">
      <c r="A11" s="34">
        <v>10</v>
      </c>
      <c r="B11" s="34">
        <v>30</v>
      </c>
      <c r="C11" s="34">
        <v>5234</v>
      </c>
      <c r="D11" s="34">
        <v>28</v>
      </c>
      <c r="E11" s="34" t="s">
        <v>11</v>
      </c>
      <c r="F11" s="34" t="s">
        <v>4</v>
      </c>
      <c r="G11" s="34" t="s">
        <v>7</v>
      </c>
    </row>
    <row r="12" spans="1:7" x14ac:dyDescent="0.3">
      <c r="A12" s="34">
        <v>11</v>
      </c>
      <c r="B12" s="34">
        <v>12</v>
      </c>
      <c r="C12" s="34">
        <v>1295</v>
      </c>
      <c r="D12" s="34">
        <v>25</v>
      </c>
      <c r="E12" s="34" t="s">
        <v>6</v>
      </c>
      <c r="F12" s="34" t="s">
        <v>9</v>
      </c>
      <c r="G12" s="34" t="s">
        <v>7</v>
      </c>
    </row>
    <row r="13" spans="1:7" x14ac:dyDescent="0.3">
      <c r="A13" s="34">
        <v>12</v>
      </c>
      <c r="B13" s="34">
        <v>48</v>
      </c>
      <c r="C13" s="34">
        <v>4308</v>
      </c>
      <c r="D13" s="34">
        <v>24</v>
      </c>
      <c r="E13" s="34" t="s">
        <v>6</v>
      </c>
      <c r="F13" s="34" t="s">
        <v>9</v>
      </c>
      <c r="G13" s="34" t="s">
        <v>7</v>
      </c>
    </row>
    <row r="14" spans="1:7" x14ac:dyDescent="0.3">
      <c r="A14" s="34">
        <v>13</v>
      </c>
      <c r="B14" s="34">
        <v>12</v>
      </c>
      <c r="C14" s="34">
        <v>1567</v>
      </c>
      <c r="D14" s="34">
        <v>22</v>
      </c>
      <c r="E14" s="34" t="s">
        <v>6</v>
      </c>
      <c r="F14" s="34" t="s">
        <v>4</v>
      </c>
      <c r="G14" s="34" t="s">
        <v>5</v>
      </c>
    </row>
    <row r="15" spans="1:7" x14ac:dyDescent="0.3">
      <c r="A15" s="34">
        <v>14</v>
      </c>
      <c r="B15" s="34">
        <v>24</v>
      </c>
      <c r="C15" s="34">
        <v>1199</v>
      </c>
      <c r="D15" s="34">
        <v>60</v>
      </c>
      <c r="E15" s="34" t="s">
        <v>3</v>
      </c>
      <c r="F15" s="34" t="s">
        <v>4</v>
      </c>
      <c r="G15" s="34" t="s">
        <v>7</v>
      </c>
    </row>
    <row r="16" spans="1:7" x14ac:dyDescent="0.3">
      <c r="A16" s="34">
        <v>15</v>
      </c>
      <c r="B16" s="34">
        <v>15</v>
      </c>
      <c r="C16" s="34">
        <v>1403</v>
      </c>
      <c r="D16" s="34">
        <v>28</v>
      </c>
      <c r="E16" s="34" t="s">
        <v>6</v>
      </c>
      <c r="F16" s="34" t="s">
        <v>9</v>
      </c>
      <c r="G16" s="34" t="s">
        <v>5</v>
      </c>
    </row>
    <row r="17" spans="1:7" x14ac:dyDescent="0.3">
      <c r="A17" s="34">
        <v>16</v>
      </c>
      <c r="B17" s="34">
        <v>24</v>
      </c>
      <c r="C17" s="34">
        <v>1282</v>
      </c>
      <c r="D17" s="34">
        <v>32</v>
      </c>
      <c r="E17" s="34" t="s">
        <v>6</v>
      </c>
      <c r="F17" s="34" t="s">
        <v>4</v>
      </c>
      <c r="G17" s="34" t="s">
        <v>7</v>
      </c>
    </row>
    <row r="18" spans="1:7" x14ac:dyDescent="0.3">
      <c r="A18" s="34">
        <v>17</v>
      </c>
      <c r="B18" s="34">
        <v>24</v>
      </c>
      <c r="C18" s="34">
        <v>2424</v>
      </c>
      <c r="D18" s="34">
        <v>53</v>
      </c>
      <c r="E18" s="34" t="s">
        <v>3</v>
      </c>
      <c r="F18" s="34" t="s">
        <v>4</v>
      </c>
      <c r="G18" s="34" t="s">
        <v>5</v>
      </c>
    </row>
    <row r="19" spans="1:7" x14ac:dyDescent="0.3">
      <c r="A19" s="34">
        <v>18</v>
      </c>
      <c r="B19" s="34">
        <v>30</v>
      </c>
      <c r="C19" s="34">
        <v>8072</v>
      </c>
      <c r="D19" s="34">
        <v>25</v>
      </c>
      <c r="E19" s="34" t="s">
        <v>3</v>
      </c>
      <c r="F19" s="34" t="s">
        <v>4</v>
      </c>
      <c r="G19" s="34" t="s">
        <v>5</v>
      </c>
    </row>
    <row r="20" spans="1:7" x14ac:dyDescent="0.3">
      <c r="A20" s="34">
        <v>19</v>
      </c>
      <c r="B20" s="34">
        <v>24</v>
      </c>
      <c r="C20" s="34">
        <v>12579</v>
      </c>
      <c r="D20" s="34">
        <v>44</v>
      </c>
      <c r="E20" s="34" t="s">
        <v>6</v>
      </c>
      <c r="F20" s="34" t="s">
        <v>8</v>
      </c>
      <c r="G20" s="34" t="s">
        <v>7</v>
      </c>
    </row>
    <row r="21" spans="1:7" x14ac:dyDescent="0.3">
      <c r="A21" s="34">
        <v>20</v>
      </c>
      <c r="B21" s="34">
        <v>24</v>
      </c>
      <c r="C21" s="34">
        <v>3430</v>
      </c>
      <c r="D21" s="34">
        <v>31</v>
      </c>
      <c r="E21" s="34" t="s">
        <v>3</v>
      </c>
      <c r="F21" s="34" t="s">
        <v>4</v>
      </c>
      <c r="G21" s="34" t="s">
        <v>5</v>
      </c>
    </row>
    <row r="22" spans="1:7" x14ac:dyDescent="0.3">
      <c r="A22" s="34">
        <v>21</v>
      </c>
      <c r="B22" s="34">
        <v>9</v>
      </c>
      <c r="C22" s="34">
        <v>2134</v>
      </c>
      <c r="D22" s="34">
        <v>48</v>
      </c>
      <c r="E22" s="34" t="s">
        <v>3</v>
      </c>
      <c r="F22" s="34" t="s">
        <v>4</v>
      </c>
      <c r="G22" s="34" t="s">
        <v>5</v>
      </c>
    </row>
    <row r="23" spans="1:7" x14ac:dyDescent="0.3">
      <c r="A23" s="34">
        <v>22</v>
      </c>
      <c r="B23" s="34">
        <v>6</v>
      </c>
      <c r="C23" s="34">
        <v>2647</v>
      </c>
      <c r="D23" s="34">
        <v>44</v>
      </c>
      <c r="E23" s="34" t="s">
        <v>3</v>
      </c>
      <c r="F23" s="34" t="s">
        <v>9</v>
      </c>
      <c r="G23" s="34" t="s">
        <v>5</v>
      </c>
    </row>
    <row r="24" spans="1:7" x14ac:dyDescent="0.3">
      <c r="A24" s="34">
        <v>23</v>
      </c>
      <c r="B24" s="34">
        <v>10</v>
      </c>
      <c r="C24" s="34">
        <v>2241</v>
      </c>
      <c r="D24" s="34">
        <v>48</v>
      </c>
      <c r="E24" s="34" t="s">
        <v>3</v>
      </c>
      <c r="F24" s="34" t="s">
        <v>9</v>
      </c>
      <c r="G24" s="34" t="s">
        <v>5</v>
      </c>
    </row>
    <row r="25" spans="1:7" x14ac:dyDescent="0.3">
      <c r="A25" s="34">
        <v>24</v>
      </c>
      <c r="B25" s="34">
        <v>12</v>
      </c>
      <c r="C25" s="34">
        <v>1804</v>
      </c>
      <c r="D25" s="34">
        <v>44</v>
      </c>
      <c r="E25" s="34" t="s">
        <v>3</v>
      </c>
      <c r="F25" s="34" t="s">
        <v>4</v>
      </c>
      <c r="G25" s="34" t="s">
        <v>5</v>
      </c>
    </row>
    <row r="26" spans="1:7" x14ac:dyDescent="0.3">
      <c r="A26" s="34">
        <v>25</v>
      </c>
      <c r="B26" s="34">
        <v>10</v>
      </c>
      <c r="C26" s="34">
        <v>2069</v>
      </c>
      <c r="D26" s="34">
        <v>26</v>
      </c>
      <c r="E26" s="34" t="s">
        <v>11</v>
      </c>
      <c r="F26" s="34" t="s">
        <v>4</v>
      </c>
      <c r="G26" s="34" t="s">
        <v>5</v>
      </c>
    </row>
    <row r="27" spans="1:7" x14ac:dyDescent="0.3">
      <c r="A27" s="34">
        <v>26</v>
      </c>
      <c r="B27" s="34">
        <v>6</v>
      </c>
      <c r="C27" s="34">
        <v>1374</v>
      </c>
      <c r="D27" s="34">
        <v>36</v>
      </c>
      <c r="E27" s="34" t="s">
        <v>3</v>
      </c>
      <c r="F27" s="34" t="s">
        <v>4</v>
      </c>
      <c r="G27" s="34" t="s">
        <v>5</v>
      </c>
    </row>
    <row r="28" spans="1:7" x14ac:dyDescent="0.3">
      <c r="A28" s="34">
        <v>27</v>
      </c>
      <c r="B28" s="34">
        <v>6</v>
      </c>
      <c r="C28" s="34">
        <v>426</v>
      </c>
      <c r="D28" s="34">
        <v>39</v>
      </c>
      <c r="E28" s="34" t="s">
        <v>11</v>
      </c>
      <c r="F28" s="34" t="s">
        <v>4</v>
      </c>
      <c r="G28" s="34" t="s">
        <v>5</v>
      </c>
    </row>
    <row r="29" spans="1:7" x14ac:dyDescent="0.3">
      <c r="A29" s="34">
        <v>28</v>
      </c>
      <c r="B29" s="34">
        <v>12</v>
      </c>
      <c r="C29" s="34">
        <v>409</v>
      </c>
      <c r="D29" s="34">
        <v>42</v>
      </c>
      <c r="E29" s="34" t="s">
        <v>6</v>
      </c>
      <c r="F29" s="34" t="s">
        <v>9</v>
      </c>
      <c r="G29" s="34" t="s">
        <v>5</v>
      </c>
    </row>
    <row r="30" spans="1:7" x14ac:dyDescent="0.3">
      <c r="A30" s="34">
        <v>29</v>
      </c>
      <c r="B30" s="34">
        <v>7</v>
      </c>
      <c r="C30" s="34">
        <v>2415</v>
      </c>
      <c r="D30" s="34">
        <v>34</v>
      </c>
      <c r="E30" s="34" t="s">
        <v>3</v>
      </c>
      <c r="F30" s="34" t="s">
        <v>4</v>
      </c>
      <c r="G30" s="34" t="s">
        <v>5</v>
      </c>
    </row>
    <row r="31" spans="1:7" x14ac:dyDescent="0.3">
      <c r="A31" s="34">
        <v>30</v>
      </c>
      <c r="B31" s="34">
        <v>60</v>
      </c>
      <c r="C31" s="34">
        <v>6836</v>
      </c>
      <c r="D31" s="34">
        <v>63</v>
      </c>
      <c r="E31" s="34" t="s">
        <v>3</v>
      </c>
      <c r="F31" s="34" t="s">
        <v>4</v>
      </c>
      <c r="G31" s="34" t="s">
        <v>7</v>
      </c>
    </row>
    <row r="32" spans="1:7" x14ac:dyDescent="0.3">
      <c r="A32" s="34">
        <v>31</v>
      </c>
      <c r="B32" s="34">
        <v>18</v>
      </c>
      <c r="C32" s="34">
        <v>1913</v>
      </c>
      <c r="D32" s="34">
        <v>36</v>
      </c>
      <c r="E32" s="34" t="s">
        <v>11</v>
      </c>
      <c r="F32" s="34" t="s">
        <v>4</v>
      </c>
      <c r="G32" s="34" t="s">
        <v>5</v>
      </c>
    </row>
    <row r="33" spans="1:7" x14ac:dyDescent="0.3">
      <c r="A33" s="34">
        <v>32</v>
      </c>
      <c r="B33" s="34">
        <v>24</v>
      </c>
      <c r="C33" s="34">
        <v>4020</v>
      </c>
      <c r="D33" s="34">
        <v>27</v>
      </c>
      <c r="E33" s="34" t="s">
        <v>3</v>
      </c>
      <c r="F33" s="34" t="s">
        <v>4</v>
      </c>
      <c r="G33" s="34" t="s">
        <v>5</v>
      </c>
    </row>
    <row r="34" spans="1:7" x14ac:dyDescent="0.3">
      <c r="A34" s="34">
        <v>33</v>
      </c>
      <c r="B34" s="34">
        <v>18</v>
      </c>
      <c r="C34" s="34">
        <v>5866</v>
      </c>
      <c r="D34" s="34">
        <v>30</v>
      </c>
      <c r="E34" s="34" t="s">
        <v>3</v>
      </c>
      <c r="F34" s="34" t="s">
        <v>4</v>
      </c>
      <c r="G34" s="34" t="s">
        <v>5</v>
      </c>
    </row>
    <row r="35" spans="1:7" x14ac:dyDescent="0.3">
      <c r="A35" s="34">
        <v>34</v>
      </c>
      <c r="B35" s="34">
        <v>12</v>
      </c>
      <c r="C35" s="34">
        <v>1264</v>
      </c>
      <c r="D35" s="34">
        <v>57</v>
      </c>
      <c r="E35" s="34" t="s">
        <v>3</v>
      </c>
      <c r="F35" s="34" t="s">
        <v>9</v>
      </c>
      <c r="G35" s="34" t="s">
        <v>5</v>
      </c>
    </row>
    <row r="36" spans="1:7" x14ac:dyDescent="0.3">
      <c r="A36" s="34">
        <v>35</v>
      </c>
      <c r="B36" s="34">
        <v>12</v>
      </c>
      <c r="C36" s="34">
        <v>1474</v>
      </c>
      <c r="D36" s="34">
        <v>33</v>
      </c>
      <c r="E36" s="34" t="s">
        <v>6</v>
      </c>
      <c r="F36" s="34" t="s">
        <v>4</v>
      </c>
      <c r="G36" s="34" t="s">
        <v>5</v>
      </c>
    </row>
    <row r="37" spans="1:7" x14ac:dyDescent="0.3">
      <c r="A37" s="34">
        <v>36</v>
      </c>
      <c r="B37" s="34">
        <v>45</v>
      </c>
      <c r="C37" s="34">
        <v>4746</v>
      </c>
      <c r="D37" s="34">
        <v>25</v>
      </c>
      <c r="E37" s="34" t="s">
        <v>3</v>
      </c>
      <c r="F37" s="34" t="s">
        <v>4</v>
      </c>
      <c r="G37" s="34" t="s">
        <v>7</v>
      </c>
    </row>
    <row r="38" spans="1:7" x14ac:dyDescent="0.3">
      <c r="A38" s="34">
        <v>37</v>
      </c>
      <c r="B38" s="34">
        <v>48</v>
      </c>
      <c r="C38" s="34">
        <v>6110</v>
      </c>
      <c r="D38" s="34">
        <v>31</v>
      </c>
      <c r="E38" s="34" t="s">
        <v>3</v>
      </c>
      <c r="F38" s="34" t="s">
        <v>8</v>
      </c>
      <c r="G38" s="34" t="s">
        <v>5</v>
      </c>
    </row>
    <row r="39" spans="1:7" x14ac:dyDescent="0.3">
      <c r="A39" s="34">
        <v>38</v>
      </c>
      <c r="B39" s="34">
        <v>18</v>
      </c>
      <c r="C39" s="34">
        <v>2100</v>
      </c>
      <c r="D39" s="34">
        <v>37</v>
      </c>
      <c r="E39" s="34" t="s">
        <v>3</v>
      </c>
      <c r="F39" s="34" t="s">
        <v>4</v>
      </c>
      <c r="G39" s="34" t="s">
        <v>7</v>
      </c>
    </row>
    <row r="40" spans="1:7" x14ac:dyDescent="0.3">
      <c r="A40" s="34">
        <v>39</v>
      </c>
      <c r="B40" s="34">
        <v>10</v>
      </c>
      <c r="C40" s="34">
        <v>1225</v>
      </c>
      <c r="D40" s="34">
        <v>37</v>
      </c>
      <c r="E40" s="34" t="s">
        <v>3</v>
      </c>
      <c r="F40" s="34" t="s">
        <v>4</v>
      </c>
      <c r="G40" s="34" t="s">
        <v>5</v>
      </c>
    </row>
    <row r="41" spans="1:7" x14ac:dyDescent="0.3">
      <c r="A41" s="34">
        <v>40</v>
      </c>
      <c r="B41" s="34">
        <v>9</v>
      </c>
      <c r="C41" s="34">
        <v>458</v>
      </c>
      <c r="D41" s="34">
        <v>24</v>
      </c>
      <c r="E41" s="34" t="s">
        <v>3</v>
      </c>
      <c r="F41" s="34" t="s">
        <v>4</v>
      </c>
      <c r="G41" s="34" t="s">
        <v>5</v>
      </c>
    </row>
    <row r="42" spans="1:7" x14ac:dyDescent="0.3">
      <c r="A42" s="34">
        <v>41</v>
      </c>
      <c r="B42" s="34">
        <v>30</v>
      </c>
      <c r="C42" s="34">
        <v>2333</v>
      </c>
      <c r="D42" s="34">
        <v>30</v>
      </c>
      <c r="E42" s="34" t="s">
        <v>3</v>
      </c>
      <c r="F42" s="34" t="s">
        <v>4</v>
      </c>
      <c r="G42" s="34" t="s">
        <v>5</v>
      </c>
    </row>
    <row r="43" spans="1:7" x14ac:dyDescent="0.3">
      <c r="A43" s="34">
        <v>42</v>
      </c>
      <c r="B43" s="34">
        <v>12</v>
      </c>
      <c r="C43" s="34">
        <v>1158</v>
      </c>
      <c r="D43" s="34">
        <v>26</v>
      </c>
      <c r="E43" s="34" t="s">
        <v>10</v>
      </c>
      <c r="F43" s="34" t="s">
        <v>4</v>
      </c>
      <c r="G43" s="34" t="s">
        <v>5</v>
      </c>
    </row>
    <row r="44" spans="1:7" x14ac:dyDescent="0.3">
      <c r="A44" s="34">
        <v>43</v>
      </c>
      <c r="B44" s="34">
        <v>18</v>
      </c>
      <c r="C44" s="34">
        <v>6204</v>
      </c>
      <c r="D44" s="34">
        <v>44</v>
      </c>
      <c r="E44" s="34" t="s">
        <v>3</v>
      </c>
      <c r="F44" s="34" t="s">
        <v>4</v>
      </c>
      <c r="G44" s="34" t="s">
        <v>5</v>
      </c>
    </row>
    <row r="45" spans="1:7" x14ac:dyDescent="0.3">
      <c r="A45" s="34">
        <v>44</v>
      </c>
      <c r="B45" s="34">
        <v>30</v>
      </c>
      <c r="C45" s="34">
        <v>6187</v>
      </c>
      <c r="D45" s="34">
        <v>24</v>
      </c>
      <c r="E45" s="34" t="s">
        <v>11</v>
      </c>
      <c r="F45" s="34" t="s">
        <v>9</v>
      </c>
      <c r="G45" s="34" t="s">
        <v>5</v>
      </c>
    </row>
    <row r="46" spans="1:7" x14ac:dyDescent="0.3">
      <c r="A46" s="34">
        <v>45</v>
      </c>
      <c r="B46" s="34">
        <v>48</v>
      </c>
      <c r="C46" s="34">
        <v>6143</v>
      </c>
      <c r="D46" s="34">
        <v>58</v>
      </c>
      <c r="E46" s="34" t="s">
        <v>6</v>
      </c>
      <c r="F46" s="34" t="s">
        <v>8</v>
      </c>
      <c r="G46" s="34" t="s">
        <v>7</v>
      </c>
    </row>
    <row r="47" spans="1:7" x14ac:dyDescent="0.3">
      <c r="A47" s="34">
        <v>46</v>
      </c>
      <c r="B47" s="34">
        <v>11</v>
      </c>
      <c r="C47" s="34">
        <v>1393</v>
      </c>
      <c r="D47" s="34">
        <v>35</v>
      </c>
      <c r="E47" s="34" t="s">
        <v>6</v>
      </c>
      <c r="F47" s="34" t="s">
        <v>4</v>
      </c>
      <c r="G47" s="34" t="s">
        <v>5</v>
      </c>
    </row>
    <row r="48" spans="1:7" x14ac:dyDescent="0.3">
      <c r="A48" s="34">
        <v>47</v>
      </c>
      <c r="B48" s="34">
        <v>36</v>
      </c>
      <c r="C48" s="34">
        <v>2299</v>
      </c>
      <c r="D48" s="34">
        <v>39</v>
      </c>
      <c r="E48" s="34" t="s">
        <v>3</v>
      </c>
      <c r="F48" s="34" t="s">
        <v>4</v>
      </c>
      <c r="G48" s="34" t="s">
        <v>5</v>
      </c>
    </row>
    <row r="49" spans="1:7" x14ac:dyDescent="0.3">
      <c r="A49" s="34">
        <v>48</v>
      </c>
      <c r="B49" s="34">
        <v>6</v>
      </c>
      <c r="C49" s="34">
        <v>1352</v>
      </c>
      <c r="D49" s="34">
        <v>23</v>
      </c>
      <c r="E49" s="34" t="s">
        <v>6</v>
      </c>
      <c r="F49" s="34" t="s">
        <v>9</v>
      </c>
      <c r="G49" s="34" t="s">
        <v>5</v>
      </c>
    </row>
    <row r="50" spans="1:7" x14ac:dyDescent="0.3">
      <c r="A50" s="34">
        <v>49</v>
      </c>
      <c r="B50" s="34">
        <v>11</v>
      </c>
      <c r="C50" s="34">
        <v>7228</v>
      </c>
      <c r="D50" s="34">
        <v>39</v>
      </c>
      <c r="E50" s="34" t="s">
        <v>3</v>
      </c>
      <c r="F50" s="34" t="s">
        <v>4</v>
      </c>
      <c r="G50" s="34" t="s">
        <v>5</v>
      </c>
    </row>
    <row r="51" spans="1:7" x14ac:dyDescent="0.3">
      <c r="A51" s="34">
        <v>50</v>
      </c>
      <c r="B51" s="34">
        <v>12</v>
      </c>
      <c r="C51" s="34">
        <v>2073</v>
      </c>
      <c r="D51" s="34">
        <v>28</v>
      </c>
      <c r="E51" s="34" t="s">
        <v>6</v>
      </c>
      <c r="F51" s="34" t="s">
        <v>4</v>
      </c>
      <c r="G51" s="34" t="s">
        <v>5</v>
      </c>
    </row>
    <row r="52" spans="1:7" x14ac:dyDescent="0.3">
      <c r="A52" s="34">
        <v>51</v>
      </c>
      <c r="B52" s="34">
        <v>24</v>
      </c>
      <c r="C52" s="34">
        <v>2333</v>
      </c>
      <c r="D52" s="34">
        <v>29</v>
      </c>
      <c r="E52" s="34" t="s">
        <v>3</v>
      </c>
      <c r="F52" s="34" t="s">
        <v>4</v>
      </c>
      <c r="G52" s="34" t="s">
        <v>5</v>
      </c>
    </row>
    <row r="53" spans="1:7" x14ac:dyDescent="0.3">
      <c r="A53" s="34">
        <v>52</v>
      </c>
      <c r="B53" s="34">
        <v>27</v>
      </c>
      <c r="C53" s="34">
        <v>5965</v>
      </c>
      <c r="D53" s="34">
        <v>30</v>
      </c>
      <c r="E53" s="34" t="s">
        <v>3</v>
      </c>
      <c r="F53" s="34" t="s">
        <v>4</v>
      </c>
      <c r="G53" s="34" t="s">
        <v>5</v>
      </c>
    </row>
    <row r="54" spans="1:7" x14ac:dyDescent="0.3">
      <c r="A54" s="34">
        <v>53</v>
      </c>
      <c r="B54" s="34">
        <v>12</v>
      </c>
      <c r="C54" s="34">
        <v>1262</v>
      </c>
      <c r="D54" s="34">
        <v>25</v>
      </c>
      <c r="E54" s="34" t="s">
        <v>3</v>
      </c>
      <c r="F54" s="34" t="s">
        <v>4</v>
      </c>
      <c r="G54" s="34" t="s">
        <v>5</v>
      </c>
    </row>
    <row r="55" spans="1:7" x14ac:dyDescent="0.3">
      <c r="A55" s="34">
        <v>54</v>
      </c>
      <c r="B55" s="34">
        <v>18</v>
      </c>
      <c r="C55" s="34">
        <v>3378</v>
      </c>
      <c r="D55" s="34">
        <v>31</v>
      </c>
      <c r="E55" s="34" t="s">
        <v>3</v>
      </c>
      <c r="F55" s="34" t="s">
        <v>4</v>
      </c>
      <c r="G55" s="34" t="s">
        <v>5</v>
      </c>
    </row>
    <row r="56" spans="1:7" x14ac:dyDescent="0.3">
      <c r="A56" s="34">
        <v>55</v>
      </c>
      <c r="B56" s="34">
        <v>36</v>
      </c>
      <c r="C56" s="34">
        <v>2225</v>
      </c>
      <c r="D56" s="34">
        <v>57</v>
      </c>
      <c r="E56" s="34" t="s">
        <v>3</v>
      </c>
      <c r="F56" s="34" t="s">
        <v>8</v>
      </c>
      <c r="G56" s="34" t="s">
        <v>7</v>
      </c>
    </row>
    <row r="57" spans="1:7" x14ac:dyDescent="0.3">
      <c r="A57" s="34">
        <v>56</v>
      </c>
      <c r="B57" s="34">
        <v>6</v>
      </c>
      <c r="C57" s="34">
        <v>783</v>
      </c>
      <c r="D57" s="34">
        <v>26</v>
      </c>
      <c r="E57" s="34" t="s">
        <v>3</v>
      </c>
      <c r="F57" s="34" t="s">
        <v>4</v>
      </c>
      <c r="G57" s="34" t="s">
        <v>5</v>
      </c>
    </row>
    <row r="58" spans="1:7" x14ac:dyDescent="0.3">
      <c r="A58" s="34">
        <v>57</v>
      </c>
      <c r="B58" s="34">
        <v>12</v>
      </c>
      <c r="C58" s="34">
        <v>6468</v>
      </c>
      <c r="D58" s="34">
        <v>52</v>
      </c>
      <c r="E58" s="34" t="s">
        <v>3</v>
      </c>
      <c r="F58" s="34" t="s">
        <v>4</v>
      </c>
      <c r="G58" s="34" t="s">
        <v>7</v>
      </c>
    </row>
    <row r="59" spans="1:7" x14ac:dyDescent="0.3">
      <c r="A59" s="34">
        <v>58</v>
      </c>
      <c r="B59" s="34">
        <v>36</v>
      </c>
      <c r="C59" s="34">
        <v>9566</v>
      </c>
      <c r="D59" s="34">
        <v>31</v>
      </c>
      <c r="E59" s="34" t="s">
        <v>6</v>
      </c>
      <c r="F59" s="34" t="s">
        <v>4</v>
      </c>
      <c r="G59" s="34" t="s">
        <v>5</v>
      </c>
    </row>
    <row r="60" spans="1:7" x14ac:dyDescent="0.3">
      <c r="A60" s="34">
        <v>59</v>
      </c>
      <c r="B60" s="34">
        <v>18</v>
      </c>
      <c r="C60" s="34">
        <v>1961</v>
      </c>
      <c r="D60" s="34">
        <v>23</v>
      </c>
      <c r="E60" s="34" t="s">
        <v>6</v>
      </c>
      <c r="F60" s="34" t="s">
        <v>4</v>
      </c>
      <c r="G60" s="34" t="s">
        <v>5</v>
      </c>
    </row>
    <row r="61" spans="1:7" x14ac:dyDescent="0.3">
      <c r="A61" s="34">
        <v>60</v>
      </c>
      <c r="B61" s="34">
        <v>36</v>
      </c>
      <c r="C61" s="34">
        <v>6229</v>
      </c>
      <c r="D61" s="34">
        <v>23</v>
      </c>
      <c r="E61" s="34" t="s">
        <v>6</v>
      </c>
      <c r="F61" s="34" t="s">
        <v>9</v>
      </c>
      <c r="G61" s="34" t="s">
        <v>7</v>
      </c>
    </row>
    <row r="62" spans="1:7" x14ac:dyDescent="0.3">
      <c r="A62" s="34">
        <v>61</v>
      </c>
      <c r="B62" s="34">
        <v>9</v>
      </c>
      <c r="C62" s="34">
        <v>1391</v>
      </c>
      <c r="D62" s="34">
        <v>27</v>
      </c>
      <c r="E62" s="34" t="s">
        <v>11</v>
      </c>
      <c r="F62" s="34" t="s">
        <v>4</v>
      </c>
      <c r="G62" s="34" t="s">
        <v>5</v>
      </c>
    </row>
    <row r="63" spans="1:7" x14ac:dyDescent="0.3">
      <c r="A63" s="34">
        <v>62</v>
      </c>
      <c r="B63" s="34">
        <v>15</v>
      </c>
      <c r="C63" s="34">
        <v>1537</v>
      </c>
      <c r="D63" s="34">
        <v>50</v>
      </c>
      <c r="E63" s="34" t="s">
        <v>3</v>
      </c>
      <c r="F63" s="34" t="s">
        <v>4</v>
      </c>
      <c r="G63" s="34" t="s">
        <v>5</v>
      </c>
    </row>
    <row r="64" spans="1:7" x14ac:dyDescent="0.3">
      <c r="A64" s="34">
        <v>63</v>
      </c>
      <c r="B64" s="34">
        <v>36</v>
      </c>
      <c r="C64" s="34">
        <v>1953</v>
      </c>
      <c r="D64" s="34">
        <v>61</v>
      </c>
      <c r="E64" s="34" t="s">
        <v>3</v>
      </c>
      <c r="F64" s="34" t="s">
        <v>8</v>
      </c>
      <c r="G64" s="34" t="s">
        <v>7</v>
      </c>
    </row>
    <row r="65" spans="1:7" x14ac:dyDescent="0.3">
      <c r="A65" s="34">
        <v>64</v>
      </c>
      <c r="B65" s="34">
        <v>48</v>
      </c>
      <c r="C65" s="34">
        <v>14421</v>
      </c>
      <c r="D65" s="34">
        <v>25</v>
      </c>
      <c r="E65" s="34" t="s">
        <v>3</v>
      </c>
      <c r="F65" s="34" t="s">
        <v>4</v>
      </c>
      <c r="G65" s="34" t="s">
        <v>7</v>
      </c>
    </row>
    <row r="66" spans="1:7" x14ac:dyDescent="0.3">
      <c r="A66" s="34">
        <v>65</v>
      </c>
      <c r="B66" s="34">
        <v>24</v>
      </c>
      <c r="C66" s="34">
        <v>3181</v>
      </c>
      <c r="D66" s="34">
        <v>26</v>
      </c>
      <c r="E66" s="34" t="s">
        <v>6</v>
      </c>
      <c r="F66" s="34" t="s">
        <v>4</v>
      </c>
      <c r="G66" s="34" t="s">
        <v>5</v>
      </c>
    </row>
    <row r="67" spans="1:7" x14ac:dyDescent="0.3">
      <c r="A67" s="34">
        <v>66</v>
      </c>
      <c r="B67" s="34">
        <v>27</v>
      </c>
      <c r="C67" s="34">
        <v>5190</v>
      </c>
      <c r="D67" s="34">
        <v>48</v>
      </c>
      <c r="E67" s="34" t="s">
        <v>3</v>
      </c>
      <c r="F67" s="34" t="s">
        <v>4</v>
      </c>
      <c r="G67" s="34" t="s">
        <v>5</v>
      </c>
    </row>
    <row r="68" spans="1:7" x14ac:dyDescent="0.3">
      <c r="A68" s="34">
        <v>67</v>
      </c>
      <c r="B68" s="34">
        <v>12</v>
      </c>
      <c r="C68" s="34">
        <v>2171</v>
      </c>
      <c r="D68" s="34">
        <v>29</v>
      </c>
      <c r="E68" s="34" t="s">
        <v>6</v>
      </c>
      <c r="F68" s="34" t="s">
        <v>4</v>
      </c>
      <c r="G68" s="34" t="s">
        <v>5</v>
      </c>
    </row>
    <row r="69" spans="1:7" x14ac:dyDescent="0.3">
      <c r="A69" s="34">
        <v>68</v>
      </c>
      <c r="B69" s="34">
        <v>12</v>
      </c>
      <c r="C69" s="34">
        <v>1007</v>
      </c>
      <c r="D69" s="34">
        <v>22</v>
      </c>
      <c r="E69" s="34" t="s">
        <v>11</v>
      </c>
      <c r="F69" s="34" t="s">
        <v>4</v>
      </c>
      <c r="G69" s="34" t="s">
        <v>5</v>
      </c>
    </row>
    <row r="70" spans="1:7" x14ac:dyDescent="0.3">
      <c r="A70" s="34">
        <v>69</v>
      </c>
      <c r="B70" s="34">
        <v>36</v>
      </c>
      <c r="C70" s="34">
        <v>1819</v>
      </c>
      <c r="D70" s="34">
        <v>37</v>
      </c>
      <c r="E70" s="34" t="s">
        <v>3</v>
      </c>
      <c r="F70" s="34" t="s">
        <v>8</v>
      </c>
      <c r="G70" s="34" t="s">
        <v>7</v>
      </c>
    </row>
    <row r="71" spans="1:7" x14ac:dyDescent="0.3">
      <c r="A71" s="34">
        <v>70</v>
      </c>
      <c r="B71" s="34">
        <v>36</v>
      </c>
      <c r="C71" s="34">
        <v>2394</v>
      </c>
      <c r="D71" s="34">
        <v>25</v>
      </c>
      <c r="E71" s="34" t="s">
        <v>6</v>
      </c>
      <c r="F71" s="34" t="s">
        <v>4</v>
      </c>
      <c r="G71" s="34" t="s">
        <v>5</v>
      </c>
    </row>
    <row r="72" spans="1:7" x14ac:dyDescent="0.3">
      <c r="A72" s="34">
        <v>71</v>
      </c>
      <c r="B72" s="34">
        <v>36</v>
      </c>
      <c r="C72" s="34">
        <v>8133</v>
      </c>
      <c r="D72" s="34">
        <v>30</v>
      </c>
      <c r="E72" s="34" t="s">
        <v>6</v>
      </c>
      <c r="F72" s="34" t="s">
        <v>4</v>
      </c>
      <c r="G72" s="34" t="s">
        <v>5</v>
      </c>
    </row>
    <row r="73" spans="1:7" x14ac:dyDescent="0.3">
      <c r="A73" s="34">
        <v>72</v>
      </c>
      <c r="B73" s="34">
        <v>7</v>
      </c>
      <c r="C73" s="34">
        <v>730</v>
      </c>
      <c r="D73" s="34">
        <v>46</v>
      </c>
      <c r="E73" s="34" t="s">
        <v>3</v>
      </c>
      <c r="F73" s="34" t="s">
        <v>9</v>
      </c>
      <c r="G73" s="34" t="s">
        <v>5</v>
      </c>
    </row>
    <row r="74" spans="1:7" x14ac:dyDescent="0.3">
      <c r="A74" s="34">
        <v>73</v>
      </c>
      <c r="B74" s="34">
        <v>8</v>
      </c>
      <c r="C74" s="34">
        <v>1164</v>
      </c>
      <c r="D74" s="34">
        <v>51</v>
      </c>
      <c r="E74" s="34" t="s">
        <v>3</v>
      </c>
      <c r="F74" s="34" t="s">
        <v>8</v>
      </c>
      <c r="G74" s="34" t="s">
        <v>5</v>
      </c>
    </row>
    <row r="75" spans="1:7" x14ac:dyDescent="0.3">
      <c r="A75" s="34">
        <v>74</v>
      </c>
      <c r="B75" s="34">
        <v>42</v>
      </c>
      <c r="C75" s="34">
        <v>5954</v>
      </c>
      <c r="D75" s="34">
        <v>41</v>
      </c>
      <c r="E75" s="34" t="s">
        <v>6</v>
      </c>
      <c r="F75" s="34" t="s">
        <v>4</v>
      </c>
      <c r="G75" s="34" t="s">
        <v>5</v>
      </c>
    </row>
    <row r="76" spans="1:7" x14ac:dyDescent="0.3">
      <c r="A76" s="34">
        <v>75</v>
      </c>
      <c r="B76" s="34">
        <v>36</v>
      </c>
      <c r="C76" s="34">
        <v>1977</v>
      </c>
      <c r="D76" s="34">
        <v>40</v>
      </c>
      <c r="E76" s="34" t="s">
        <v>3</v>
      </c>
      <c r="F76" s="34" t="s">
        <v>4</v>
      </c>
      <c r="G76" s="34" t="s">
        <v>7</v>
      </c>
    </row>
    <row r="77" spans="1:7" x14ac:dyDescent="0.3">
      <c r="A77" s="34">
        <v>76</v>
      </c>
      <c r="B77" s="34">
        <v>12</v>
      </c>
      <c r="C77" s="34">
        <v>1526</v>
      </c>
      <c r="D77" s="34">
        <v>66</v>
      </c>
      <c r="E77" s="34" t="s">
        <v>3</v>
      </c>
      <c r="F77" s="34" t="s">
        <v>8</v>
      </c>
      <c r="G77" s="34" t="s">
        <v>5</v>
      </c>
    </row>
    <row r="78" spans="1:7" x14ac:dyDescent="0.3">
      <c r="A78" s="34">
        <v>77</v>
      </c>
      <c r="B78" s="34">
        <v>42</v>
      </c>
      <c r="C78" s="34">
        <v>3965</v>
      </c>
      <c r="D78" s="34">
        <v>34</v>
      </c>
      <c r="E78" s="34" t="s">
        <v>3</v>
      </c>
      <c r="F78" s="34" t="s">
        <v>4</v>
      </c>
      <c r="G78" s="34" t="s">
        <v>7</v>
      </c>
    </row>
    <row r="79" spans="1:7" x14ac:dyDescent="0.3">
      <c r="A79" s="34">
        <v>78</v>
      </c>
      <c r="B79" s="34">
        <v>11</v>
      </c>
      <c r="C79" s="34">
        <v>4771</v>
      </c>
      <c r="D79" s="34">
        <v>51</v>
      </c>
      <c r="E79" s="34" t="s">
        <v>3</v>
      </c>
      <c r="F79" s="34" t="s">
        <v>4</v>
      </c>
      <c r="G79" s="34" t="s">
        <v>5</v>
      </c>
    </row>
    <row r="80" spans="1:7" x14ac:dyDescent="0.3">
      <c r="A80" s="34">
        <v>79</v>
      </c>
      <c r="B80" s="34">
        <v>54</v>
      </c>
      <c r="C80" s="34">
        <v>9436</v>
      </c>
      <c r="D80" s="34">
        <v>39</v>
      </c>
      <c r="E80" s="34" t="s">
        <v>3</v>
      </c>
      <c r="F80" s="34" t="s">
        <v>4</v>
      </c>
      <c r="G80" s="34" t="s">
        <v>5</v>
      </c>
    </row>
    <row r="81" spans="1:7" x14ac:dyDescent="0.3">
      <c r="A81" s="34">
        <v>80</v>
      </c>
      <c r="B81" s="34">
        <v>30</v>
      </c>
      <c r="C81" s="34">
        <v>3832</v>
      </c>
      <c r="D81" s="34">
        <v>22</v>
      </c>
      <c r="E81" s="34" t="s">
        <v>11</v>
      </c>
      <c r="F81" s="34" t="s">
        <v>4</v>
      </c>
      <c r="G81" s="34" t="s">
        <v>5</v>
      </c>
    </row>
    <row r="82" spans="1:7" x14ac:dyDescent="0.3">
      <c r="A82" s="34">
        <v>81</v>
      </c>
      <c r="B82" s="34">
        <v>24</v>
      </c>
      <c r="C82" s="34">
        <v>5943</v>
      </c>
      <c r="D82" s="34">
        <v>44</v>
      </c>
      <c r="E82" s="34" t="s">
        <v>6</v>
      </c>
      <c r="F82" s="34" t="s">
        <v>4</v>
      </c>
      <c r="G82" s="34" t="s">
        <v>7</v>
      </c>
    </row>
    <row r="83" spans="1:7" x14ac:dyDescent="0.3">
      <c r="A83" s="34">
        <v>82</v>
      </c>
      <c r="B83" s="34">
        <v>15</v>
      </c>
      <c r="C83" s="34">
        <v>1213</v>
      </c>
      <c r="D83" s="34">
        <v>47</v>
      </c>
      <c r="E83" s="34" t="s">
        <v>3</v>
      </c>
      <c r="F83" s="34" t="s">
        <v>4</v>
      </c>
      <c r="G83" s="34" t="s">
        <v>5</v>
      </c>
    </row>
    <row r="84" spans="1:7" x14ac:dyDescent="0.3">
      <c r="A84" s="34">
        <v>83</v>
      </c>
      <c r="B84" s="34">
        <v>18</v>
      </c>
      <c r="C84" s="34">
        <v>1568</v>
      </c>
      <c r="D84" s="34">
        <v>24</v>
      </c>
      <c r="E84" s="34" t="s">
        <v>6</v>
      </c>
      <c r="F84" s="34" t="s">
        <v>9</v>
      </c>
      <c r="G84" s="34" t="s">
        <v>5</v>
      </c>
    </row>
    <row r="85" spans="1:7" x14ac:dyDescent="0.3">
      <c r="A85" s="34">
        <v>84</v>
      </c>
      <c r="B85" s="34">
        <v>24</v>
      </c>
      <c r="C85" s="34">
        <v>1755</v>
      </c>
      <c r="D85" s="34">
        <v>58</v>
      </c>
      <c r="E85" s="34" t="s">
        <v>6</v>
      </c>
      <c r="F85" s="34" t="s">
        <v>4</v>
      </c>
      <c r="G85" s="34" t="s">
        <v>5</v>
      </c>
    </row>
    <row r="86" spans="1:7" x14ac:dyDescent="0.3">
      <c r="A86" s="34">
        <v>85</v>
      </c>
      <c r="B86" s="34">
        <v>10</v>
      </c>
      <c r="C86" s="34">
        <v>2315</v>
      </c>
      <c r="D86" s="34">
        <v>52</v>
      </c>
      <c r="E86" s="34" t="s">
        <v>3</v>
      </c>
      <c r="F86" s="34" t="s">
        <v>4</v>
      </c>
      <c r="G86" s="34" t="s">
        <v>5</v>
      </c>
    </row>
    <row r="87" spans="1:7" x14ac:dyDescent="0.3">
      <c r="A87" s="34">
        <v>86</v>
      </c>
      <c r="B87" s="34">
        <v>12</v>
      </c>
      <c r="C87" s="34">
        <v>1412</v>
      </c>
      <c r="D87" s="34">
        <v>29</v>
      </c>
      <c r="E87" s="34" t="s">
        <v>6</v>
      </c>
      <c r="F87" s="34" t="s">
        <v>4</v>
      </c>
      <c r="G87" s="34" t="s">
        <v>5</v>
      </c>
    </row>
    <row r="88" spans="1:7" x14ac:dyDescent="0.3">
      <c r="A88" s="34">
        <v>87</v>
      </c>
      <c r="B88" s="34">
        <v>18</v>
      </c>
      <c r="C88" s="34">
        <v>1295</v>
      </c>
      <c r="D88" s="34">
        <v>27</v>
      </c>
      <c r="E88" s="34" t="s">
        <v>6</v>
      </c>
      <c r="F88" s="34" t="s">
        <v>4</v>
      </c>
      <c r="G88" s="34" t="s">
        <v>5</v>
      </c>
    </row>
    <row r="89" spans="1:7" x14ac:dyDescent="0.3">
      <c r="A89" s="34">
        <v>88</v>
      </c>
      <c r="B89" s="34">
        <v>36</v>
      </c>
      <c r="C89" s="34">
        <v>12612</v>
      </c>
      <c r="D89" s="34">
        <v>47</v>
      </c>
      <c r="E89" s="34" t="s">
        <v>3</v>
      </c>
      <c r="F89" s="34" t="s">
        <v>8</v>
      </c>
      <c r="G89" s="34" t="s">
        <v>7</v>
      </c>
    </row>
    <row r="90" spans="1:7" x14ac:dyDescent="0.3">
      <c r="A90" s="34">
        <v>89</v>
      </c>
      <c r="B90" s="34">
        <v>18</v>
      </c>
      <c r="C90" s="34">
        <v>2249</v>
      </c>
      <c r="D90" s="34">
        <v>30</v>
      </c>
      <c r="E90" s="34" t="s">
        <v>3</v>
      </c>
      <c r="F90" s="34" t="s">
        <v>4</v>
      </c>
      <c r="G90" s="34" t="s">
        <v>5</v>
      </c>
    </row>
    <row r="91" spans="1:7" x14ac:dyDescent="0.3">
      <c r="A91" s="34">
        <v>90</v>
      </c>
      <c r="B91" s="34">
        <v>12</v>
      </c>
      <c r="C91" s="34">
        <v>1108</v>
      </c>
      <c r="D91" s="34">
        <v>28</v>
      </c>
      <c r="E91" s="34" t="s">
        <v>3</v>
      </c>
      <c r="F91" s="34" t="s">
        <v>4</v>
      </c>
      <c r="G91" s="34" t="s">
        <v>7</v>
      </c>
    </row>
    <row r="92" spans="1:7" x14ac:dyDescent="0.3">
      <c r="A92" s="34">
        <v>91</v>
      </c>
      <c r="B92" s="34">
        <v>12</v>
      </c>
      <c r="C92" s="34">
        <v>618</v>
      </c>
      <c r="D92" s="34">
        <v>56</v>
      </c>
      <c r="E92" s="34" t="s">
        <v>3</v>
      </c>
      <c r="F92" s="34" t="s">
        <v>4</v>
      </c>
      <c r="G92" s="34" t="s">
        <v>5</v>
      </c>
    </row>
    <row r="93" spans="1:7" x14ac:dyDescent="0.3">
      <c r="A93" s="34">
        <v>92</v>
      </c>
      <c r="B93" s="34">
        <v>12</v>
      </c>
      <c r="C93" s="34">
        <v>1409</v>
      </c>
      <c r="D93" s="34">
        <v>54</v>
      </c>
      <c r="E93" s="34" t="s">
        <v>3</v>
      </c>
      <c r="F93" s="34" t="s">
        <v>4</v>
      </c>
      <c r="G93" s="34" t="s">
        <v>5</v>
      </c>
    </row>
    <row r="94" spans="1:7" x14ac:dyDescent="0.3">
      <c r="A94" s="34">
        <v>93</v>
      </c>
      <c r="B94" s="34">
        <v>12</v>
      </c>
      <c r="C94" s="34">
        <v>797</v>
      </c>
      <c r="D94" s="34">
        <v>33</v>
      </c>
      <c r="E94" s="34" t="s">
        <v>6</v>
      </c>
      <c r="F94" s="34" t="s">
        <v>4</v>
      </c>
      <c r="G94" s="34" t="s">
        <v>7</v>
      </c>
    </row>
    <row r="95" spans="1:7" x14ac:dyDescent="0.3">
      <c r="A95" s="34">
        <v>94</v>
      </c>
      <c r="B95" s="34">
        <v>24</v>
      </c>
      <c r="C95" s="34">
        <v>3617</v>
      </c>
      <c r="D95" s="34">
        <v>20</v>
      </c>
      <c r="E95" s="34" t="s">
        <v>3</v>
      </c>
      <c r="F95" s="34" t="s">
        <v>9</v>
      </c>
      <c r="G95" s="34" t="s">
        <v>5</v>
      </c>
    </row>
    <row r="96" spans="1:7" x14ac:dyDescent="0.3">
      <c r="A96" s="34">
        <v>95</v>
      </c>
      <c r="B96" s="34">
        <v>12</v>
      </c>
      <c r="C96" s="34">
        <v>1318</v>
      </c>
      <c r="D96" s="34">
        <v>54</v>
      </c>
      <c r="E96" s="34" t="s">
        <v>3</v>
      </c>
      <c r="F96" s="34" t="s">
        <v>4</v>
      </c>
      <c r="G96" s="34" t="s">
        <v>5</v>
      </c>
    </row>
    <row r="97" spans="1:7" x14ac:dyDescent="0.3">
      <c r="A97" s="34">
        <v>96</v>
      </c>
      <c r="B97" s="34">
        <v>54</v>
      </c>
      <c r="C97" s="34">
        <v>15945</v>
      </c>
      <c r="D97" s="34">
        <v>58</v>
      </c>
      <c r="E97" s="34" t="s">
        <v>3</v>
      </c>
      <c r="F97" s="34" t="s">
        <v>9</v>
      </c>
      <c r="G97" s="34" t="s">
        <v>7</v>
      </c>
    </row>
    <row r="98" spans="1:7" x14ac:dyDescent="0.3">
      <c r="A98" s="34">
        <v>97</v>
      </c>
      <c r="B98" s="34">
        <v>12</v>
      </c>
      <c r="C98" s="34">
        <v>2012</v>
      </c>
      <c r="D98" s="34">
        <v>61</v>
      </c>
      <c r="E98" s="34" t="s">
        <v>6</v>
      </c>
      <c r="F98" s="34" t="s">
        <v>4</v>
      </c>
      <c r="G98" s="34" t="s">
        <v>5</v>
      </c>
    </row>
    <row r="99" spans="1:7" x14ac:dyDescent="0.3">
      <c r="A99" s="34">
        <v>98</v>
      </c>
      <c r="B99" s="34">
        <v>18</v>
      </c>
      <c r="C99" s="34">
        <v>2622</v>
      </c>
      <c r="D99" s="34">
        <v>34</v>
      </c>
      <c r="E99" s="34" t="s">
        <v>3</v>
      </c>
      <c r="F99" s="34" t="s">
        <v>4</v>
      </c>
      <c r="G99" s="34" t="s">
        <v>5</v>
      </c>
    </row>
    <row r="100" spans="1:7" x14ac:dyDescent="0.3">
      <c r="A100" s="34">
        <v>99</v>
      </c>
      <c r="B100" s="34">
        <v>36</v>
      </c>
      <c r="C100" s="34">
        <v>2337</v>
      </c>
      <c r="D100" s="34">
        <v>36</v>
      </c>
      <c r="E100" s="34" t="s">
        <v>3</v>
      </c>
      <c r="F100" s="34" t="s">
        <v>4</v>
      </c>
      <c r="G100" s="34" t="s">
        <v>5</v>
      </c>
    </row>
    <row r="101" spans="1:7" x14ac:dyDescent="0.3">
      <c r="A101" s="34">
        <v>100</v>
      </c>
      <c r="B101" s="34">
        <v>20</v>
      </c>
      <c r="C101" s="34">
        <v>7057</v>
      </c>
      <c r="D101" s="34">
        <v>36</v>
      </c>
      <c r="E101" s="34" t="s">
        <v>3</v>
      </c>
      <c r="F101" s="34" t="s">
        <v>9</v>
      </c>
      <c r="G101" s="34" t="s">
        <v>5</v>
      </c>
    </row>
    <row r="102" spans="1:7" x14ac:dyDescent="0.3">
      <c r="A102" s="34">
        <v>101</v>
      </c>
      <c r="B102" s="34">
        <v>24</v>
      </c>
      <c r="C102" s="34">
        <v>1469</v>
      </c>
      <c r="D102" s="34">
        <v>41</v>
      </c>
      <c r="E102" s="34" t="s">
        <v>11</v>
      </c>
      <c r="F102" s="34" t="s">
        <v>9</v>
      </c>
      <c r="G102" s="34" t="s">
        <v>5</v>
      </c>
    </row>
    <row r="103" spans="1:7" x14ac:dyDescent="0.3">
      <c r="A103" s="34">
        <v>102</v>
      </c>
      <c r="B103" s="34">
        <v>36</v>
      </c>
      <c r="C103" s="34">
        <v>2323</v>
      </c>
      <c r="D103" s="34">
        <v>24</v>
      </c>
      <c r="E103" s="34" t="s">
        <v>3</v>
      </c>
      <c r="F103" s="34" t="s">
        <v>9</v>
      </c>
      <c r="G103" s="34" t="s">
        <v>5</v>
      </c>
    </row>
    <row r="104" spans="1:7" x14ac:dyDescent="0.3">
      <c r="A104" s="34">
        <v>103</v>
      </c>
      <c r="B104" s="34">
        <v>6</v>
      </c>
      <c r="C104" s="34">
        <v>932</v>
      </c>
      <c r="D104" s="34">
        <v>24</v>
      </c>
      <c r="E104" s="34" t="s">
        <v>6</v>
      </c>
      <c r="F104" s="34" t="s">
        <v>4</v>
      </c>
      <c r="G104" s="34" t="s">
        <v>5</v>
      </c>
    </row>
    <row r="105" spans="1:7" x14ac:dyDescent="0.3">
      <c r="A105" s="34">
        <v>104</v>
      </c>
      <c r="B105" s="34">
        <v>9</v>
      </c>
      <c r="C105" s="34">
        <v>1919</v>
      </c>
      <c r="D105" s="34">
        <v>35</v>
      </c>
      <c r="E105" s="34" t="s">
        <v>3</v>
      </c>
      <c r="F105" s="34" t="s">
        <v>9</v>
      </c>
      <c r="G105" s="34" t="s">
        <v>5</v>
      </c>
    </row>
    <row r="106" spans="1:7" x14ac:dyDescent="0.3">
      <c r="A106" s="34">
        <v>105</v>
      </c>
      <c r="B106" s="34">
        <v>12</v>
      </c>
      <c r="C106" s="34">
        <v>2445</v>
      </c>
      <c r="D106" s="34">
        <v>26</v>
      </c>
      <c r="E106" s="34" t="s">
        <v>11</v>
      </c>
      <c r="F106" s="34" t="s">
        <v>9</v>
      </c>
      <c r="G106" s="34" t="s">
        <v>5</v>
      </c>
    </row>
    <row r="107" spans="1:7" x14ac:dyDescent="0.3">
      <c r="A107" s="34">
        <v>106</v>
      </c>
      <c r="B107" s="34">
        <v>24</v>
      </c>
      <c r="C107" s="34">
        <v>11938</v>
      </c>
      <c r="D107" s="34">
        <v>39</v>
      </c>
      <c r="E107" s="34" t="s">
        <v>3</v>
      </c>
      <c r="F107" s="34" t="s">
        <v>4</v>
      </c>
      <c r="G107" s="34" t="s">
        <v>7</v>
      </c>
    </row>
    <row r="108" spans="1:7" x14ac:dyDescent="0.3">
      <c r="A108" s="34">
        <v>107</v>
      </c>
      <c r="B108" s="34">
        <v>18</v>
      </c>
      <c r="C108" s="34">
        <v>6458</v>
      </c>
      <c r="D108" s="34">
        <v>39</v>
      </c>
      <c r="E108" s="34" t="s">
        <v>3</v>
      </c>
      <c r="F108" s="34" t="s">
        <v>4</v>
      </c>
      <c r="G108" s="34" t="s">
        <v>7</v>
      </c>
    </row>
    <row r="109" spans="1:7" x14ac:dyDescent="0.3">
      <c r="A109" s="34">
        <v>108</v>
      </c>
      <c r="B109" s="34">
        <v>12</v>
      </c>
      <c r="C109" s="34">
        <v>6078</v>
      </c>
      <c r="D109" s="34">
        <v>32</v>
      </c>
      <c r="E109" s="34" t="s">
        <v>3</v>
      </c>
      <c r="F109" s="34" t="s">
        <v>4</v>
      </c>
      <c r="G109" s="34" t="s">
        <v>5</v>
      </c>
    </row>
    <row r="110" spans="1:7" x14ac:dyDescent="0.3">
      <c r="A110" s="34">
        <v>109</v>
      </c>
      <c r="B110" s="34">
        <v>24</v>
      </c>
      <c r="C110" s="34">
        <v>7721</v>
      </c>
      <c r="D110" s="34">
        <v>30</v>
      </c>
      <c r="E110" s="34" t="s">
        <v>6</v>
      </c>
      <c r="F110" s="34" t="s">
        <v>4</v>
      </c>
      <c r="G110" s="34" t="s">
        <v>5</v>
      </c>
    </row>
    <row r="111" spans="1:7" x14ac:dyDescent="0.3">
      <c r="A111" s="34">
        <v>110</v>
      </c>
      <c r="B111" s="34">
        <v>14</v>
      </c>
      <c r="C111" s="34">
        <v>1410</v>
      </c>
      <c r="D111" s="34">
        <v>35</v>
      </c>
      <c r="E111" s="34" t="s">
        <v>11</v>
      </c>
      <c r="F111" s="34" t="s">
        <v>4</v>
      </c>
      <c r="G111" s="34" t="s">
        <v>5</v>
      </c>
    </row>
    <row r="112" spans="1:7" x14ac:dyDescent="0.3">
      <c r="A112" s="34">
        <v>111</v>
      </c>
      <c r="B112" s="34">
        <v>6</v>
      </c>
      <c r="C112" s="34">
        <v>1449</v>
      </c>
      <c r="D112" s="34">
        <v>31</v>
      </c>
      <c r="E112" s="34" t="s">
        <v>10</v>
      </c>
      <c r="F112" s="34" t="s">
        <v>4</v>
      </c>
      <c r="G112" s="34" t="s">
        <v>5</v>
      </c>
    </row>
    <row r="113" spans="1:7" x14ac:dyDescent="0.3">
      <c r="A113" s="34">
        <v>112</v>
      </c>
      <c r="B113" s="34">
        <v>15</v>
      </c>
      <c r="C113" s="34">
        <v>392</v>
      </c>
      <c r="D113" s="34">
        <v>23</v>
      </c>
      <c r="E113" s="34" t="s">
        <v>6</v>
      </c>
      <c r="F113" s="34" t="s">
        <v>9</v>
      </c>
      <c r="G113" s="34" t="s">
        <v>5</v>
      </c>
    </row>
    <row r="114" spans="1:7" x14ac:dyDescent="0.3">
      <c r="A114" s="34">
        <v>113</v>
      </c>
      <c r="B114" s="34">
        <v>18</v>
      </c>
      <c r="C114" s="34">
        <v>6260</v>
      </c>
      <c r="D114" s="34">
        <v>28</v>
      </c>
      <c r="E114" s="34" t="s">
        <v>3</v>
      </c>
      <c r="F114" s="34" t="s">
        <v>9</v>
      </c>
      <c r="G114" s="34" t="s">
        <v>5</v>
      </c>
    </row>
    <row r="115" spans="1:7" x14ac:dyDescent="0.3">
      <c r="A115" s="34">
        <v>114</v>
      </c>
      <c r="B115" s="34">
        <v>36</v>
      </c>
      <c r="C115" s="34">
        <v>7855</v>
      </c>
      <c r="D115" s="34">
        <v>25</v>
      </c>
      <c r="E115" s="34" t="s">
        <v>6</v>
      </c>
      <c r="F115" s="34" t="s">
        <v>4</v>
      </c>
      <c r="G115" s="34" t="s">
        <v>7</v>
      </c>
    </row>
    <row r="116" spans="1:7" x14ac:dyDescent="0.3">
      <c r="A116" s="34">
        <v>115</v>
      </c>
      <c r="B116" s="34">
        <v>12</v>
      </c>
      <c r="C116" s="34">
        <v>1680</v>
      </c>
      <c r="D116" s="34">
        <v>35</v>
      </c>
      <c r="E116" s="34" t="s">
        <v>11</v>
      </c>
      <c r="F116" s="34" t="s">
        <v>4</v>
      </c>
      <c r="G116" s="34" t="s">
        <v>5</v>
      </c>
    </row>
    <row r="117" spans="1:7" x14ac:dyDescent="0.3">
      <c r="A117" s="34">
        <v>116</v>
      </c>
      <c r="B117" s="34">
        <v>48</v>
      </c>
      <c r="C117" s="34">
        <v>3578</v>
      </c>
      <c r="D117" s="34">
        <v>47</v>
      </c>
      <c r="E117" s="34" t="s">
        <v>3</v>
      </c>
      <c r="F117" s="34" t="s">
        <v>4</v>
      </c>
      <c r="G117" s="34" t="s">
        <v>5</v>
      </c>
    </row>
    <row r="118" spans="1:7" x14ac:dyDescent="0.3">
      <c r="A118" s="34">
        <v>117</v>
      </c>
      <c r="B118" s="34">
        <v>42</v>
      </c>
      <c r="C118" s="34">
        <v>7174</v>
      </c>
      <c r="D118" s="34">
        <v>30</v>
      </c>
      <c r="E118" s="34" t="s">
        <v>6</v>
      </c>
      <c r="F118" s="34" t="s">
        <v>4</v>
      </c>
      <c r="G118" s="34" t="s">
        <v>7</v>
      </c>
    </row>
    <row r="119" spans="1:7" x14ac:dyDescent="0.3">
      <c r="A119" s="34">
        <v>118</v>
      </c>
      <c r="B119" s="34">
        <v>10</v>
      </c>
      <c r="C119" s="34">
        <v>2132</v>
      </c>
      <c r="D119" s="34">
        <v>27</v>
      </c>
      <c r="E119" s="34" t="s">
        <v>6</v>
      </c>
      <c r="F119" s="34" t="s">
        <v>9</v>
      </c>
      <c r="G119" s="34" t="s">
        <v>5</v>
      </c>
    </row>
    <row r="120" spans="1:7" x14ac:dyDescent="0.3">
      <c r="A120" s="34">
        <v>119</v>
      </c>
      <c r="B120" s="34">
        <v>33</v>
      </c>
      <c r="C120" s="34">
        <v>4281</v>
      </c>
      <c r="D120" s="34">
        <v>23</v>
      </c>
      <c r="E120" s="34" t="s">
        <v>6</v>
      </c>
      <c r="F120" s="34" t="s">
        <v>4</v>
      </c>
      <c r="G120" s="34" t="s">
        <v>7</v>
      </c>
    </row>
    <row r="121" spans="1:7" x14ac:dyDescent="0.3">
      <c r="A121" s="34">
        <v>120</v>
      </c>
      <c r="B121" s="34">
        <v>12</v>
      </c>
      <c r="C121" s="34">
        <v>2366</v>
      </c>
      <c r="D121" s="34">
        <v>36</v>
      </c>
      <c r="E121" s="34" t="s">
        <v>10</v>
      </c>
      <c r="F121" s="34" t="s">
        <v>4</v>
      </c>
      <c r="G121" s="34" t="s">
        <v>5</v>
      </c>
    </row>
    <row r="122" spans="1:7" x14ac:dyDescent="0.3">
      <c r="A122" s="34">
        <v>121</v>
      </c>
      <c r="B122" s="34">
        <v>21</v>
      </c>
      <c r="C122" s="34">
        <v>1835</v>
      </c>
      <c r="D122" s="34">
        <v>25</v>
      </c>
      <c r="E122" s="34" t="s">
        <v>6</v>
      </c>
      <c r="F122" s="34" t="s">
        <v>4</v>
      </c>
      <c r="G122" s="34" t="s">
        <v>7</v>
      </c>
    </row>
    <row r="123" spans="1:7" x14ac:dyDescent="0.3">
      <c r="A123" s="34">
        <v>122</v>
      </c>
      <c r="B123" s="34">
        <v>24</v>
      </c>
      <c r="C123" s="34">
        <v>3868</v>
      </c>
      <c r="D123" s="34">
        <v>41</v>
      </c>
      <c r="E123" s="34" t="s">
        <v>6</v>
      </c>
      <c r="F123" s="34" t="s">
        <v>9</v>
      </c>
      <c r="G123" s="34" t="s">
        <v>5</v>
      </c>
    </row>
    <row r="124" spans="1:7" x14ac:dyDescent="0.3">
      <c r="A124" s="34">
        <v>123</v>
      </c>
      <c r="B124" s="34">
        <v>12</v>
      </c>
      <c r="C124" s="34">
        <v>1768</v>
      </c>
      <c r="D124" s="34">
        <v>24</v>
      </c>
      <c r="E124" s="34" t="s">
        <v>3</v>
      </c>
      <c r="F124" s="34" t="s">
        <v>9</v>
      </c>
      <c r="G124" s="34" t="s">
        <v>5</v>
      </c>
    </row>
    <row r="125" spans="1:7" x14ac:dyDescent="0.3">
      <c r="A125" s="34">
        <v>124</v>
      </c>
      <c r="B125" s="34">
        <v>10</v>
      </c>
      <c r="C125" s="34">
        <v>781</v>
      </c>
      <c r="D125" s="34">
        <v>63</v>
      </c>
      <c r="E125" s="34" t="s">
        <v>3</v>
      </c>
      <c r="F125" s="34" t="s">
        <v>8</v>
      </c>
      <c r="G125" s="34" t="s">
        <v>5</v>
      </c>
    </row>
    <row r="126" spans="1:7" x14ac:dyDescent="0.3">
      <c r="A126" s="34">
        <v>125</v>
      </c>
      <c r="B126" s="34">
        <v>18</v>
      </c>
      <c r="C126" s="34">
        <v>1924</v>
      </c>
      <c r="D126" s="34">
        <v>27</v>
      </c>
      <c r="E126" s="34" t="s">
        <v>6</v>
      </c>
      <c r="F126" s="34" t="s">
        <v>9</v>
      </c>
      <c r="G126" s="34" t="s">
        <v>7</v>
      </c>
    </row>
    <row r="127" spans="1:7" x14ac:dyDescent="0.3">
      <c r="A127" s="34">
        <v>126</v>
      </c>
      <c r="B127" s="34">
        <v>12</v>
      </c>
      <c r="C127" s="34">
        <v>2121</v>
      </c>
      <c r="D127" s="34">
        <v>30</v>
      </c>
      <c r="E127" s="34" t="s">
        <v>3</v>
      </c>
      <c r="F127" s="34" t="s">
        <v>4</v>
      </c>
      <c r="G127" s="34" t="s">
        <v>5</v>
      </c>
    </row>
    <row r="128" spans="1:7" x14ac:dyDescent="0.3">
      <c r="A128" s="34">
        <v>127</v>
      </c>
      <c r="B128" s="34">
        <v>12</v>
      </c>
      <c r="C128" s="34">
        <v>701</v>
      </c>
      <c r="D128" s="34">
        <v>40</v>
      </c>
      <c r="E128" s="34" t="s">
        <v>11</v>
      </c>
      <c r="F128" s="34" t="s">
        <v>4</v>
      </c>
      <c r="G128" s="34" t="s">
        <v>5</v>
      </c>
    </row>
    <row r="129" spans="1:7" x14ac:dyDescent="0.3">
      <c r="A129" s="34">
        <v>128</v>
      </c>
      <c r="B129" s="34">
        <v>12</v>
      </c>
      <c r="C129" s="34">
        <v>639</v>
      </c>
      <c r="D129" s="34">
        <v>30</v>
      </c>
      <c r="E129" s="34" t="s">
        <v>3</v>
      </c>
      <c r="F129" s="34" t="s">
        <v>4</v>
      </c>
      <c r="G129" s="34" t="s">
        <v>7</v>
      </c>
    </row>
    <row r="130" spans="1:7" x14ac:dyDescent="0.3">
      <c r="A130" s="34">
        <v>129</v>
      </c>
      <c r="B130" s="34">
        <v>12</v>
      </c>
      <c r="C130" s="34">
        <v>1860</v>
      </c>
      <c r="D130" s="34">
        <v>34</v>
      </c>
      <c r="E130" s="34" t="s">
        <v>3</v>
      </c>
      <c r="F130" s="34" t="s">
        <v>4</v>
      </c>
      <c r="G130" s="34" t="s">
        <v>5</v>
      </c>
    </row>
    <row r="131" spans="1:7" x14ac:dyDescent="0.3">
      <c r="A131" s="34">
        <v>130</v>
      </c>
      <c r="B131" s="34">
        <v>12</v>
      </c>
      <c r="C131" s="34">
        <v>3499</v>
      </c>
      <c r="D131" s="34">
        <v>29</v>
      </c>
      <c r="E131" s="34" t="s">
        <v>6</v>
      </c>
      <c r="F131" s="34" t="s">
        <v>4</v>
      </c>
      <c r="G131" s="34" t="s">
        <v>7</v>
      </c>
    </row>
    <row r="132" spans="1:7" x14ac:dyDescent="0.3">
      <c r="A132" s="34">
        <v>131</v>
      </c>
      <c r="B132" s="34">
        <v>48</v>
      </c>
      <c r="C132" s="34">
        <v>8487</v>
      </c>
      <c r="D132" s="34">
        <v>24</v>
      </c>
      <c r="E132" s="34" t="s">
        <v>6</v>
      </c>
      <c r="F132" s="34" t="s">
        <v>4</v>
      </c>
      <c r="G132" s="34" t="s">
        <v>5</v>
      </c>
    </row>
    <row r="133" spans="1:7" x14ac:dyDescent="0.3">
      <c r="A133" s="34">
        <v>132</v>
      </c>
      <c r="B133" s="34">
        <v>36</v>
      </c>
      <c r="C133" s="34">
        <v>6887</v>
      </c>
      <c r="D133" s="34">
        <v>29</v>
      </c>
      <c r="E133" s="34" t="s">
        <v>3</v>
      </c>
      <c r="F133" s="34" t="s">
        <v>4</v>
      </c>
      <c r="G133" s="34" t="s">
        <v>7</v>
      </c>
    </row>
    <row r="134" spans="1:7" x14ac:dyDescent="0.3">
      <c r="A134" s="34">
        <v>133</v>
      </c>
      <c r="B134" s="34">
        <v>15</v>
      </c>
      <c r="C134" s="34">
        <v>2708</v>
      </c>
      <c r="D134" s="34">
        <v>27</v>
      </c>
      <c r="E134" s="34" t="s">
        <v>3</v>
      </c>
      <c r="F134" s="34" t="s">
        <v>4</v>
      </c>
      <c r="G134" s="34" t="s">
        <v>5</v>
      </c>
    </row>
    <row r="135" spans="1:7" x14ac:dyDescent="0.3">
      <c r="A135" s="34">
        <v>134</v>
      </c>
      <c r="B135" s="34">
        <v>18</v>
      </c>
      <c r="C135" s="34">
        <v>1984</v>
      </c>
      <c r="D135" s="34">
        <v>47</v>
      </c>
      <c r="E135" s="34" t="s">
        <v>3</v>
      </c>
      <c r="F135" s="34" t="s">
        <v>8</v>
      </c>
      <c r="G135" s="34" t="s">
        <v>5</v>
      </c>
    </row>
    <row r="136" spans="1:7" x14ac:dyDescent="0.3">
      <c r="A136" s="34">
        <v>135</v>
      </c>
      <c r="B136" s="34">
        <v>60</v>
      </c>
      <c r="C136" s="34">
        <v>10144</v>
      </c>
      <c r="D136" s="34">
        <v>21</v>
      </c>
      <c r="E136" s="34" t="s">
        <v>6</v>
      </c>
      <c r="F136" s="34" t="s">
        <v>4</v>
      </c>
      <c r="G136" s="34" t="s">
        <v>5</v>
      </c>
    </row>
    <row r="137" spans="1:7" x14ac:dyDescent="0.3">
      <c r="A137" s="34">
        <v>136</v>
      </c>
      <c r="B137" s="34">
        <v>12</v>
      </c>
      <c r="C137" s="34">
        <v>1240</v>
      </c>
      <c r="D137" s="34">
        <v>38</v>
      </c>
      <c r="E137" s="34" t="s">
        <v>6</v>
      </c>
      <c r="F137" s="34" t="s">
        <v>4</v>
      </c>
      <c r="G137" s="34" t="s">
        <v>5</v>
      </c>
    </row>
    <row r="138" spans="1:7" x14ac:dyDescent="0.3">
      <c r="A138" s="34">
        <v>137</v>
      </c>
      <c r="B138" s="34">
        <v>27</v>
      </c>
      <c r="C138" s="34">
        <v>8613</v>
      </c>
      <c r="D138" s="34">
        <v>27</v>
      </c>
      <c r="E138" s="34" t="s">
        <v>3</v>
      </c>
      <c r="F138" s="34" t="s">
        <v>4</v>
      </c>
      <c r="G138" s="34" t="s">
        <v>5</v>
      </c>
    </row>
    <row r="139" spans="1:7" x14ac:dyDescent="0.3">
      <c r="A139" s="34">
        <v>138</v>
      </c>
      <c r="B139" s="34">
        <v>12</v>
      </c>
      <c r="C139" s="34">
        <v>766</v>
      </c>
      <c r="D139" s="34">
        <v>66</v>
      </c>
      <c r="E139" s="34" t="s">
        <v>3</v>
      </c>
      <c r="F139" s="34" t="s">
        <v>4</v>
      </c>
      <c r="G139" s="34" t="s">
        <v>7</v>
      </c>
    </row>
    <row r="140" spans="1:7" x14ac:dyDescent="0.3">
      <c r="A140" s="34">
        <v>139</v>
      </c>
      <c r="B140" s="34">
        <v>15</v>
      </c>
      <c r="C140" s="34">
        <v>2728</v>
      </c>
      <c r="D140" s="34">
        <v>35</v>
      </c>
      <c r="E140" s="34" t="s">
        <v>3</v>
      </c>
      <c r="F140" s="34" t="s">
        <v>4</v>
      </c>
      <c r="G140" s="34" t="s">
        <v>5</v>
      </c>
    </row>
    <row r="141" spans="1:7" x14ac:dyDescent="0.3">
      <c r="A141" s="34">
        <v>140</v>
      </c>
      <c r="B141" s="34">
        <v>12</v>
      </c>
      <c r="C141" s="34">
        <v>1881</v>
      </c>
      <c r="D141" s="34">
        <v>44</v>
      </c>
      <c r="E141" s="34" t="s">
        <v>6</v>
      </c>
      <c r="F141" s="34" t="s">
        <v>9</v>
      </c>
      <c r="G141" s="34" t="s">
        <v>5</v>
      </c>
    </row>
    <row r="142" spans="1:7" x14ac:dyDescent="0.3">
      <c r="A142" s="34">
        <v>141</v>
      </c>
      <c r="B142" s="34">
        <v>6</v>
      </c>
      <c r="C142" s="34">
        <v>709</v>
      </c>
      <c r="D142" s="34">
        <v>27</v>
      </c>
      <c r="E142" s="34" t="s">
        <v>11</v>
      </c>
      <c r="F142" s="34" t="s">
        <v>4</v>
      </c>
      <c r="G142" s="34" t="s">
        <v>5</v>
      </c>
    </row>
    <row r="143" spans="1:7" x14ac:dyDescent="0.3">
      <c r="A143" s="34">
        <v>142</v>
      </c>
      <c r="B143" s="34">
        <v>36</v>
      </c>
      <c r="C143" s="34">
        <v>4795</v>
      </c>
      <c r="D143" s="34">
        <v>30</v>
      </c>
      <c r="E143" s="34" t="s">
        <v>6</v>
      </c>
      <c r="F143" s="34" t="s">
        <v>4</v>
      </c>
      <c r="G143" s="34" t="s">
        <v>5</v>
      </c>
    </row>
    <row r="144" spans="1:7" x14ac:dyDescent="0.3">
      <c r="A144" s="34">
        <v>143</v>
      </c>
      <c r="B144" s="34">
        <v>27</v>
      </c>
      <c r="C144" s="34">
        <v>3416</v>
      </c>
      <c r="D144" s="34">
        <v>27</v>
      </c>
      <c r="E144" s="34" t="s">
        <v>3</v>
      </c>
      <c r="F144" s="34" t="s">
        <v>4</v>
      </c>
      <c r="G144" s="34" t="s">
        <v>5</v>
      </c>
    </row>
    <row r="145" spans="1:7" x14ac:dyDescent="0.3">
      <c r="A145" s="34">
        <v>144</v>
      </c>
      <c r="B145" s="34">
        <v>18</v>
      </c>
      <c r="C145" s="34">
        <v>2462</v>
      </c>
      <c r="D145" s="34">
        <v>22</v>
      </c>
      <c r="E145" s="34" t="s">
        <v>3</v>
      </c>
      <c r="F145" s="34" t="s">
        <v>4</v>
      </c>
      <c r="G145" s="34" t="s">
        <v>7</v>
      </c>
    </row>
    <row r="146" spans="1:7" x14ac:dyDescent="0.3">
      <c r="A146" s="34">
        <v>145</v>
      </c>
      <c r="B146" s="34">
        <v>21</v>
      </c>
      <c r="C146" s="34">
        <v>2288</v>
      </c>
      <c r="D146" s="34">
        <v>23</v>
      </c>
      <c r="E146" s="34" t="s">
        <v>6</v>
      </c>
      <c r="F146" s="34" t="s">
        <v>4</v>
      </c>
      <c r="G146" s="34" t="s">
        <v>5</v>
      </c>
    </row>
    <row r="147" spans="1:7" x14ac:dyDescent="0.3">
      <c r="A147" s="34">
        <v>146</v>
      </c>
      <c r="B147" s="34">
        <v>48</v>
      </c>
      <c r="C147" s="34">
        <v>3566</v>
      </c>
      <c r="D147" s="34">
        <v>30</v>
      </c>
      <c r="E147" s="34" t="s">
        <v>3</v>
      </c>
      <c r="F147" s="34" t="s">
        <v>4</v>
      </c>
      <c r="G147" s="34" t="s">
        <v>5</v>
      </c>
    </row>
    <row r="148" spans="1:7" x14ac:dyDescent="0.3">
      <c r="A148" s="34">
        <v>147</v>
      </c>
      <c r="B148" s="34">
        <v>6</v>
      </c>
      <c r="C148" s="34">
        <v>860</v>
      </c>
      <c r="D148" s="34">
        <v>39</v>
      </c>
      <c r="E148" s="34" t="s">
        <v>6</v>
      </c>
      <c r="F148" s="34" t="s">
        <v>4</v>
      </c>
      <c r="G148" s="34" t="s">
        <v>5</v>
      </c>
    </row>
    <row r="149" spans="1:7" x14ac:dyDescent="0.3">
      <c r="A149" s="34">
        <v>148</v>
      </c>
      <c r="B149" s="34">
        <v>12</v>
      </c>
      <c r="C149" s="34">
        <v>682</v>
      </c>
      <c r="D149" s="34">
        <v>51</v>
      </c>
      <c r="E149" s="34" t="s">
        <v>6</v>
      </c>
      <c r="F149" s="34" t="s">
        <v>4</v>
      </c>
      <c r="G149" s="34" t="s">
        <v>5</v>
      </c>
    </row>
    <row r="150" spans="1:7" x14ac:dyDescent="0.3">
      <c r="A150" s="34">
        <v>149</v>
      </c>
      <c r="B150" s="34">
        <v>36</v>
      </c>
      <c r="C150" s="34">
        <v>5371</v>
      </c>
      <c r="D150" s="34">
        <v>28</v>
      </c>
      <c r="E150" s="34" t="s">
        <v>3</v>
      </c>
      <c r="F150" s="34" t="s">
        <v>4</v>
      </c>
      <c r="G150" s="34" t="s">
        <v>5</v>
      </c>
    </row>
    <row r="151" spans="1:7" x14ac:dyDescent="0.3">
      <c r="A151" s="34">
        <v>150</v>
      </c>
      <c r="B151" s="34">
        <v>18</v>
      </c>
      <c r="C151" s="34">
        <v>1582</v>
      </c>
      <c r="D151" s="34">
        <v>46</v>
      </c>
      <c r="E151" s="34" t="s">
        <v>3</v>
      </c>
      <c r="F151" s="34" t="s">
        <v>4</v>
      </c>
      <c r="G151" s="34" t="s">
        <v>5</v>
      </c>
    </row>
    <row r="152" spans="1:7" x14ac:dyDescent="0.3">
      <c r="A152" s="34">
        <v>151</v>
      </c>
      <c r="B152" s="34">
        <v>6</v>
      </c>
      <c r="C152" s="34">
        <v>1346</v>
      </c>
      <c r="D152" s="34">
        <v>42</v>
      </c>
      <c r="E152" s="34" t="s">
        <v>3</v>
      </c>
      <c r="F152" s="34" t="s">
        <v>8</v>
      </c>
      <c r="G152" s="34" t="s">
        <v>5</v>
      </c>
    </row>
    <row r="153" spans="1:7" x14ac:dyDescent="0.3">
      <c r="A153" s="34">
        <v>152</v>
      </c>
      <c r="B153" s="34">
        <v>10</v>
      </c>
      <c r="C153" s="34">
        <v>1924</v>
      </c>
      <c r="D153" s="34">
        <v>38</v>
      </c>
      <c r="E153" s="34" t="s">
        <v>3</v>
      </c>
      <c r="F153" s="34" t="s">
        <v>4</v>
      </c>
      <c r="G153" s="34" t="s">
        <v>5</v>
      </c>
    </row>
    <row r="154" spans="1:7" x14ac:dyDescent="0.3">
      <c r="A154" s="34">
        <v>153</v>
      </c>
      <c r="B154" s="34">
        <v>36</v>
      </c>
      <c r="C154" s="34">
        <v>5848</v>
      </c>
      <c r="D154" s="34">
        <v>24</v>
      </c>
      <c r="E154" s="34" t="s">
        <v>3</v>
      </c>
      <c r="F154" s="34" t="s">
        <v>4</v>
      </c>
      <c r="G154" s="34" t="s">
        <v>5</v>
      </c>
    </row>
    <row r="155" spans="1:7" x14ac:dyDescent="0.3">
      <c r="A155" s="34">
        <v>154</v>
      </c>
      <c r="B155" s="34">
        <v>24</v>
      </c>
      <c r="C155" s="34">
        <v>7758</v>
      </c>
      <c r="D155" s="34">
        <v>29</v>
      </c>
      <c r="E155" s="34" t="s">
        <v>6</v>
      </c>
      <c r="F155" s="34" t="s">
        <v>9</v>
      </c>
      <c r="G155" s="34" t="s">
        <v>5</v>
      </c>
    </row>
    <row r="156" spans="1:7" x14ac:dyDescent="0.3">
      <c r="A156" s="34">
        <v>155</v>
      </c>
      <c r="B156" s="34">
        <v>24</v>
      </c>
      <c r="C156" s="34">
        <v>6967</v>
      </c>
      <c r="D156" s="34">
        <v>36</v>
      </c>
      <c r="E156" s="34" t="s">
        <v>3</v>
      </c>
      <c r="F156" s="34" t="s">
        <v>9</v>
      </c>
      <c r="G156" s="34" t="s">
        <v>5</v>
      </c>
    </row>
    <row r="157" spans="1:7" x14ac:dyDescent="0.3">
      <c r="A157" s="34">
        <v>156</v>
      </c>
      <c r="B157" s="34">
        <v>12</v>
      </c>
      <c r="C157" s="34">
        <v>1282</v>
      </c>
      <c r="D157" s="34">
        <v>20</v>
      </c>
      <c r="E157" s="34" t="s">
        <v>6</v>
      </c>
      <c r="F157" s="34" t="s">
        <v>9</v>
      </c>
      <c r="G157" s="34" t="s">
        <v>7</v>
      </c>
    </row>
    <row r="158" spans="1:7" x14ac:dyDescent="0.3">
      <c r="A158" s="34">
        <v>157</v>
      </c>
      <c r="B158" s="34">
        <v>9</v>
      </c>
      <c r="C158" s="34">
        <v>1288</v>
      </c>
      <c r="D158" s="34">
        <v>48</v>
      </c>
      <c r="E158" s="34" t="s">
        <v>3</v>
      </c>
      <c r="F158" s="34" t="s">
        <v>4</v>
      </c>
      <c r="G158" s="34" t="s">
        <v>5</v>
      </c>
    </row>
    <row r="159" spans="1:7" x14ac:dyDescent="0.3">
      <c r="A159" s="34">
        <v>158</v>
      </c>
      <c r="B159" s="34">
        <v>12</v>
      </c>
      <c r="C159" s="34">
        <v>339</v>
      </c>
      <c r="D159" s="34">
        <v>45</v>
      </c>
      <c r="E159" s="34" t="s">
        <v>11</v>
      </c>
      <c r="F159" s="34" t="s">
        <v>4</v>
      </c>
      <c r="G159" s="34" t="s">
        <v>5</v>
      </c>
    </row>
    <row r="160" spans="1:7" x14ac:dyDescent="0.3">
      <c r="A160" s="34">
        <v>159</v>
      </c>
      <c r="B160" s="34">
        <v>24</v>
      </c>
      <c r="C160" s="34">
        <v>3512</v>
      </c>
      <c r="D160" s="34">
        <v>38</v>
      </c>
      <c r="E160" s="34" t="s">
        <v>3</v>
      </c>
      <c r="F160" s="34" t="s">
        <v>4</v>
      </c>
      <c r="G160" s="34" t="s">
        <v>5</v>
      </c>
    </row>
    <row r="161" spans="1:7" x14ac:dyDescent="0.3">
      <c r="A161" s="34">
        <v>160</v>
      </c>
      <c r="B161" s="34">
        <v>6</v>
      </c>
      <c r="C161" s="34">
        <v>1898</v>
      </c>
      <c r="D161" s="34">
        <v>34</v>
      </c>
      <c r="E161" s="34" t="s">
        <v>3</v>
      </c>
      <c r="F161" s="34" t="s">
        <v>4</v>
      </c>
      <c r="G161" s="34" t="s">
        <v>5</v>
      </c>
    </row>
    <row r="162" spans="1:7" x14ac:dyDescent="0.3">
      <c r="A162" s="34">
        <v>161</v>
      </c>
      <c r="B162" s="34">
        <v>24</v>
      </c>
      <c r="C162" s="34">
        <v>2872</v>
      </c>
      <c r="D162" s="34">
        <v>36</v>
      </c>
      <c r="E162" s="34" t="s">
        <v>3</v>
      </c>
      <c r="F162" s="34" t="s">
        <v>4</v>
      </c>
      <c r="G162" s="34" t="s">
        <v>5</v>
      </c>
    </row>
    <row r="163" spans="1:7" x14ac:dyDescent="0.3">
      <c r="A163" s="34">
        <v>162</v>
      </c>
      <c r="B163" s="34">
        <v>18</v>
      </c>
      <c r="C163" s="34">
        <v>1055</v>
      </c>
      <c r="D163" s="34">
        <v>30</v>
      </c>
      <c r="E163" s="34" t="s">
        <v>6</v>
      </c>
      <c r="F163" s="34" t="s">
        <v>4</v>
      </c>
      <c r="G163" s="34" t="s">
        <v>5</v>
      </c>
    </row>
    <row r="164" spans="1:7" x14ac:dyDescent="0.3">
      <c r="A164" s="34">
        <v>163</v>
      </c>
      <c r="B164" s="34">
        <v>15</v>
      </c>
      <c r="C164" s="34">
        <v>1262</v>
      </c>
      <c r="D164" s="34">
        <v>36</v>
      </c>
      <c r="E164" s="34" t="s">
        <v>3</v>
      </c>
      <c r="F164" s="34" t="s">
        <v>4</v>
      </c>
      <c r="G164" s="34" t="s">
        <v>5</v>
      </c>
    </row>
    <row r="165" spans="1:7" x14ac:dyDescent="0.3">
      <c r="A165" s="34">
        <v>164</v>
      </c>
      <c r="B165" s="34">
        <v>10</v>
      </c>
      <c r="C165" s="34">
        <v>7308</v>
      </c>
      <c r="D165" s="34">
        <v>70</v>
      </c>
      <c r="E165" s="34" t="s">
        <v>3</v>
      </c>
      <c r="F165" s="34" t="s">
        <v>8</v>
      </c>
      <c r="G165" s="34" t="s">
        <v>5</v>
      </c>
    </row>
    <row r="166" spans="1:7" x14ac:dyDescent="0.3">
      <c r="A166" s="34">
        <v>165</v>
      </c>
      <c r="B166" s="34">
        <v>36</v>
      </c>
      <c r="C166" s="34">
        <v>909</v>
      </c>
      <c r="D166" s="34">
        <v>36</v>
      </c>
      <c r="E166" s="34" t="s">
        <v>3</v>
      </c>
      <c r="F166" s="34" t="s">
        <v>4</v>
      </c>
      <c r="G166" s="34" t="s">
        <v>5</v>
      </c>
    </row>
    <row r="167" spans="1:7" x14ac:dyDescent="0.3">
      <c r="A167" s="34">
        <v>166</v>
      </c>
      <c r="B167" s="34">
        <v>6</v>
      </c>
      <c r="C167" s="34">
        <v>2978</v>
      </c>
      <c r="D167" s="34">
        <v>32</v>
      </c>
      <c r="E167" s="34" t="s">
        <v>3</v>
      </c>
      <c r="F167" s="34" t="s">
        <v>4</v>
      </c>
      <c r="G167" s="34" t="s">
        <v>5</v>
      </c>
    </row>
    <row r="168" spans="1:7" x14ac:dyDescent="0.3">
      <c r="A168" s="34">
        <v>167</v>
      </c>
      <c r="B168" s="34">
        <v>18</v>
      </c>
      <c r="C168" s="34">
        <v>1131</v>
      </c>
      <c r="D168" s="34">
        <v>33</v>
      </c>
      <c r="E168" s="34" t="s">
        <v>6</v>
      </c>
      <c r="F168" s="34" t="s">
        <v>4</v>
      </c>
      <c r="G168" s="34" t="s">
        <v>7</v>
      </c>
    </row>
    <row r="169" spans="1:7" x14ac:dyDescent="0.3">
      <c r="A169" s="34">
        <v>168</v>
      </c>
      <c r="B169" s="34">
        <v>11</v>
      </c>
      <c r="C169" s="34">
        <v>1577</v>
      </c>
      <c r="D169" s="34">
        <v>20</v>
      </c>
      <c r="E169" s="34" t="s">
        <v>6</v>
      </c>
      <c r="F169" s="34" t="s">
        <v>4</v>
      </c>
      <c r="G169" s="34" t="s">
        <v>5</v>
      </c>
    </row>
    <row r="170" spans="1:7" x14ac:dyDescent="0.3">
      <c r="A170" s="34">
        <v>169</v>
      </c>
      <c r="B170" s="34">
        <v>24</v>
      </c>
      <c r="C170" s="34">
        <v>3972</v>
      </c>
      <c r="D170" s="34">
        <v>25</v>
      </c>
      <c r="E170" s="34" t="s">
        <v>6</v>
      </c>
      <c r="F170" s="34" t="s">
        <v>9</v>
      </c>
      <c r="G170" s="34" t="s">
        <v>5</v>
      </c>
    </row>
    <row r="171" spans="1:7" x14ac:dyDescent="0.3">
      <c r="A171" s="34">
        <v>170</v>
      </c>
      <c r="B171" s="34">
        <v>24</v>
      </c>
      <c r="C171" s="34">
        <v>1935</v>
      </c>
      <c r="D171" s="34">
        <v>31</v>
      </c>
      <c r="E171" s="34" t="s">
        <v>10</v>
      </c>
      <c r="F171" s="34" t="s">
        <v>4</v>
      </c>
      <c r="G171" s="34" t="s">
        <v>7</v>
      </c>
    </row>
    <row r="172" spans="1:7" x14ac:dyDescent="0.3">
      <c r="A172" s="34">
        <v>171</v>
      </c>
      <c r="B172" s="34">
        <v>15</v>
      </c>
      <c r="C172" s="34">
        <v>950</v>
      </c>
      <c r="D172" s="34">
        <v>33</v>
      </c>
      <c r="E172" s="34" t="s">
        <v>3</v>
      </c>
      <c r="F172" s="34" t="s">
        <v>9</v>
      </c>
      <c r="G172" s="34" t="s">
        <v>7</v>
      </c>
    </row>
    <row r="173" spans="1:7" x14ac:dyDescent="0.3">
      <c r="A173" s="34">
        <v>172</v>
      </c>
      <c r="B173" s="34">
        <v>12</v>
      </c>
      <c r="C173" s="34">
        <v>763</v>
      </c>
      <c r="D173" s="34">
        <v>26</v>
      </c>
      <c r="E173" s="34" t="s">
        <v>6</v>
      </c>
      <c r="F173" s="34" t="s">
        <v>4</v>
      </c>
      <c r="G173" s="34" t="s">
        <v>5</v>
      </c>
    </row>
    <row r="174" spans="1:7" x14ac:dyDescent="0.3">
      <c r="A174" s="34">
        <v>173</v>
      </c>
      <c r="B174" s="34">
        <v>24</v>
      </c>
      <c r="C174" s="34">
        <v>2064</v>
      </c>
      <c r="D174" s="34">
        <v>34</v>
      </c>
      <c r="E174" s="34" t="s">
        <v>6</v>
      </c>
      <c r="F174" s="34" t="s">
        <v>4</v>
      </c>
      <c r="G174" s="34" t="s">
        <v>7</v>
      </c>
    </row>
    <row r="175" spans="1:7" x14ac:dyDescent="0.3">
      <c r="A175" s="34">
        <v>174</v>
      </c>
      <c r="B175" s="34">
        <v>8</v>
      </c>
      <c r="C175" s="34">
        <v>1414</v>
      </c>
      <c r="D175" s="34">
        <v>33</v>
      </c>
      <c r="E175" s="34" t="s">
        <v>3</v>
      </c>
      <c r="F175" s="34" t="s">
        <v>4</v>
      </c>
      <c r="G175" s="34" t="s">
        <v>5</v>
      </c>
    </row>
    <row r="176" spans="1:7" x14ac:dyDescent="0.3">
      <c r="A176" s="34">
        <v>175</v>
      </c>
      <c r="B176" s="34">
        <v>21</v>
      </c>
      <c r="C176" s="34">
        <v>3414</v>
      </c>
      <c r="D176" s="34">
        <v>26</v>
      </c>
      <c r="E176" s="34" t="s">
        <v>3</v>
      </c>
      <c r="F176" s="34" t="s">
        <v>4</v>
      </c>
      <c r="G176" s="34" t="s">
        <v>7</v>
      </c>
    </row>
    <row r="177" spans="1:7" x14ac:dyDescent="0.3">
      <c r="A177" s="34">
        <v>176</v>
      </c>
      <c r="B177" s="34">
        <v>30</v>
      </c>
      <c r="C177" s="34">
        <v>7485</v>
      </c>
      <c r="D177" s="34">
        <v>53</v>
      </c>
      <c r="E177" s="34" t="s">
        <v>6</v>
      </c>
      <c r="F177" s="34" t="s">
        <v>4</v>
      </c>
      <c r="G177" s="34" t="s">
        <v>7</v>
      </c>
    </row>
    <row r="178" spans="1:7" x14ac:dyDescent="0.3">
      <c r="A178" s="34">
        <v>177</v>
      </c>
      <c r="B178" s="34">
        <v>12</v>
      </c>
      <c r="C178" s="34">
        <v>2577</v>
      </c>
      <c r="D178" s="34">
        <v>42</v>
      </c>
      <c r="E178" s="34" t="s">
        <v>10</v>
      </c>
      <c r="F178" s="34" t="s">
        <v>4</v>
      </c>
      <c r="G178" s="34" t="s">
        <v>5</v>
      </c>
    </row>
    <row r="179" spans="1:7" x14ac:dyDescent="0.3">
      <c r="A179" s="34">
        <v>178</v>
      </c>
      <c r="B179" s="34">
        <v>6</v>
      </c>
      <c r="C179" s="34">
        <v>338</v>
      </c>
      <c r="D179" s="34">
        <v>52</v>
      </c>
      <c r="E179" s="34" t="s">
        <v>3</v>
      </c>
      <c r="F179" s="34" t="s">
        <v>4</v>
      </c>
      <c r="G179" s="34" t="s">
        <v>5</v>
      </c>
    </row>
    <row r="180" spans="1:7" x14ac:dyDescent="0.3">
      <c r="A180" s="34">
        <v>179</v>
      </c>
      <c r="B180" s="34">
        <v>12</v>
      </c>
      <c r="C180" s="34">
        <v>1963</v>
      </c>
      <c r="D180" s="34">
        <v>31</v>
      </c>
      <c r="E180" s="34" t="s">
        <v>3</v>
      </c>
      <c r="F180" s="34" t="s">
        <v>9</v>
      </c>
      <c r="G180" s="34" t="s">
        <v>5</v>
      </c>
    </row>
    <row r="181" spans="1:7" x14ac:dyDescent="0.3">
      <c r="A181" s="34">
        <v>180</v>
      </c>
      <c r="B181" s="34">
        <v>21</v>
      </c>
      <c r="C181" s="34">
        <v>571</v>
      </c>
      <c r="D181" s="34">
        <v>65</v>
      </c>
      <c r="E181" s="34" t="s">
        <v>3</v>
      </c>
      <c r="F181" s="34" t="s">
        <v>4</v>
      </c>
      <c r="G181" s="34" t="s">
        <v>5</v>
      </c>
    </row>
    <row r="182" spans="1:7" x14ac:dyDescent="0.3">
      <c r="A182" s="34">
        <v>181</v>
      </c>
      <c r="B182" s="34">
        <v>36</v>
      </c>
      <c r="C182" s="34">
        <v>9572</v>
      </c>
      <c r="D182" s="34">
        <v>28</v>
      </c>
      <c r="E182" s="34" t="s">
        <v>10</v>
      </c>
      <c r="F182" s="34" t="s">
        <v>4</v>
      </c>
      <c r="G182" s="34" t="s">
        <v>7</v>
      </c>
    </row>
    <row r="183" spans="1:7" x14ac:dyDescent="0.3">
      <c r="A183" s="34">
        <v>182</v>
      </c>
      <c r="B183" s="34">
        <v>36</v>
      </c>
      <c r="C183" s="34">
        <v>4455</v>
      </c>
      <c r="D183" s="34">
        <v>30</v>
      </c>
      <c r="E183" s="34" t="s">
        <v>10</v>
      </c>
      <c r="F183" s="34" t="s">
        <v>4</v>
      </c>
      <c r="G183" s="34" t="s">
        <v>7</v>
      </c>
    </row>
    <row r="184" spans="1:7" x14ac:dyDescent="0.3">
      <c r="A184" s="34">
        <v>183</v>
      </c>
      <c r="B184" s="34">
        <v>21</v>
      </c>
      <c r="C184" s="34">
        <v>1647</v>
      </c>
      <c r="D184" s="34">
        <v>40</v>
      </c>
      <c r="E184" s="34" t="s">
        <v>3</v>
      </c>
      <c r="F184" s="34" t="s">
        <v>4</v>
      </c>
      <c r="G184" s="34" t="s">
        <v>7</v>
      </c>
    </row>
    <row r="185" spans="1:7" x14ac:dyDescent="0.3">
      <c r="A185" s="34">
        <v>184</v>
      </c>
      <c r="B185" s="34">
        <v>24</v>
      </c>
      <c r="C185" s="34">
        <v>3777</v>
      </c>
      <c r="D185" s="34">
        <v>50</v>
      </c>
      <c r="E185" s="34" t="s">
        <v>3</v>
      </c>
      <c r="F185" s="34" t="s">
        <v>4</v>
      </c>
      <c r="G185" s="34" t="s">
        <v>5</v>
      </c>
    </row>
    <row r="186" spans="1:7" x14ac:dyDescent="0.3">
      <c r="A186" s="34">
        <v>185</v>
      </c>
      <c r="B186" s="34">
        <v>18</v>
      </c>
      <c r="C186" s="34">
        <v>884</v>
      </c>
      <c r="D186" s="34">
        <v>36</v>
      </c>
      <c r="E186" s="34" t="s">
        <v>3</v>
      </c>
      <c r="F186" s="34" t="s">
        <v>4</v>
      </c>
      <c r="G186" s="34" t="s">
        <v>7</v>
      </c>
    </row>
    <row r="187" spans="1:7" x14ac:dyDescent="0.3">
      <c r="A187" s="34">
        <v>186</v>
      </c>
      <c r="B187" s="34">
        <v>15</v>
      </c>
      <c r="C187" s="34">
        <v>1360</v>
      </c>
      <c r="D187" s="34">
        <v>31</v>
      </c>
      <c r="E187" s="34" t="s">
        <v>3</v>
      </c>
      <c r="F187" s="34" t="s">
        <v>4</v>
      </c>
      <c r="G187" s="34" t="s">
        <v>5</v>
      </c>
    </row>
    <row r="188" spans="1:7" x14ac:dyDescent="0.3">
      <c r="A188" s="34">
        <v>187</v>
      </c>
      <c r="B188" s="34">
        <v>9</v>
      </c>
      <c r="C188" s="34">
        <v>5129</v>
      </c>
      <c r="D188" s="34">
        <v>74</v>
      </c>
      <c r="E188" s="34" t="s">
        <v>6</v>
      </c>
      <c r="F188" s="34" t="s">
        <v>8</v>
      </c>
      <c r="G188" s="34" t="s">
        <v>7</v>
      </c>
    </row>
    <row r="189" spans="1:7" x14ac:dyDescent="0.3">
      <c r="A189" s="34">
        <v>188</v>
      </c>
      <c r="B189" s="34">
        <v>16</v>
      </c>
      <c r="C189" s="34">
        <v>1175</v>
      </c>
      <c r="D189" s="34">
        <v>68</v>
      </c>
      <c r="E189" s="34" t="s">
        <v>3</v>
      </c>
      <c r="F189" s="34" t="s">
        <v>8</v>
      </c>
      <c r="G189" s="34" t="s">
        <v>5</v>
      </c>
    </row>
    <row r="190" spans="1:7" x14ac:dyDescent="0.3">
      <c r="A190" s="34">
        <v>189</v>
      </c>
      <c r="B190" s="34">
        <v>12</v>
      </c>
      <c r="C190" s="34">
        <v>674</v>
      </c>
      <c r="D190" s="34">
        <v>20</v>
      </c>
      <c r="E190" s="34" t="s">
        <v>11</v>
      </c>
      <c r="F190" s="34" t="s">
        <v>4</v>
      </c>
      <c r="G190" s="34" t="s">
        <v>7</v>
      </c>
    </row>
    <row r="191" spans="1:7" x14ac:dyDescent="0.3">
      <c r="A191" s="34">
        <v>190</v>
      </c>
      <c r="B191" s="34">
        <v>18</v>
      </c>
      <c r="C191" s="34">
        <v>3244</v>
      </c>
      <c r="D191" s="34">
        <v>33</v>
      </c>
      <c r="E191" s="34" t="s">
        <v>6</v>
      </c>
      <c r="F191" s="34" t="s">
        <v>4</v>
      </c>
      <c r="G191" s="34" t="s">
        <v>5</v>
      </c>
    </row>
    <row r="192" spans="1:7" x14ac:dyDescent="0.3">
      <c r="A192" s="34">
        <v>191</v>
      </c>
      <c r="B192" s="34">
        <v>24</v>
      </c>
      <c r="C192" s="34">
        <v>4591</v>
      </c>
      <c r="D192" s="34">
        <v>54</v>
      </c>
      <c r="E192" s="34" t="s">
        <v>3</v>
      </c>
      <c r="F192" s="34" t="s">
        <v>4</v>
      </c>
      <c r="G192" s="34" t="s">
        <v>7</v>
      </c>
    </row>
    <row r="193" spans="1:7" x14ac:dyDescent="0.3">
      <c r="A193" s="34">
        <v>192</v>
      </c>
      <c r="B193" s="34">
        <v>48</v>
      </c>
      <c r="C193" s="34">
        <v>3844</v>
      </c>
      <c r="D193" s="34">
        <v>34</v>
      </c>
      <c r="E193" s="34" t="s">
        <v>3</v>
      </c>
      <c r="F193" s="34" t="s">
        <v>8</v>
      </c>
      <c r="G193" s="34" t="s">
        <v>7</v>
      </c>
    </row>
    <row r="194" spans="1:7" x14ac:dyDescent="0.3">
      <c r="A194" s="34">
        <v>193</v>
      </c>
      <c r="B194" s="34">
        <v>27</v>
      </c>
      <c r="C194" s="34">
        <v>3915</v>
      </c>
      <c r="D194" s="34">
        <v>36</v>
      </c>
      <c r="E194" s="34" t="s">
        <v>3</v>
      </c>
      <c r="F194" s="34" t="s">
        <v>4</v>
      </c>
      <c r="G194" s="34" t="s">
        <v>7</v>
      </c>
    </row>
    <row r="195" spans="1:7" x14ac:dyDescent="0.3">
      <c r="A195" s="34">
        <v>194</v>
      </c>
      <c r="B195" s="34">
        <v>6</v>
      </c>
      <c r="C195" s="34">
        <v>2108</v>
      </c>
      <c r="D195" s="34">
        <v>29</v>
      </c>
      <c r="E195" s="34" t="s">
        <v>11</v>
      </c>
      <c r="F195" s="34" t="s">
        <v>9</v>
      </c>
      <c r="G195" s="34" t="s">
        <v>5</v>
      </c>
    </row>
    <row r="196" spans="1:7" x14ac:dyDescent="0.3">
      <c r="A196" s="34">
        <v>195</v>
      </c>
      <c r="B196" s="34">
        <v>45</v>
      </c>
      <c r="C196" s="34">
        <v>3031</v>
      </c>
      <c r="D196" s="34">
        <v>21</v>
      </c>
      <c r="E196" s="34" t="s">
        <v>3</v>
      </c>
      <c r="F196" s="34" t="s">
        <v>9</v>
      </c>
      <c r="G196" s="34" t="s">
        <v>7</v>
      </c>
    </row>
    <row r="197" spans="1:7" x14ac:dyDescent="0.3">
      <c r="A197" s="34">
        <v>196</v>
      </c>
      <c r="B197" s="34">
        <v>9</v>
      </c>
      <c r="C197" s="34">
        <v>1501</v>
      </c>
      <c r="D197" s="34">
        <v>34</v>
      </c>
      <c r="E197" s="34" t="s">
        <v>6</v>
      </c>
      <c r="F197" s="34" t="s">
        <v>4</v>
      </c>
      <c r="G197" s="34" t="s">
        <v>7</v>
      </c>
    </row>
    <row r="198" spans="1:7" x14ac:dyDescent="0.3">
      <c r="A198" s="34">
        <v>197</v>
      </c>
      <c r="B198" s="34">
        <v>6</v>
      </c>
      <c r="C198" s="34">
        <v>1382</v>
      </c>
      <c r="D198" s="34">
        <v>28</v>
      </c>
      <c r="E198" s="34" t="s">
        <v>6</v>
      </c>
      <c r="F198" s="34" t="s">
        <v>4</v>
      </c>
      <c r="G198" s="34" t="s">
        <v>5</v>
      </c>
    </row>
    <row r="199" spans="1:7" x14ac:dyDescent="0.3">
      <c r="A199" s="34">
        <v>198</v>
      </c>
      <c r="B199" s="34">
        <v>12</v>
      </c>
      <c r="C199" s="34">
        <v>951</v>
      </c>
      <c r="D199" s="34">
        <v>27</v>
      </c>
      <c r="E199" s="34" t="s">
        <v>6</v>
      </c>
      <c r="F199" s="34" t="s">
        <v>9</v>
      </c>
      <c r="G199" s="34" t="s">
        <v>7</v>
      </c>
    </row>
    <row r="200" spans="1:7" x14ac:dyDescent="0.3">
      <c r="A200" s="34">
        <v>199</v>
      </c>
      <c r="B200" s="34">
        <v>24</v>
      </c>
      <c r="C200" s="34">
        <v>2760</v>
      </c>
      <c r="D200" s="34">
        <v>36</v>
      </c>
      <c r="E200" s="34" t="s">
        <v>3</v>
      </c>
      <c r="F200" s="34" t="s">
        <v>8</v>
      </c>
      <c r="G200" s="34" t="s">
        <v>5</v>
      </c>
    </row>
    <row r="201" spans="1:7" x14ac:dyDescent="0.3">
      <c r="A201" s="34">
        <v>200</v>
      </c>
      <c r="B201" s="34">
        <v>18</v>
      </c>
      <c r="C201" s="34">
        <v>4297</v>
      </c>
      <c r="D201" s="34">
        <v>40</v>
      </c>
      <c r="E201" s="34" t="s">
        <v>10</v>
      </c>
      <c r="F201" s="34" t="s">
        <v>4</v>
      </c>
      <c r="G201" s="34" t="s">
        <v>7</v>
      </c>
    </row>
    <row r="202" spans="1:7" x14ac:dyDescent="0.3">
      <c r="A202" s="34">
        <v>201</v>
      </c>
      <c r="B202" s="34">
        <v>9</v>
      </c>
      <c r="C202" s="34">
        <v>936</v>
      </c>
      <c r="D202" s="34">
        <v>52</v>
      </c>
      <c r="E202" s="34" t="s">
        <v>3</v>
      </c>
      <c r="F202" s="34" t="s">
        <v>4</v>
      </c>
      <c r="G202" s="34" t="s">
        <v>5</v>
      </c>
    </row>
    <row r="203" spans="1:7" x14ac:dyDescent="0.3">
      <c r="A203" s="34">
        <v>202</v>
      </c>
      <c r="B203" s="34">
        <v>12</v>
      </c>
      <c r="C203" s="34">
        <v>1168</v>
      </c>
      <c r="D203" s="34">
        <v>27</v>
      </c>
      <c r="E203" s="34" t="s">
        <v>11</v>
      </c>
      <c r="F203" s="34" t="s">
        <v>4</v>
      </c>
      <c r="G203" s="34" t="s">
        <v>5</v>
      </c>
    </row>
    <row r="204" spans="1:7" x14ac:dyDescent="0.3">
      <c r="A204" s="34">
        <v>203</v>
      </c>
      <c r="B204" s="34">
        <v>27</v>
      </c>
      <c r="C204" s="34">
        <v>5117</v>
      </c>
      <c r="D204" s="34">
        <v>26</v>
      </c>
      <c r="E204" s="34" t="s">
        <v>3</v>
      </c>
      <c r="F204" s="34" t="s">
        <v>4</v>
      </c>
      <c r="G204" s="34" t="s">
        <v>5</v>
      </c>
    </row>
    <row r="205" spans="1:7" x14ac:dyDescent="0.3">
      <c r="A205" s="34">
        <v>204</v>
      </c>
      <c r="B205" s="34">
        <v>12</v>
      </c>
      <c r="C205" s="34">
        <v>902</v>
      </c>
      <c r="D205" s="34">
        <v>21</v>
      </c>
      <c r="E205" s="34" t="s">
        <v>11</v>
      </c>
      <c r="F205" s="34" t="s">
        <v>9</v>
      </c>
      <c r="G205" s="34" t="s">
        <v>7</v>
      </c>
    </row>
    <row r="206" spans="1:7" x14ac:dyDescent="0.3">
      <c r="A206" s="34">
        <v>205</v>
      </c>
      <c r="B206" s="34">
        <v>12</v>
      </c>
      <c r="C206" s="34">
        <v>1495</v>
      </c>
      <c r="D206" s="34">
        <v>38</v>
      </c>
      <c r="E206" s="34" t="s">
        <v>3</v>
      </c>
      <c r="F206" s="34" t="s">
        <v>4</v>
      </c>
      <c r="G206" s="34" t="s">
        <v>5</v>
      </c>
    </row>
    <row r="207" spans="1:7" x14ac:dyDescent="0.3">
      <c r="A207" s="34">
        <v>206</v>
      </c>
      <c r="B207" s="34">
        <v>30</v>
      </c>
      <c r="C207" s="34">
        <v>10623</v>
      </c>
      <c r="D207" s="34">
        <v>38</v>
      </c>
      <c r="E207" s="34" t="s">
        <v>3</v>
      </c>
      <c r="F207" s="34" t="s">
        <v>8</v>
      </c>
      <c r="G207" s="34" t="s">
        <v>5</v>
      </c>
    </row>
    <row r="208" spans="1:7" x14ac:dyDescent="0.3">
      <c r="A208" s="34">
        <v>207</v>
      </c>
      <c r="B208" s="34">
        <v>12</v>
      </c>
      <c r="C208" s="34">
        <v>1935</v>
      </c>
      <c r="D208" s="34">
        <v>43</v>
      </c>
      <c r="E208" s="34" t="s">
        <v>3</v>
      </c>
      <c r="F208" s="34" t="s">
        <v>4</v>
      </c>
      <c r="G208" s="34" t="s">
        <v>5</v>
      </c>
    </row>
    <row r="209" spans="1:7" x14ac:dyDescent="0.3">
      <c r="A209" s="34">
        <v>208</v>
      </c>
      <c r="B209" s="34">
        <v>12</v>
      </c>
      <c r="C209" s="34">
        <v>1424</v>
      </c>
      <c r="D209" s="34">
        <v>26</v>
      </c>
      <c r="E209" s="34" t="s">
        <v>3</v>
      </c>
      <c r="F209" s="34" t="s">
        <v>4</v>
      </c>
      <c r="G209" s="34" t="s">
        <v>5</v>
      </c>
    </row>
    <row r="210" spans="1:7" x14ac:dyDescent="0.3">
      <c r="A210" s="34">
        <v>209</v>
      </c>
      <c r="B210" s="34">
        <v>24</v>
      </c>
      <c r="C210" s="34">
        <v>6568</v>
      </c>
      <c r="D210" s="34">
        <v>21</v>
      </c>
      <c r="E210" s="34" t="s">
        <v>11</v>
      </c>
      <c r="F210" s="34" t="s">
        <v>4</v>
      </c>
      <c r="G210" s="34" t="s">
        <v>5</v>
      </c>
    </row>
    <row r="211" spans="1:7" x14ac:dyDescent="0.3">
      <c r="A211" s="34">
        <v>210</v>
      </c>
      <c r="B211" s="34">
        <v>12</v>
      </c>
      <c r="C211" s="34">
        <v>1413</v>
      </c>
      <c r="D211" s="34">
        <v>55</v>
      </c>
      <c r="E211" s="34" t="s">
        <v>3</v>
      </c>
      <c r="F211" s="34" t="s">
        <v>4</v>
      </c>
      <c r="G211" s="34" t="s">
        <v>5</v>
      </c>
    </row>
    <row r="212" spans="1:7" x14ac:dyDescent="0.3">
      <c r="A212" s="34">
        <v>211</v>
      </c>
      <c r="B212" s="34">
        <v>9</v>
      </c>
      <c r="C212" s="34">
        <v>3074</v>
      </c>
      <c r="D212" s="34">
        <v>33</v>
      </c>
      <c r="E212" s="34" t="s">
        <v>3</v>
      </c>
      <c r="F212" s="34" t="s">
        <v>4</v>
      </c>
      <c r="G212" s="34" t="s">
        <v>5</v>
      </c>
    </row>
    <row r="213" spans="1:7" x14ac:dyDescent="0.3">
      <c r="A213" s="34">
        <v>212</v>
      </c>
      <c r="B213" s="34">
        <v>36</v>
      </c>
      <c r="C213" s="34">
        <v>3835</v>
      </c>
      <c r="D213" s="34">
        <v>45</v>
      </c>
      <c r="E213" s="34" t="s">
        <v>6</v>
      </c>
      <c r="F213" s="34" t="s">
        <v>4</v>
      </c>
      <c r="G213" s="34" t="s">
        <v>5</v>
      </c>
    </row>
    <row r="214" spans="1:7" x14ac:dyDescent="0.3">
      <c r="A214" s="34">
        <v>213</v>
      </c>
      <c r="B214" s="34">
        <v>27</v>
      </c>
      <c r="C214" s="34">
        <v>5293</v>
      </c>
      <c r="D214" s="34">
        <v>50</v>
      </c>
      <c r="E214" s="34" t="s">
        <v>3</v>
      </c>
      <c r="F214" s="34" t="s">
        <v>4</v>
      </c>
      <c r="G214" s="34" t="s">
        <v>7</v>
      </c>
    </row>
    <row r="215" spans="1:7" x14ac:dyDescent="0.3">
      <c r="A215" s="34">
        <v>214</v>
      </c>
      <c r="B215" s="34">
        <v>30</v>
      </c>
      <c r="C215" s="34">
        <v>1908</v>
      </c>
      <c r="D215" s="34">
        <v>66</v>
      </c>
      <c r="E215" s="34" t="s">
        <v>3</v>
      </c>
      <c r="F215" s="34" t="s">
        <v>4</v>
      </c>
      <c r="G215" s="34" t="s">
        <v>7</v>
      </c>
    </row>
    <row r="216" spans="1:7" x14ac:dyDescent="0.3">
      <c r="A216" s="34">
        <v>215</v>
      </c>
      <c r="B216" s="34">
        <v>36</v>
      </c>
      <c r="C216" s="34">
        <v>3342</v>
      </c>
      <c r="D216" s="34">
        <v>51</v>
      </c>
      <c r="E216" s="34" t="s">
        <v>3</v>
      </c>
      <c r="F216" s="34" t="s">
        <v>4</v>
      </c>
      <c r="G216" s="34" t="s">
        <v>5</v>
      </c>
    </row>
    <row r="217" spans="1:7" x14ac:dyDescent="0.3">
      <c r="A217" s="34">
        <v>216</v>
      </c>
      <c r="B217" s="34">
        <v>6</v>
      </c>
      <c r="C217" s="34">
        <v>932</v>
      </c>
      <c r="D217" s="34">
        <v>39</v>
      </c>
      <c r="E217" s="34" t="s">
        <v>6</v>
      </c>
      <c r="F217" s="34" t="s">
        <v>4</v>
      </c>
      <c r="G217" s="34" t="s">
        <v>5</v>
      </c>
    </row>
    <row r="218" spans="1:7" x14ac:dyDescent="0.3">
      <c r="A218" s="34">
        <v>217</v>
      </c>
      <c r="B218" s="34">
        <v>18</v>
      </c>
      <c r="C218" s="34">
        <v>3104</v>
      </c>
      <c r="D218" s="34">
        <v>31</v>
      </c>
      <c r="E218" s="34" t="s">
        <v>3</v>
      </c>
      <c r="F218" s="34" t="s">
        <v>4</v>
      </c>
      <c r="G218" s="34" t="s">
        <v>5</v>
      </c>
    </row>
    <row r="219" spans="1:7" x14ac:dyDescent="0.3">
      <c r="A219" s="34">
        <v>218</v>
      </c>
      <c r="B219" s="34">
        <v>36</v>
      </c>
      <c r="C219" s="34">
        <v>3913</v>
      </c>
      <c r="D219" s="34">
        <v>23</v>
      </c>
      <c r="E219" s="34" t="s">
        <v>3</v>
      </c>
      <c r="F219" s="34" t="s">
        <v>4</v>
      </c>
      <c r="G219" s="34" t="s">
        <v>5</v>
      </c>
    </row>
    <row r="220" spans="1:7" x14ac:dyDescent="0.3">
      <c r="A220" s="34">
        <v>219</v>
      </c>
      <c r="B220" s="34">
        <v>24</v>
      </c>
      <c r="C220" s="34">
        <v>3021</v>
      </c>
      <c r="D220" s="34">
        <v>24</v>
      </c>
      <c r="E220" s="34" t="s">
        <v>10</v>
      </c>
      <c r="F220" s="34" t="s">
        <v>9</v>
      </c>
      <c r="G220" s="34" t="s">
        <v>5</v>
      </c>
    </row>
    <row r="221" spans="1:7" x14ac:dyDescent="0.3">
      <c r="A221" s="34">
        <v>220</v>
      </c>
      <c r="B221" s="34">
        <v>10</v>
      </c>
      <c r="C221" s="34">
        <v>1364</v>
      </c>
      <c r="D221" s="34">
        <v>64</v>
      </c>
      <c r="E221" s="34" t="s">
        <v>6</v>
      </c>
      <c r="F221" s="34" t="s">
        <v>4</v>
      </c>
      <c r="G221" s="34" t="s">
        <v>5</v>
      </c>
    </row>
    <row r="222" spans="1:7" x14ac:dyDescent="0.3">
      <c r="A222" s="34">
        <v>221</v>
      </c>
      <c r="B222" s="34">
        <v>12</v>
      </c>
      <c r="C222" s="34">
        <v>625</v>
      </c>
      <c r="D222" s="34">
        <v>26</v>
      </c>
      <c r="E222" s="34" t="s">
        <v>11</v>
      </c>
      <c r="F222" s="34" t="s">
        <v>4</v>
      </c>
      <c r="G222" s="34" t="s">
        <v>5</v>
      </c>
    </row>
    <row r="223" spans="1:7" x14ac:dyDescent="0.3">
      <c r="A223" s="34">
        <v>222</v>
      </c>
      <c r="B223" s="34">
        <v>12</v>
      </c>
      <c r="C223" s="34">
        <v>1200</v>
      </c>
      <c r="D223" s="34">
        <v>23</v>
      </c>
      <c r="E223" s="34" t="s">
        <v>6</v>
      </c>
      <c r="F223" s="34" t="s">
        <v>9</v>
      </c>
      <c r="G223" s="34" t="s">
        <v>5</v>
      </c>
    </row>
    <row r="224" spans="1:7" x14ac:dyDescent="0.3">
      <c r="A224" s="34">
        <v>223</v>
      </c>
      <c r="B224" s="34">
        <v>12</v>
      </c>
      <c r="C224" s="34">
        <v>707</v>
      </c>
      <c r="D224" s="34">
        <v>30</v>
      </c>
      <c r="E224" s="34" t="s">
        <v>3</v>
      </c>
      <c r="F224" s="34" t="s">
        <v>4</v>
      </c>
      <c r="G224" s="34" t="s">
        <v>5</v>
      </c>
    </row>
    <row r="225" spans="1:7" x14ac:dyDescent="0.3">
      <c r="A225" s="34">
        <v>224</v>
      </c>
      <c r="B225" s="34">
        <v>24</v>
      </c>
      <c r="C225" s="34">
        <v>2978</v>
      </c>
      <c r="D225" s="34">
        <v>32</v>
      </c>
      <c r="E225" s="34" t="s">
        <v>3</v>
      </c>
      <c r="F225" s="34" t="s">
        <v>4</v>
      </c>
      <c r="G225" s="34" t="s">
        <v>5</v>
      </c>
    </row>
    <row r="226" spans="1:7" x14ac:dyDescent="0.3">
      <c r="A226" s="34">
        <v>225</v>
      </c>
      <c r="B226" s="34">
        <v>15</v>
      </c>
      <c r="C226" s="34">
        <v>4657</v>
      </c>
      <c r="D226" s="34">
        <v>30</v>
      </c>
      <c r="E226" s="34" t="s">
        <v>3</v>
      </c>
      <c r="F226" s="34" t="s">
        <v>4</v>
      </c>
      <c r="G226" s="34" t="s">
        <v>5</v>
      </c>
    </row>
    <row r="227" spans="1:7" x14ac:dyDescent="0.3">
      <c r="A227" s="34">
        <v>226</v>
      </c>
      <c r="B227" s="34">
        <v>36</v>
      </c>
      <c r="C227" s="34">
        <v>2613</v>
      </c>
      <c r="D227" s="34">
        <v>27</v>
      </c>
      <c r="E227" s="34" t="s">
        <v>3</v>
      </c>
      <c r="F227" s="34" t="s">
        <v>4</v>
      </c>
      <c r="G227" s="34" t="s">
        <v>5</v>
      </c>
    </row>
    <row r="228" spans="1:7" x14ac:dyDescent="0.3">
      <c r="A228" s="34">
        <v>227</v>
      </c>
      <c r="B228" s="34">
        <v>48</v>
      </c>
      <c r="C228" s="34">
        <v>10961</v>
      </c>
      <c r="D228" s="34">
        <v>27</v>
      </c>
      <c r="E228" s="34" t="s">
        <v>3</v>
      </c>
      <c r="F228" s="34" t="s">
        <v>4</v>
      </c>
      <c r="G228" s="34" t="s">
        <v>7</v>
      </c>
    </row>
    <row r="229" spans="1:7" x14ac:dyDescent="0.3">
      <c r="A229" s="34">
        <v>228</v>
      </c>
      <c r="B229" s="34">
        <v>12</v>
      </c>
      <c r="C229" s="34">
        <v>7865</v>
      </c>
      <c r="D229" s="34">
        <v>53</v>
      </c>
      <c r="E229" s="34" t="s">
        <v>3</v>
      </c>
      <c r="F229" s="34" t="s">
        <v>8</v>
      </c>
      <c r="G229" s="34" t="s">
        <v>7</v>
      </c>
    </row>
    <row r="230" spans="1:7" x14ac:dyDescent="0.3">
      <c r="A230" s="34">
        <v>229</v>
      </c>
      <c r="B230" s="34">
        <v>9</v>
      </c>
      <c r="C230" s="34">
        <v>1478</v>
      </c>
      <c r="D230" s="34">
        <v>22</v>
      </c>
      <c r="E230" s="34" t="s">
        <v>3</v>
      </c>
      <c r="F230" s="34" t="s">
        <v>4</v>
      </c>
      <c r="G230" s="34" t="s">
        <v>7</v>
      </c>
    </row>
    <row r="231" spans="1:7" x14ac:dyDescent="0.3">
      <c r="A231" s="34">
        <v>230</v>
      </c>
      <c r="B231" s="34">
        <v>24</v>
      </c>
      <c r="C231" s="34">
        <v>3149</v>
      </c>
      <c r="D231" s="34">
        <v>22</v>
      </c>
      <c r="E231" s="34" t="s">
        <v>3</v>
      </c>
      <c r="F231" s="34" t="s">
        <v>8</v>
      </c>
      <c r="G231" s="34" t="s">
        <v>5</v>
      </c>
    </row>
    <row r="232" spans="1:7" x14ac:dyDescent="0.3">
      <c r="A232" s="34">
        <v>231</v>
      </c>
      <c r="B232" s="34">
        <v>36</v>
      </c>
      <c r="C232" s="34">
        <v>4210</v>
      </c>
      <c r="D232" s="34">
        <v>26</v>
      </c>
      <c r="E232" s="34" t="s">
        <v>3</v>
      </c>
      <c r="F232" s="34" t="s">
        <v>4</v>
      </c>
      <c r="G232" s="34" t="s">
        <v>7</v>
      </c>
    </row>
    <row r="233" spans="1:7" x14ac:dyDescent="0.3">
      <c r="A233" s="34">
        <v>232</v>
      </c>
      <c r="B233" s="34">
        <v>9</v>
      </c>
      <c r="C233" s="34">
        <v>2507</v>
      </c>
      <c r="D233" s="34">
        <v>51</v>
      </c>
      <c r="E233" s="34" t="s">
        <v>3</v>
      </c>
      <c r="F233" s="34" t="s">
        <v>8</v>
      </c>
      <c r="G233" s="34" t="s">
        <v>5</v>
      </c>
    </row>
    <row r="234" spans="1:7" x14ac:dyDescent="0.3">
      <c r="A234" s="34">
        <v>233</v>
      </c>
      <c r="B234" s="34">
        <v>12</v>
      </c>
      <c r="C234" s="34">
        <v>2141</v>
      </c>
      <c r="D234" s="34">
        <v>35</v>
      </c>
      <c r="E234" s="34" t="s">
        <v>3</v>
      </c>
      <c r="F234" s="34" t="s">
        <v>4</v>
      </c>
      <c r="G234" s="34" t="s">
        <v>5</v>
      </c>
    </row>
    <row r="235" spans="1:7" x14ac:dyDescent="0.3">
      <c r="A235" s="34">
        <v>234</v>
      </c>
      <c r="B235" s="34">
        <v>18</v>
      </c>
      <c r="C235" s="34">
        <v>866</v>
      </c>
      <c r="D235" s="34">
        <v>25</v>
      </c>
      <c r="E235" s="34" t="s">
        <v>11</v>
      </c>
      <c r="F235" s="34" t="s">
        <v>4</v>
      </c>
      <c r="G235" s="34" t="s">
        <v>5</v>
      </c>
    </row>
    <row r="236" spans="1:7" x14ac:dyDescent="0.3">
      <c r="A236" s="34">
        <v>235</v>
      </c>
      <c r="B236" s="34">
        <v>4</v>
      </c>
      <c r="C236" s="34">
        <v>1544</v>
      </c>
      <c r="D236" s="34">
        <v>42</v>
      </c>
      <c r="E236" s="34" t="s">
        <v>3</v>
      </c>
      <c r="F236" s="34" t="s">
        <v>4</v>
      </c>
      <c r="G236" s="34" t="s">
        <v>5</v>
      </c>
    </row>
    <row r="237" spans="1:7" x14ac:dyDescent="0.3">
      <c r="A237" s="34">
        <v>236</v>
      </c>
      <c r="B237" s="34">
        <v>24</v>
      </c>
      <c r="C237" s="34">
        <v>1823</v>
      </c>
      <c r="D237" s="34">
        <v>30</v>
      </c>
      <c r="E237" s="34" t="s">
        <v>3</v>
      </c>
      <c r="F237" s="34" t="s">
        <v>4</v>
      </c>
      <c r="G237" s="34" t="s">
        <v>7</v>
      </c>
    </row>
    <row r="238" spans="1:7" x14ac:dyDescent="0.3">
      <c r="A238" s="34">
        <v>237</v>
      </c>
      <c r="B238" s="34">
        <v>6</v>
      </c>
      <c r="C238" s="34">
        <v>14555</v>
      </c>
      <c r="D238" s="34">
        <v>23</v>
      </c>
      <c r="E238" s="34" t="s">
        <v>3</v>
      </c>
      <c r="F238" s="34" t="s">
        <v>4</v>
      </c>
      <c r="G238" s="34" t="s">
        <v>7</v>
      </c>
    </row>
    <row r="239" spans="1:7" x14ac:dyDescent="0.3">
      <c r="A239" s="34">
        <v>238</v>
      </c>
      <c r="B239" s="34">
        <v>21</v>
      </c>
      <c r="C239" s="34">
        <v>2767</v>
      </c>
      <c r="D239" s="34">
        <v>61</v>
      </c>
      <c r="E239" s="34" t="s">
        <v>10</v>
      </c>
      <c r="F239" s="34" t="s">
        <v>9</v>
      </c>
      <c r="G239" s="34" t="s">
        <v>7</v>
      </c>
    </row>
    <row r="240" spans="1:7" x14ac:dyDescent="0.3">
      <c r="A240" s="34">
        <v>239</v>
      </c>
      <c r="B240" s="34">
        <v>12</v>
      </c>
      <c r="C240" s="34">
        <v>1291</v>
      </c>
      <c r="D240" s="34">
        <v>35</v>
      </c>
      <c r="E240" s="34" t="s">
        <v>6</v>
      </c>
      <c r="F240" s="34" t="s">
        <v>4</v>
      </c>
      <c r="G240" s="34" t="s">
        <v>5</v>
      </c>
    </row>
    <row r="241" spans="1:7" x14ac:dyDescent="0.3">
      <c r="A241" s="34">
        <v>240</v>
      </c>
      <c r="B241" s="34">
        <v>30</v>
      </c>
      <c r="C241" s="34">
        <v>2522</v>
      </c>
      <c r="D241" s="34">
        <v>39</v>
      </c>
      <c r="E241" s="34" t="s">
        <v>3</v>
      </c>
      <c r="F241" s="34" t="s">
        <v>4</v>
      </c>
      <c r="G241" s="34" t="s">
        <v>5</v>
      </c>
    </row>
    <row r="242" spans="1:7" x14ac:dyDescent="0.3">
      <c r="A242" s="34">
        <v>241</v>
      </c>
      <c r="B242" s="34">
        <v>24</v>
      </c>
      <c r="C242" s="34">
        <v>915</v>
      </c>
      <c r="D242" s="34">
        <v>29</v>
      </c>
      <c r="E242" s="34" t="s">
        <v>6</v>
      </c>
      <c r="F242" s="34" t="s">
        <v>4</v>
      </c>
      <c r="G242" s="34" t="s">
        <v>7</v>
      </c>
    </row>
    <row r="243" spans="1:7" x14ac:dyDescent="0.3">
      <c r="A243" s="34">
        <v>242</v>
      </c>
      <c r="B243" s="34">
        <v>6</v>
      </c>
      <c r="C243" s="34">
        <v>1595</v>
      </c>
      <c r="D243" s="34">
        <v>51</v>
      </c>
      <c r="E243" s="34" t="s">
        <v>3</v>
      </c>
      <c r="F243" s="34" t="s">
        <v>4</v>
      </c>
      <c r="G243" s="34" t="s">
        <v>5</v>
      </c>
    </row>
    <row r="244" spans="1:7" x14ac:dyDescent="0.3">
      <c r="A244" s="34">
        <v>243</v>
      </c>
      <c r="B244" s="34">
        <v>48</v>
      </c>
      <c r="C244" s="34">
        <v>4605</v>
      </c>
      <c r="D244" s="34">
        <v>24</v>
      </c>
      <c r="E244" s="34" t="s">
        <v>3</v>
      </c>
      <c r="F244" s="34" t="s">
        <v>8</v>
      </c>
      <c r="G244" s="34" t="s">
        <v>7</v>
      </c>
    </row>
    <row r="245" spans="1:7" x14ac:dyDescent="0.3">
      <c r="A245" s="34">
        <v>244</v>
      </c>
      <c r="B245" s="34">
        <v>12</v>
      </c>
      <c r="C245" s="34">
        <v>1185</v>
      </c>
      <c r="D245" s="34">
        <v>27</v>
      </c>
      <c r="E245" s="34" t="s">
        <v>6</v>
      </c>
      <c r="F245" s="34" t="s">
        <v>4</v>
      </c>
      <c r="G245" s="34" t="s">
        <v>5</v>
      </c>
    </row>
    <row r="246" spans="1:7" x14ac:dyDescent="0.3">
      <c r="A246" s="34">
        <v>245</v>
      </c>
      <c r="B246" s="34">
        <v>12</v>
      </c>
      <c r="C246" s="34">
        <v>3447</v>
      </c>
      <c r="D246" s="34">
        <v>35</v>
      </c>
      <c r="E246" s="34" t="s">
        <v>6</v>
      </c>
      <c r="F246" s="34" t="s">
        <v>4</v>
      </c>
      <c r="G246" s="34" t="s">
        <v>5</v>
      </c>
    </row>
    <row r="247" spans="1:7" x14ac:dyDescent="0.3">
      <c r="A247" s="34">
        <v>246</v>
      </c>
      <c r="B247" s="34">
        <v>24</v>
      </c>
      <c r="C247" s="34">
        <v>1258</v>
      </c>
      <c r="D247" s="34">
        <v>25</v>
      </c>
      <c r="E247" s="34" t="s">
        <v>3</v>
      </c>
      <c r="F247" s="34" t="s">
        <v>4</v>
      </c>
      <c r="G247" s="34" t="s">
        <v>5</v>
      </c>
    </row>
    <row r="248" spans="1:7" x14ac:dyDescent="0.3">
      <c r="A248" s="34">
        <v>247</v>
      </c>
      <c r="B248" s="34">
        <v>12</v>
      </c>
      <c r="C248" s="34">
        <v>717</v>
      </c>
      <c r="D248" s="34">
        <v>52</v>
      </c>
      <c r="E248" s="34" t="s">
        <v>3</v>
      </c>
      <c r="F248" s="34" t="s">
        <v>4</v>
      </c>
      <c r="G248" s="34" t="s">
        <v>5</v>
      </c>
    </row>
    <row r="249" spans="1:7" x14ac:dyDescent="0.3">
      <c r="A249" s="34">
        <v>248</v>
      </c>
      <c r="B249" s="34">
        <v>6</v>
      </c>
      <c r="C249" s="34">
        <v>1204</v>
      </c>
      <c r="D249" s="34">
        <v>35</v>
      </c>
      <c r="E249" s="34" t="s">
        <v>3</v>
      </c>
      <c r="F249" s="34" t="s">
        <v>9</v>
      </c>
      <c r="G249" s="34" t="s">
        <v>5</v>
      </c>
    </row>
    <row r="250" spans="1:7" x14ac:dyDescent="0.3">
      <c r="A250" s="34">
        <v>249</v>
      </c>
      <c r="B250" s="34">
        <v>24</v>
      </c>
      <c r="C250" s="34">
        <v>1925</v>
      </c>
      <c r="D250" s="34">
        <v>26</v>
      </c>
      <c r="E250" s="34" t="s">
        <v>3</v>
      </c>
      <c r="F250" s="34" t="s">
        <v>4</v>
      </c>
      <c r="G250" s="34" t="s">
        <v>5</v>
      </c>
    </row>
    <row r="251" spans="1:7" x14ac:dyDescent="0.3">
      <c r="A251" s="34">
        <v>250</v>
      </c>
      <c r="B251" s="34">
        <v>18</v>
      </c>
      <c r="C251" s="34">
        <v>433</v>
      </c>
      <c r="D251" s="34">
        <v>22</v>
      </c>
      <c r="E251" s="34" t="s">
        <v>6</v>
      </c>
      <c r="F251" s="34" t="s">
        <v>9</v>
      </c>
      <c r="G251" s="34" t="s">
        <v>7</v>
      </c>
    </row>
    <row r="252" spans="1:7" x14ac:dyDescent="0.3">
      <c r="A252" s="34">
        <v>251</v>
      </c>
      <c r="B252" s="34">
        <v>6</v>
      </c>
      <c r="C252" s="34">
        <v>666</v>
      </c>
      <c r="D252" s="34">
        <v>39</v>
      </c>
      <c r="E252" s="34" t="s">
        <v>6</v>
      </c>
      <c r="F252" s="34" t="s">
        <v>4</v>
      </c>
      <c r="G252" s="34" t="s">
        <v>5</v>
      </c>
    </row>
    <row r="253" spans="1:7" x14ac:dyDescent="0.3">
      <c r="A253" s="34">
        <v>252</v>
      </c>
      <c r="B253" s="34">
        <v>12</v>
      </c>
      <c r="C253" s="34">
        <v>2251</v>
      </c>
      <c r="D253" s="34">
        <v>46</v>
      </c>
      <c r="E253" s="34" t="s">
        <v>6</v>
      </c>
      <c r="F253" s="34" t="s">
        <v>4</v>
      </c>
      <c r="G253" s="34" t="s">
        <v>5</v>
      </c>
    </row>
    <row r="254" spans="1:7" x14ac:dyDescent="0.3">
      <c r="A254" s="34">
        <v>253</v>
      </c>
      <c r="B254" s="34">
        <v>30</v>
      </c>
      <c r="C254" s="34">
        <v>2150</v>
      </c>
      <c r="D254" s="34">
        <v>24</v>
      </c>
      <c r="E254" s="34" t="s">
        <v>6</v>
      </c>
      <c r="F254" s="34" t="s">
        <v>4</v>
      </c>
      <c r="G254" s="34" t="s">
        <v>7</v>
      </c>
    </row>
    <row r="255" spans="1:7" x14ac:dyDescent="0.3">
      <c r="A255" s="34">
        <v>254</v>
      </c>
      <c r="B255" s="34">
        <v>24</v>
      </c>
      <c r="C255" s="34">
        <v>4151</v>
      </c>
      <c r="D255" s="34">
        <v>35</v>
      </c>
      <c r="E255" s="34" t="s">
        <v>3</v>
      </c>
      <c r="F255" s="34" t="s">
        <v>4</v>
      </c>
      <c r="G255" s="34" t="s">
        <v>5</v>
      </c>
    </row>
    <row r="256" spans="1:7" x14ac:dyDescent="0.3">
      <c r="A256" s="34">
        <v>255</v>
      </c>
      <c r="B256" s="34">
        <v>9</v>
      </c>
      <c r="C256" s="34">
        <v>2030</v>
      </c>
      <c r="D256" s="34">
        <v>24</v>
      </c>
      <c r="E256" s="34" t="s">
        <v>3</v>
      </c>
      <c r="F256" s="34" t="s">
        <v>4</v>
      </c>
      <c r="G256" s="34" t="s">
        <v>5</v>
      </c>
    </row>
    <row r="257" spans="1:7" x14ac:dyDescent="0.3">
      <c r="A257" s="34">
        <v>256</v>
      </c>
      <c r="B257" s="34">
        <v>60</v>
      </c>
      <c r="C257" s="34">
        <v>7418</v>
      </c>
      <c r="D257" s="34">
        <v>27</v>
      </c>
      <c r="E257" s="34" t="s">
        <v>3</v>
      </c>
      <c r="F257" s="34" t="s">
        <v>4</v>
      </c>
      <c r="G257" s="34" t="s">
        <v>5</v>
      </c>
    </row>
    <row r="258" spans="1:7" x14ac:dyDescent="0.3">
      <c r="A258" s="34">
        <v>257</v>
      </c>
      <c r="B258" s="34">
        <v>24</v>
      </c>
      <c r="C258" s="34">
        <v>2684</v>
      </c>
      <c r="D258" s="34">
        <v>35</v>
      </c>
      <c r="E258" s="34" t="s">
        <v>3</v>
      </c>
      <c r="F258" s="34" t="s">
        <v>4</v>
      </c>
      <c r="G258" s="34" t="s">
        <v>5</v>
      </c>
    </row>
    <row r="259" spans="1:7" x14ac:dyDescent="0.3">
      <c r="A259" s="34">
        <v>258</v>
      </c>
      <c r="B259" s="34">
        <v>12</v>
      </c>
      <c r="C259" s="34">
        <v>2149</v>
      </c>
      <c r="D259" s="34">
        <v>29</v>
      </c>
      <c r="E259" s="34" t="s">
        <v>10</v>
      </c>
      <c r="F259" s="34" t="s">
        <v>8</v>
      </c>
      <c r="G259" s="34" t="s">
        <v>7</v>
      </c>
    </row>
    <row r="260" spans="1:7" x14ac:dyDescent="0.3">
      <c r="A260" s="34">
        <v>259</v>
      </c>
      <c r="B260" s="34">
        <v>15</v>
      </c>
      <c r="C260" s="34">
        <v>3812</v>
      </c>
      <c r="D260" s="34">
        <v>23</v>
      </c>
      <c r="E260" s="34" t="s">
        <v>6</v>
      </c>
      <c r="F260" s="34" t="s">
        <v>4</v>
      </c>
      <c r="G260" s="34" t="s">
        <v>5</v>
      </c>
    </row>
    <row r="261" spans="1:7" x14ac:dyDescent="0.3">
      <c r="A261" s="34">
        <v>260</v>
      </c>
      <c r="B261" s="34">
        <v>11</v>
      </c>
      <c r="C261" s="34">
        <v>1154</v>
      </c>
      <c r="D261" s="34">
        <v>57</v>
      </c>
      <c r="E261" s="34" t="s">
        <v>6</v>
      </c>
      <c r="F261" s="34" t="s">
        <v>4</v>
      </c>
      <c r="G261" s="34" t="s">
        <v>5</v>
      </c>
    </row>
    <row r="262" spans="1:7" x14ac:dyDescent="0.3">
      <c r="A262" s="34">
        <v>261</v>
      </c>
      <c r="B262" s="34">
        <v>12</v>
      </c>
      <c r="C262" s="34">
        <v>1657</v>
      </c>
      <c r="D262" s="34">
        <v>27</v>
      </c>
      <c r="E262" s="34" t="s">
        <v>3</v>
      </c>
      <c r="F262" s="34" t="s">
        <v>4</v>
      </c>
      <c r="G262" s="34" t="s">
        <v>5</v>
      </c>
    </row>
    <row r="263" spans="1:7" x14ac:dyDescent="0.3">
      <c r="A263" s="34">
        <v>262</v>
      </c>
      <c r="B263" s="34">
        <v>24</v>
      </c>
      <c r="C263" s="34">
        <v>1603</v>
      </c>
      <c r="D263" s="34">
        <v>55</v>
      </c>
      <c r="E263" s="34" t="s">
        <v>6</v>
      </c>
      <c r="F263" s="34" t="s">
        <v>4</v>
      </c>
      <c r="G263" s="34" t="s">
        <v>5</v>
      </c>
    </row>
    <row r="264" spans="1:7" x14ac:dyDescent="0.3">
      <c r="A264" s="34">
        <v>263</v>
      </c>
      <c r="B264" s="34">
        <v>18</v>
      </c>
      <c r="C264" s="34">
        <v>5302</v>
      </c>
      <c r="D264" s="34">
        <v>36</v>
      </c>
      <c r="E264" s="34" t="s">
        <v>3</v>
      </c>
      <c r="F264" s="34" t="s">
        <v>8</v>
      </c>
      <c r="G264" s="34" t="s">
        <v>5</v>
      </c>
    </row>
    <row r="265" spans="1:7" x14ac:dyDescent="0.3">
      <c r="A265" s="34">
        <v>264</v>
      </c>
      <c r="B265" s="34">
        <v>12</v>
      </c>
      <c r="C265" s="34">
        <v>2748</v>
      </c>
      <c r="D265" s="34">
        <v>57</v>
      </c>
      <c r="E265" s="34" t="s">
        <v>6</v>
      </c>
      <c r="F265" s="34" t="s">
        <v>8</v>
      </c>
      <c r="G265" s="34" t="s">
        <v>5</v>
      </c>
    </row>
    <row r="266" spans="1:7" x14ac:dyDescent="0.3">
      <c r="A266" s="34">
        <v>265</v>
      </c>
      <c r="B266" s="34">
        <v>10</v>
      </c>
      <c r="C266" s="34">
        <v>1231</v>
      </c>
      <c r="D266" s="34">
        <v>32</v>
      </c>
      <c r="E266" s="34" t="s">
        <v>3</v>
      </c>
      <c r="F266" s="34" t="s">
        <v>4</v>
      </c>
      <c r="G266" s="34" t="s">
        <v>5</v>
      </c>
    </row>
    <row r="267" spans="1:7" x14ac:dyDescent="0.3">
      <c r="A267" s="34">
        <v>266</v>
      </c>
      <c r="B267" s="34">
        <v>15</v>
      </c>
      <c r="C267" s="34">
        <v>802</v>
      </c>
      <c r="D267" s="34">
        <v>37</v>
      </c>
      <c r="E267" s="34" t="s">
        <v>3</v>
      </c>
      <c r="F267" s="34" t="s">
        <v>4</v>
      </c>
      <c r="G267" s="34" t="s">
        <v>7</v>
      </c>
    </row>
    <row r="268" spans="1:7" x14ac:dyDescent="0.3">
      <c r="A268" s="34">
        <v>267</v>
      </c>
      <c r="B268" s="34">
        <v>36</v>
      </c>
      <c r="C268" s="34">
        <v>6304</v>
      </c>
      <c r="D268" s="34">
        <v>36</v>
      </c>
      <c r="E268" s="34" t="s">
        <v>3</v>
      </c>
      <c r="F268" s="34" t="s">
        <v>4</v>
      </c>
      <c r="G268" s="34" t="s">
        <v>5</v>
      </c>
    </row>
    <row r="269" spans="1:7" x14ac:dyDescent="0.3">
      <c r="A269" s="34">
        <v>268</v>
      </c>
      <c r="B269" s="34">
        <v>24</v>
      </c>
      <c r="C269" s="34">
        <v>1533</v>
      </c>
      <c r="D269" s="34">
        <v>38</v>
      </c>
      <c r="E269" s="34" t="s">
        <v>6</v>
      </c>
      <c r="F269" s="34" t="s">
        <v>4</v>
      </c>
      <c r="G269" s="34" t="s">
        <v>5</v>
      </c>
    </row>
    <row r="270" spans="1:7" x14ac:dyDescent="0.3">
      <c r="A270" s="34">
        <v>269</v>
      </c>
      <c r="B270" s="34">
        <v>14</v>
      </c>
      <c r="C270" s="34">
        <v>8978</v>
      </c>
      <c r="D270" s="34">
        <v>45</v>
      </c>
      <c r="E270" s="34" t="s">
        <v>10</v>
      </c>
      <c r="F270" s="34" t="s">
        <v>4</v>
      </c>
      <c r="G270" s="34" t="s">
        <v>7</v>
      </c>
    </row>
    <row r="271" spans="1:7" x14ac:dyDescent="0.3">
      <c r="A271" s="34">
        <v>270</v>
      </c>
      <c r="B271" s="34">
        <v>24</v>
      </c>
      <c r="C271" s="34">
        <v>999</v>
      </c>
      <c r="D271" s="34">
        <v>25</v>
      </c>
      <c r="E271" s="34" t="s">
        <v>3</v>
      </c>
      <c r="F271" s="34" t="s">
        <v>4</v>
      </c>
      <c r="G271" s="34" t="s">
        <v>5</v>
      </c>
    </row>
    <row r="272" spans="1:7" x14ac:dyDescent="0.3">
      <c r="A272" s="34">
        <v>271</v>
      </c>
      <c r="B272" s="34">
        <v>18</v>
      </c>
      <c r="C272" s="34">
        <v>2662</v>
      </c>
      <c r="D272" s="34">
        <v>32</v>
      </c>
      <c r="E272" s="34" t="s">
        <v>3</v>
      </c>
      <c r="F272" s="34" t="s">
        <v>4</v>
      </c>
      <c r="G272" s="34" t="s">
        <v>5</v>
      </c>
    </row>
    <row r="273" spans="1:7" x14ac:dyDescent="0.3">
      <c r="A273" s="34">
        <v>272</v>
      </c>
      <c r="B273" s="34">
        <v>12</v>
      </c>
      <c r="C273" s="34">
        <v>1402</v>
      </c>
      <c r="D273" s="34">
        <v>37</v>
      </c>
      <c r="E273" s="34" t="s">
        <v>6</v>
      </c>
      <c r="F273" s="34" t="s">
        <v>9</v>
      </c>
      <c r="G273" s="34" t="s">
        <v>5</v>
      </c>
    </row>
    <row r="274" spans="1:7" x14ac:dyDescent="0.3">
      <c r="A274" s="34">
        <v>273</v>
      </c>
      <c r="B274" s="34">
        <v>48</v>
      </c>
      <c r="C274" s="34">
        <v>12169</v>
      </c>
      <c r="D274" s="34">
        <v>36</v>
      </c>
      <c r="E274" s="34" t="s">
        <v>3</v>
      </c>
      <c r="F274" s="34" t="s">
        <v>8</v>
      </c>
      <c r="G274" s="34" t="s">
        <v>5</v>
      </c>
    </row>
    <row r="275" spans="1:7" x14ac:dyDescent="0.3">
      <c r="A275" s="34">
        <v>274</v>
      </c>
      <c r="B275" s="34">
        <v>48</v>
      </c>
      <c r="C275" s="34">
        <v>3060</v>
      </c>
      <c r="D275" s="34">
        <v>28</v>
      </c>
      <c r="E275" s="34" t="s">
        <v>3</v>
      </c>
      <c r="F275" s="34" t="s">
        <v>4</v>
      </c>
      <c r="G275" s="34" t="s">
        <v>7</v>
      </c>
    </row>
    <row r="276" spans="1:7" x14ac:dyDescent="0.3">
      <c r="A276" s="34">
        <v>275</v>
      </c>
      <c r="B276" s="34">
        <v>30</v>
      </c>
      <c r="C276" s="34">
        <v>11998</v>
      </c>
      <c r="D276" s="34">
        <v>34</v>
      </c>
      <c r="E276" s="34" t="s">
        <v>10</v>
      </c>
      <c r="F276" s="34" t="s">
        <v>4</v>
      </c>
      <c r="G276" s="34" t="s">
        <v>7</v>
      </c>
    </row>
    <row r="277" spans="1:7" x14ac:dyDescent="0.3">
      <c r="A277" s="34">
        <v>276</v>
      </c>
      <c r="B277" s="34">
        <v>9</v>
      </c>
      <c r="C277" s="34">
        <v>2697</v>
      </c>
      <c r="D277" s="34">
        <v>32</v>
      </c>
      <c r="E277" s="34" t="s">
        <v>3</v>
      </c>
      <c r="F277" s="34" t="s">
        <v>4</v>
      </c>
      <c r="G277" s="34" t="s">
        <v>5</v>
      </c>
    </row>
    <row r="278" spans="1:7" x14ac:dyDescent="0.3">
      <c r="A278" s="34">
        <v>277</v>
      </c>
      <c r="B278" s="34">
        <v>18</v>
      </c>
      <c r="C278" s="34">
        <v>2404</v>
      </c>
      <c r="D278" s="34">
        <v>26</v>
      </c>
      <c r="E278" s="34" t="s">
        <v>6</v>
      </c>
      <c r="F278" s="34" t="s">
        <v>4</v>
      </c>
      <c r="G278" s="34" t="s">
        <v>5</v>
      </c>
    </row>
    <row r="279" spans="1:7" x14ac:dyDescent="0.3">
      <c r="A279" s="34">
        <v>278</v>
      </c>
      <c r="B279" s="34">
        <v>12</v>
      </c>
      <c r="C279" s="34">
        <v>1262</v>
      </c>
      <c r="D279" s="34">
        <v>49</v>
      </c>
      <c r="E279" s="34" t="s">
        <v>10</v>
      </c>
      <c r="F279" s="34" t="s">
        <v>4</v>
      </c>
      <c r="G279" s="34" t="s">
        <v>5</v>
      </c>
    </row>
    <row r="280" spans="1:7" x14ac:dyDescent="0.3">
      <c r="A280" s="34">
        <v>279</v>
      </c>
      <c r="B280" s="34">
        <v>6</v>
      </c>
      <c r="C280" s="34">
        <v>4611</v>
      </c>
      <c r="D280" s="34">
        <v>32</v>
      </c>
      <c r="E280" s="34" t="s">
        <v>6</v>
      </c>
      <c r="F280" s="34" t="s">
        <v>4</v>
      </c>
      <c r="G280" s="34" t="s">
        <v>7</v>
      </c>
    </row>
    <row r="281" spans="1:7" x14ac:dyDescent="0.3">
      <c r="A281" s="34">
        <v>280</v>
      </c>
      <c r="B281" s="34">
        <v>24</v>
      </c>
      <c r="C281" s="34">
        <v>1901</v>
      </c>
      <c r="D281" s="34">
        <v>29</v>
      </c>
      <c r="E281" s="34" t="s">
        <v>3</v>
      </c>
      <c r="F281" s="34" t="s">
        <v>9</v>
      </c>
      <c r="G281" s="34" t="s">
        <v>5</v>
      </c>
    </row>
    <row r="282" spans="1:7" x14ac:dyDescent="0.3">
      <c r="A282" s="34">
        <v>281</v>
      </c>
      <c r="B282" s="34">
        <v>15</v>
      </c>
      <c r="C282" s="34">
        <v>3368</v>
      </c>
      <c r="D282" s="34">
        <v>23</v>
      </c>
      <c r="E282" s="34" t="s">
        <v>3</v>
      </c>
      <c r="F282" s="34" t="s">
        <v>9</v>
      </c>
      <c r="G282" s="34" t="s">
        <v>5</v>
      </c>
    </row>
    <row r="283" spans="1:7" x14ac:dyDescent="0.3">
      <c r="A283" s="34">
        <v>282</v>
      </c>
      <c r="B283" s="34">
        <v>12</v>
      </c>
      <c r="C283" s="34">
        <v>1574</v>
      </c>
      <c r="D283" s="34">
        <v>50</v>
      </c>
      <c r="E283" s="34" t="s">
        <v>3</v>
      </c>
      <c r="F283" s="34" t="s">
        <v>4</v>
      </c>
      <c r="G283" s="34" t="s">
        <v>5</v>
      </c>
    </row>
    <row r="284" spans="1:7" x14ac:dyDescent="0.3">
      <c r="A284" s="34">
        <v>283</v>
      </c>
      <c r="B284" s="34">
        <v>18</v>
      </c>
      <c r="C284" s="34">
        <v>1445</v>
      </c>
      <c r="D284" s="34">
        <v>49</v>
      </c>
      <c r="E284" s="34" t="s">
        <v>3</v>
      </c>
      <c r="F284" s="34" t="s">
        <v>4</v>
      </c>
      <c r="G284" s="34" t="s">
        <v>5</v>
      </c>
    </row>
    <row r="285" spans="1:7" x14ac:dyDescent="0.3">
      <c r="A285" s="34">
        <v>284</v>
      </c>
      <c r="B285" s="34">
        <v>15</v>
      </c>
      <c r="C285" s="34">
        <v>1520</v>
      </c>
      <c r="D285" s="34">
        <v>63</v>
      </c>
      <c r="E285" s="34" t="s">
        <v>3</v>
      </c>
      <c r="F285" s="34" t="s">
        <v>4</v>
      </c>
      <c r="G285" s="34" t="s">
        <v>5</v>
      </c>
    </row>
    <row r="286" spans="1:7" x14ac:dyDescent="0.3">
      <c r="A286" s="34">
        <v>285</v>
      </c>
      <c r="B286" s="34">
        <v>24</v>
      </c>
      <c r="C286" s="34">
        <v>3878</v>
      </c>
      <c r="D286" s="34">
        <v>37</v>
      </c>
      <c r="E286" s="34" t="s">
        <v>10</v>
      </c>
      <c r="F286" s="34" t="s">
        <v>4</v>
      </c>
      <c r="G286" s="34" t="s">
        <v>5</v>
      </c>
    </row>
    <row r="287" spans="1:7" x14ac:dyDescent="0.3">
      <c r="A287" s="34">
        <v>286</v>
      </c>
      <c r="B287" s="34">
        <v>47</v>
      </c>
      <c r="C287" s="34">
        <v>10722</v>
      </c>
      <c r="D287" s="34">
        <v>35</v>
      </c>
      <c r="E287" s="34" t="s">
        <v>6</v>
      </c>
      <c r="F287" s="34" t="s">
        <v>4</v>
      </c>
      <c r="G287" s="34" t="s">
        <v>5</v>
      </c>
    </row>
    <row r="288" spans="1:7" x14ac:dyDescent="0.3">
      <c r="A288" s="34">
        <v>287</v>
      </c>
      <c r="B288" s="34">
        <v>48</v>
      </c>
      <c r="C288" s="34">
        <v>4788</v>
      </c>
      <c r="D288" s="34">
        <v>26</v>
      </c>
      <c r="E288" s="34" t="s">
        <v>3</v>
      </c>
      <c r="F288" s="34" t="s">
        <v>4</v>
      </c>
      <c r="G288" s="34" t="s">
        <v>5</v>
      </c>
    </row>
    <row r="289" spans="1:7" x14ac:dyDescent="0.3">
      <c r="A289" s="34">
        <v>288</v>
      </c>
      <c r="B289" s="34">
        <v>48</v>
      </c>
      <c r="C289" s="34">
        <v>7582</v>
      </c>
      <c r="D289" s="34">
        <v>31</v>
      </c>
      <c r="E289" s="34" t="s">
        <v>3</v>
      </c>
      <c r="F289" s="34" t="s">
        <v>8</v>
      </c>
      <c r="G289" s="34" t="s">
        <v>5</v>
      </c>
    </row>
    <row r="290" spans="1:7" x14ac:dyDescent="0.3">
      <c r="A290" s="34">
        <v>289</v>
      </c>
      <c r="B290" s="34">
        <v>12</v>
      </c>
      <c r="C290" s="34">
        <v>1092</v>
      </c>
      <c r="D290" s="34">
        <v>49</v>
      </c>
      <c r="E290" s="34" t="s">
        <v>6</v>
      </c>
      <c r="F290" s="34" t="s">
        <v>4</v>
      </c>
      <c r="G290" s="34" t="s">
        <v>5</v>
      </c>
    </row>
    <row r="291" spans="1:7" x14ac:dyDescent="0.3">
      <c r="A291" s="34">
        <v>290</v>
      </c>
      <c r="B291" s="34">
        <v>24</v>
      </c>
      <c r="C291" s="34">
        <v>1024</v>
      </c>
      <c r="D291" s="34">
        <v>48</v>
      </c>
      <c r="E291" s="34" t="s">
        <v>11</v>
      </c>
      <c r="F291" s="34" t="s">
        <v>4</v>
      </c>
      <c r="G291" s="34" t="s">
        <v>7</v>
      </c>
    </row>
    <row r="292" spans="1:7" x14ac:dyDescent="0.3">
      <c r="A292" s="34">
        <v>291</v>
      </c>
      <c r="B292" s="34">
        <v>12</v>
      </c>
      <c r="C292" s="34">
        <v>1076</v>
      </c>
      <c r="D292" s="34">
        <v>26</v>
      </c>
      <c r="E292" s="34" t="s">
        <v>11</v>
      </c>
      <c r="F292" s="34" t="s">
        <v>4</v>
      </c>
      <c r="G292" s="34" t="s">
        <v>5</v>
      </c>
    </row>
    <row r="293" spans="1:7" x14ac:dyDescent="0.3">
      <c r="A293" s="34">
        <v>292</v>
      </c>
      <c r="B293" s="34">
        <v>36</v>
      </c>
      <c r="C293" s="34">
        <v>9398</v>
      </c>
      <c r="D293" s="34">
        <v>28</v>
      </c>
      <c r="E293" s="34" t="s">
        <v>11</v>
      </c>
      <c r="F293" s="34" t="s">
        <v>9</v>
      </c>
      <c r="G293" s="34" t="s">
        <v>7</v>
      </c>
    </row>
    <row r="294" spans="1:7" x14ac:dyDescent="0.3">
      <c r="A294" s="34">
        <v>293</v>
      </c>
      <c r="B294" s="34">
        <v>24</v>
      </c>
      <c r="C294" s="34">
        <v>6419</v>
      </c>
      <c r="D294" s="34">
        <v>44</v>
      </c>
      <c r="E294" s="34" t="s">
        <v>6</v>
      </c>
      <c r="F294" s="34" t="s">
        <v>8</v>
      </c>
      <c r="G294" s="34" t="s">
        <v>5</v>
      </c>
    </row>
    <row r="295" spans="1:7" x14ac:dyDescent="0.3">
      <c r="A295" s="34">
        <v>294</v>
      </c>
      <c r="B295" s="34">
        <v>42</v>
      </c>
      <c r="C295" s="34">
        <v>4796</v>
      </c>
      <c r="D295" s="34">
        <v>56</v>
      </c>
      <c r="E295" s="34" t="s">
        <v>3</v>
      </c>
      <c r="F295" s="34" t="s">
        <v>8</v>
      </c>
      <c r="G295" s="34" t="s">
        <v>5</v>
      </c>
    </row>
    <row r="296" spans="1:7" x14ac:dyDescent="0.3">
      <c r="A296" s="34">
        <v>295</v>
      </c>
      <c r="B296" s="34">
        <v>48</v>
      </c>
      <c r="C296" s="34">
        <v>7629</v>
      </c>
      <c r="D296" s="34">
        <v>46</v>
      </c>
      <c r="E296" s="34" t="s">
        <v>10</v>
      </c>
      <c r="F296" s="34" t="s">
        <v>4</v>
      </c>
      <c r="G296" s="34" t="s">
        <v>5</v>
      </c>
    </row>
    <row r="297" spans="1:7" x14ac:dyDescent="0.3">
      <c r="A297" s="34">
        <v>296</v>
      </c>
      <c r="B297" s="34">
        <v>48</v>
      </c>
      <c r="C297" s="34">
        <v>9960</v>
      </c>
      <c r="D297" s="34">
        <v>26</v>
      </c>
      <c r="E297" s="34" t="s">
        <v>6</v>
      </c>
      <c r="F297" s="34" t="s">
        <v>4</v>
      </c>
      <c r="G297" s="34" t="s">
        <v>7</v>
      </c>
    </row>
    <row r="298" spans="1:7" x14ac:dyDescent="0.3">
      <c r="A298" s="34">
        <v>297</v>
      </c>
      <c r="B298" s="34">
        <v>12</v>
      </c>
      <c r="C298" s="34">
        <v>4675</v>
      </c>
      <c r="D298" s="34">
        <v>20</v>
      </c>
      <c r="E298" s="34" t="s">
        <v>6</v>
      </c>
      <c r="F298" s="34" t="s">
        <v>9</v>
      </c>
      <c r="G298" s="34" t="s">
        <v>5</v>
      </c>
    </row>
    <row r="299" spans="1:7" x14ac:dyDescent="0.3">
      <c r="A299" s="34">
        <v>298</v>
      </c>
      <c r="B299" s="34">
        <v>10</v>
      </c>
      <c r="C299" s="34">
        <v>1287</v>
      </c>
      <c r="D299" s="34">
        <v>45</v>
      </c>
      <c r="E299" s="34" t="s">
        <v>3</v>
      </c>
      <c r="F299" s="34" t="s">
        <v>4</v>
      </c>
      <c r="G299" s="34" t="s">
        <v>5</v>
      </c>
    </row>
    <row r="300" spans="1:7" x14ac:dyDescent="0.3">
      <c r="A300" s="34">
        <v>299</v>
      </c>
      <c r="B300" s="34">
        <v>18</v>
      </c>
      <c r="C300" s="34">
        <v>2515</v>
      </c>
      <c r="D300" s="34">
        <v>43</v>
      </c>
      <c r="E300" s="34" t="s">
        <v>3</v>
      </c>
      <c r="F300" s="34" t="s">
        <v>4</v>
      </c>
      <c r="G300" s="34" t="s">
        <v>5</v>
      </c>
    </row>
    <row r="301" spans="1:7" x14ac:dyDescent="0.3">
      <c r="A301" s="34">
        <v>300</v>
      </c>
      <c r="B301" s="34">
        <v>21</v>
      </c>
      <c r="C301" s="34">
        <v>2745</v>
      </c>
      <c r="D301" s="34">
        <v>32</v>
      </c>
      <c r="E301" s="34" t="s">
        <v>3</v>
      </c>
      <c r="F301" s="34" t="s">
        <v>4</v>
      </c>
      <c r="G301" s="34" t="s">
        <v>5</v>
      </c>
    </row>
    <row r="302" spans="1:7" x14ac:dyDescent="0.3">
      <c r="A302" s="34">
        <v>301</v>
      </c>
      <c r="B302" s="34">
        <v>6</v>
      </c>
      <c r="C302" s="34">
        <v>672</v>
      </c>
      <c r="D302" s="34">
        <v>54</v>
      </c>
      <c r="E302" s="34" t="s">
        <v>6</v>
      </c>
      <c r="F302" s="34" t="s">
        <v>4</v>
      </c>
      <c r="G302" s="34" t="s">
        <v>5</v>
      </c>
    </row>
    <row r="303" spans="1:7" x14ac:dyDescent="0.3">
      <c r="A303" s="34">
        <v>302</v>
      </c>
      <c r="B303" s="34">
        <v>36</v>
      </c>
      <c r="C303" s="34">
        <v>3804</v>
      </c>
      <c r="D303" s="34">
        <v>42</v>
      </c>
      <c r="E303" s="34" t="s">
        <v>6</v>
      </c>
      <c r="F303" s="34" t="s">
        <v>4</v>
      </c>
      <c r="G303" s="34" t="s">
        <v>7</v>
      </c>
    </row>
    <row r="304" spans="1:7" x14ac:dyDescent="0.3">
      <c r="A304" s="34">
        <v>303</v>
      </c>
      <c r="B304" s="34">
        <v>24</v>
      </c>
      <c r="C304" s="34">
        <v>1344</v>
      </c>
      <c r="D304" s="34">
        <v>37</v>
      </c>
      <c r="E304" s="34" t="s">
        <v>3</v>
      </c>
      <c r="F304" s="34" t="s">
        <v>4</v>
      </c>
      <c r="G304" s="34" t="s">
        <v>7</v>
      </c>
    </row>
    <row r="305" spans="1:7" x14ac:dyDescent="0.3">
      <c r="A305" s="34">
        <v>304</v>
      </c>
      <c r="B305" s="34">
        <v>10</v>
      </c>
      <c r="C305" s="34">
        <v>1038</v>
      </c>
      <c r="D305" s="34">
        <v>49</v>
      </c>
      <c r="E305" s="34" t="s">
        <v>3</v>
      </c>
      <c r="F305" s="34" t="s">
        <v>4</v>
      </c>
      <c r="G305" s="34" t="s">
        <v>5</v>
      </c>
    </row>
    <row r="306" spans="1:7" x14ac:dyDescent="0.3">
      <c r="A306" s="34">
        <v>305</v>
      </c>
      <c r="B306" s="34">
        <v>48</v>
      </c>
      <c r="C306" s="34">
        <v>10127</v>
      </c>
      <c r="D306" s="34">
        <v>44</v>
      </c>
      <c r="E306" s="34" t="s">
        <v>3</v>
      </c>
      <c r="F306" s="34" t="s">
        <v>8</v>
      </c>
      <c r="G306" s="34" t="s">
        <v>7</v>
      </c>
    </row>
    <row r="307" spans="1:7" x14ac:dyDescent="0.3">
      <c r="A307" s="34">
        <v>306</v>
      </c>
      <c r="B307" s="34">
        <v>6</v>
      </c>
      <c r="C307" s="34">
        <v>1543</v>
      </c>
      <c r="D307" s="34">
        <v>33</v>
      </c>
      <c r="E307" s="34" t="s">
        <v>10</v>
      </c>
      <c r="F307" s="34" t="s">
        <v>4</v>
      </c>
      <c r="G307" s="34" t="s">
        <v>5</v>
      </c>
    </row>
    <row r="308" spans="1:7" x14ac:dyDescent="0.3">
      <c r="A308" s="34">
        <v>307</v>
      </c>
      <c r="B308" s="34">
        <v>30</v>
      </c>
      <c r="C308" s="34">
        <v>4811</v>
      </c>
      <c r="D308" s="34">
        <v>24</v>
      </c>
      <c r="E308" s="34" t="s">
        <v>6</v>
      </c>
      <c r="F308" s="34" t="s">
        <v>9</v>
      </c>
      <c r="G308" s="34" t="s">
        <v>5</v>
      </c>
    </row>
    <row r="309" spans="1:7" x14ac:dyDescent="0.3">
      <c r="A309" s="34">
        <v>308</v>
      </c>
      <c r="B309" s="34">
        <v>12</v>
      </c>
      <c r="C309" s="34">
        <v>727</v>
      </c>
      <c r="D309" s="34">
        <v>33</v>
      </c>
      <c r="E309" s="34" t="s">
        <v>11</v>
      </c>
      <c r="F309" s="34" t="s">
        <v>4</v>
      </c>
      <c r="G309" s="34" t="s">
        <v>7</v>
      </c>
    </row>
    <row r="310" spans="1:7" x14ac:dyDescent="0.3">
      <c r="A310" s="34">
        <v>309</v>
      </c>
      <c r="B310" s="34">
        <v>8</v>
      </c>
      <c r="C310" s="34">
        <v>1237</v>
      </c>
      <c r="D310" s="34">
        <v>24</v>
      </c>
      <c r="E310" s="34" t="s">
        <v>6</v>
      </c>
      <c r="F310" s="34" t="s">
        <v>4</v>
      </c>
      <c r="G310" s="34" t="s">
        <v>7</v>
      </c>
    </row>
    <row r="311" spans="1:7" x14ac:dyDescent="0.3">
      <c r="A311" s="34">
        <v>310</v>
      </c>
      <c r="B311" s="34">
        <v>9</v>
      </c>
      <c r="C311" s="34">
        <v>276</v>
      </c>
      <c r="D311" s="34">
        <v>22</v>
      </c>
      <c r="E311" s="34" t="s">
        <v>11</v>
      </c>
      <c r="F311" s="34" t="s">
        <v>9</v>
      </c>
      <c r="G311" s="34" t="s">
        <v>5</v>
      </c>
    </row>
    <row r="312" spans="1:7" x14ac:dyDescent="0.3">
      <c r="A312" s="34">
        <v>311</v>
      </c>
      <c r="B312" s="34">
        <v>48</v>
      </c>
      <c r="C312" s="34">
        <v>5381</v>
      </c>
      <c r="D312" s="34">
        <v>40</v>
      </c>
      <c r="E312" s="34" t="s">
        <v>3</v>
      </c>
      <c r="F312" s="34" t="s">
        <v>8</v>
      </c>
      <c r="G312" s="34" t="s">
        <v>5</v>
      </c>
    </row>
    <row r="313" spans="1:7" x14ac:dyDescent="0.3">
      <c r="A313" s="34">
        <v>312</v>
      </c>
      <c r="B313" s="34">
        <v>24</v>
      </c>
      <c r="C313" s="34">
        <v>5511</v>
      </c>
      <c r="D313" s="34">
        <v>25</v>
      </c>
      <c r="E313" s="34" t="s">
        <v>3</v>
      </c>
      <c r="F313" s="34" t="s">
        <v>4</v>
      </c>
      <c r="G313" s="34" t="s">
        <v>5</v>
      </c>
    </row>
    <row r="314" spans="1:7" x14ac:dyDescent="0.3">
      <c r="A314" s="34">
        <v>313</v>
      </c>
      <c r="B314" s="34">
        <v>24</v>
      </c>
      <c r="C314" s="34">
        <v>3749</v>
      </c>
      <c r="D314" s="34">
        <v>26</v>
      </c>
      <c r="E314" s="34" t="s">
        <v>6</v>
      </c>
      <c r="F314" s="34" t="s">
        <v>4</v>
      </c>
      <c r="G314" s="34" t="s">
        <v>5</v>
      </c>
    </row>
    <row r="315" spans="1:7" x14ac:dyDescent="0.3">
      <c r="A315" s="34">
        <v>314</v>
      </c>
      <c r="B315" s="34">
        <v>12</v>
      </c>
      <c r="C315" s="34">
        <v>685</v>
      </c>
      <c r="D315" s="34">
        <v>25</v>
      </c>
      <c r="E315" s="34" t="s">
        <v>11</v>
      </c>
      <c r="F315" s="34" t="s">
        <v>4</v>
      </c>
      <c r="G315" s="34" t="s">
        <v>7</v>
      </c>
    </row>
    <row r="316" spans="1:7" x14ac:dyDescent="0.3">
      <c r="A316" s="34">
        <v>315</v>
      </c>
      <c r="B316" s="34">
        <v>4</v>
      </c>
      <c r="C316" s="34">
        <v>1494</v>
      </c>
      <c r="D316" s="34">
        <v>29</v>
      </c>
      <c r="E316" s="34" t="s">
        <v>3</v>
      </c>
      <c r="F316" s="34" t="s">
        <v>4</v>
      </c>
      <c r="G316" s="34" t="s">
        <v>5</v>
      </c>
    </row>
    <row r="317" spans="1:7" x14ac:dyDescent="0.3">
      <c r="A317" s="34">
        <v>316</v>
      </c>
      <c r="B317" s="34">
        <v>36</v>
      </c>
      <c r="C317" s="34">
        <v>2746</v>
      </c>
      <c r="D317" s="34">
        <v>31</v>
      </c>
      <c r="E317" s="34" t="s">
        <v>3</v>
      </c>
      <c r="F317" s="34" t="s">
        <v>4</v>
      </c>
      <c r="G317" s="34" t="s">
        <v>7</v>
      </c>
    </row>
    <row r="318" spans="1:7" x14ac:dyDescent="0.3">
      <c r="A318" s="34">
        <v>317</v>
      </c>
      <c r="B318" s="34">
        <v>12</v>
      </c>
      <c r="C318" s="34">
        <v>708</v>
      </c>
      <c r="D318" s="34">
        <v>38</v>
      </c>
      <c r="E318" s="34" t="s">
        <v>3</v>
      </c>
      <c r="F318" s="34" t="s">
        <v>4</v>
      </c>
      <c r="G318" s="34" t="s">
        <v>5</v>
      </c>
    </row>
    <row r="319" spans="1:7" x14ac:dyDescent="0.3">
      <c r="A319" s="34">
        <v>318</v>
      </c>
      <c r="B319" s="34">
        <v>24</v>
      </c>
      <c r="C319" s="34">
        <v>4351</v>
      </c>
      <c r="D319" s="34">
        <v>48</v>
      </c>
      <c r="E319" s="34" t="s">
        <v>6</v>
      </c>
      <c r="F319" s="34" t="s">
        <v>4</v>
      </c>
      <c r="G319" s="34" t="s">
        <v>5</v>
      </c>
    </row>
    <row r="320" spans="1:7" x14ac:dyDescent="0.3">
      <c r="A320" s="34">
        <v>319</v>
      </c>
      <c r="B320" s="34">
        <v>12</v>
      </c>
      <c r="C320" s="34">
        <v>701</v>
      </c>
      <c r="D320" s="34">
        <v>32</v>
      </c>
      <c r="E320" s="34" t="s">
        <v>3</v>
      </c>
      <c r="F320" s="34" t="s">
        <v>4</v>
      </c>
      <c r="G320" s="34" t="s">
        <v>5</v>
      </c>
    </row>
    <row r="321" spans="1:7" x14ac:dyDescent="0.3">
      <c r="A321" s="34">
        <v>320</v>
      </c>
      <c r="B321" s="34">
        <v>15</v>
      </c>
      <c r="C321" s="34">
        <v>3643</v>
      </c>
      <c r="D321" s="34">
        <v>27</v>
      </c>
      <c r="E321" s="34" t="s">
        <v>6</v>
      </c>
      <c r="F321" s="34" t="s">
        <v>4</v>
      </c>
      <c r="G321" s="34" t="s">
        <v>5</v>
      </c>
    </row>
    <row r="322" spans="1:7" x14ac:dyDescent="0.3">
      <c r="A322" s="34">
        <v>321</v>
      </c>
      <c r="B322" s="34">
        <v>30</v>
      </c>
      <c r="C322" s="34">
        <v>4249</v>
      </c>
      <c r="D322" s="34">
        <v>28</v>
      </c>
      <c r="E322" s="34" t="s">
        <v>11</v>
      </c>
      <c r="F322" s="34" t="s">
        <v>4</v>
      </c>
      <c r="G322" s="34" t="s">
        <v>7</v>
      </c>
    </row>
    <row r="323" spans="1:7" x14ac:dyDescent="0.3">
      <c r="A323" s="34">
        <v>322</v>
      </c>
      <c r="B323" s="34">
        <v>24</v>
      </c>
      <c r="C323" s="34">
        <v>1938</v>
      </c>
      <c r="D323" s="34">
        <v>32</v>
      </c>
      <c r="E323" s="34" t="s">
        <v>10</v>
      </c>
      <c r="F323" s="34" t="s">
        <v>4</v>
      </c>
      <c r="G323" s="34" t="s">
        <v>7</v>
      </c>
    </row>
    <row r="324" spans="1:7" x14ac:dyDescent="0.3">
      <c r="A324" s="34">
        <v>323</v>
      </c>
      <c r="B324" s="34">
        <v>24</v>
      </c>
      <c r="C324" s="34">
        <v>2910</v>
      </c>
      <c r="D324" s="34">
        <v>34</v>
      </c>
      <c r="E324" s="34" t="s">
        <v>3</v>
      </c>
      <c r="F324" s="34" t="s">
        <v>8</v>
      </c>
      <c r="G324" s="34" t="s">
        <v>5</v>
      </c>
    </row>
    <row r="325" spans="1:7" x14ac:dyDescent="0.3">
      <c r="A325" s="34">
        <v>324</v>
      </c>
      <c r="B325" s="34">
        <v>18</v>
      </c>
      <c r="C325" s="34">
        <v>2659</v>
      </c>
      <c r="D325" s="34">
        <v>28</v>
      </c>
      <c r="E325" s="34" t="s">
        <v>3</v>
      </c>
      <c r="F325" s="34" t="s">
        <v>4</v>
      </c>
      <c r="G325" s="34" t="s">
        <v>5</v>
      </c>
    </row>
    <row r="326" spans="1:7" x14ac:dyDescent="0.3">
      <c r="A326" s="34">
        <v>325</v>
      </c>
      <c r="B326" s="34">
        <v>18</v>
      </c>
      <c r="C326" s="34">
        <v>1028</v>
      </c>
      <c r="D326" s="34">
        <v>36</v>
      </c>
      <c r="E326" s="34" t="s">
        <v>6</v>
      </c>
      <c r="F326" s="34" t="s">
        <v>4</v>
      </c>
      <c r="G326" s="34" t="s">
        <v>5</v>
      </c>
    </row>
    <row r="327" spans="1:7" x14ac:dyDescent="0.3">
      <c r="A327" s="34">
        <v>326</v>
      </c>
      <c r="B327" s="34">
        <v>8</v>
      </c>
      <c r="C327" s="34">
        <v>3398</v>
      </c>
      <c r="D327" s="34">
        <v>39</v>
      </c>
      <c r="E327" s="34" t="s">
        <v>3</v>
      </c>
      <c r="F327" s="34" t="s">
        <v>4</v>
      </c>
      <c r="G327" s="34" t="s">
        <v>5</v>
      </c>
    </row>
    <row r="328" spans="1:7" x14ac:dyDescent="0.3">
      <c r="A328" s="34">
        <v>327</v>
      </c>
      <c r="B328" s="34">
        <v>12</v>
      </c>
      <c r="C328" s="34">
        <v>5801</v>
      </c>
      <c r="D328" s="34">
        <v>49</v>
      </c>
      <c r="E328" s="34" t="s">
        <v>3</v>
      </c>
      <c r="F328" s="34" t="s">
        <v>9</v>
      </c>
      <c r="G328" s="34" t="s">
        <v>5</v>
      </c>
    </row>
    <row r="329" spans="1:7" x14ac:dyDescent="0.3">
      <c r="A329" s="34">
        <v>328</v>
      </c>
      <c r="B329" s="34">
        <v>24</v>
      </c>
      <c r="C329" s="34">
        <v>1525</v>
      </c>
      <c r="D329" s="34">
        <v>34</v>
      </c>
      <c r="E329" s="34" t="s">
        <v>6</v>
      </c>
      <c r="F329" s="34" t="s">
        <v>4</v>
      </c>
      <c r="G329" s="34" t="s">
        <v>5</v>
      </c>
    </row>
    <row r="330" spans="1:7" x14ac:dyDescent="0.3">
      <c r="A330" s="34">
        <v>329</v>
      </c>
      <c r="B330" s="34">
        <v>36</v>
      </c>
      <c r="C330" s="34">
        <v>4473</v>
      </c>
      <c r="D330" s="34">
        <v>31</v>
      </c>
      <c r="E330" s="34" t="s">
        <v>3</v>
      </c>
      <c r="F330" s="34" t="s">
        <v>4</v>
      </c>
      <c r="G330" s="34" t="s">
        <v>5</v>
      </c>
    </row>
    <row r="331" spans="1:7" x14ac:dyDescent="0.3">
      <c r="A331" s="34">
        <v>330</v>
      </c>
      <c r="B331" s="34">
        <v>6</v>
      </c>
      <c r="C331" s="34">
        <v>1068</v>
      </c>
      <c r="D331" s="34">
        <v>28</v>
      </c>
      <c r="E331" s="34" t="s">
        <v>3</v>
      </c>
      <c r="F331" s="34" t="s">
        <v>4</v>
      </c>
      <c r="G331" s="34" t="s">
        <v>5</v>
      </c>
    </row>
    <row r="332" spans="1:7" x14ac:dyDescent="0.3">
      <c r="A332" s="34">
        <v>331</v>
      </c>
      <c r="B332" s="34">
        <v>24</v>
      </c>
      <c r="C332" s="34">
        <v>6615</v>
      </c>
      <c r="D332" s="34">
        <v>75</v>
      </c>
      <c r="E332" s="34" t="s">
        <v>3</v>
      </c>
      <c r="F332" s="34" t="s">
        <v>8</v>
      </c>
      <c r="G332" s="34" t="s">
        <v>5</v>
      </c>
    </row>
    <row r="333" spans="1:7" x14ac:dyDescent="0.3">
      <c r="A333" s="34">
        <v>332</v>
      </c>
      <c r="B333" s="34">
        <v>18</v>
      </c>
      <c r="C333" s="34">
        <v>1864</v>
      </c>
      <c r="D333" s="34">
        <v>30</v>
      </c>
      <c r="E333" s="34" t="s">
        <v>6</v>
      </c>
      <c r="F333" s="34" t="s">
        <v>4</v>
      </c>
      <c r="G333" s="34" t="s">
        <v>7</v>
      </c>
    </row>
    <row r="334" spans="1:7" x14ac:dyDescent="0.3">
      <c r="A334" s="34">
        <v>333</v>
      </c>
      <c r="B334" s="34">
        <v>60</v>
      </c>
      <c r="C334" s="34">
        <v>7408</v>
      </c>
      <c r="D334" s="34">
        <v>24</v>
      </c>
      <c r="E334" s="34" t="s">
        <v>6</v>
      </c>
      <c r="F334" s="34" t="s">
        <v>4</v>
      </c>
      <c r="G334" s="34" t="s">
        <v>7</v>
      </c>
    </row>
    <row r="335" spans="1:7" x14ac:dyDescent="0.3">
      <c r="A335" s="34">
        <v>334</v>
      </c>
      <c r="B335" s="34">
        <v>48</v>
      </c>
      <c r="C335" s="34">
        <v>11590</v>
      </c>
      <c r="D335" s="34">
        <v>24</v>
      </c>
      <c r="E335" s="34" t="s">
        <v>6</v>
      </c>
      <c r="F335" s="34" t="s">
        <v>9</v>
      </c>
      <c r="G335" s="34" t="s">
        <v>7</v>
      </c>
    </row>
    <row r="336" spans="1:7" x14ac:dyDescent="0.3">
      <c r="A336" s="34">
        <v>335</v>
      </c>
      <c r="B336" s="34">
        <v>24</v>
      </c>
      <c r="C336" s="34">
        <v>4110</v>
      </c>
      <c r="D336" s="34">
        <v>23</v>
      </c>
      <c r="E336" s="34" t="s">
        <v>3</v>
      </c>
      <c r="F336" s="34" t="s">
        <v>9</v>
      </c>
      <c r="G336" s="34" t="s">
        <v>7</v>
      </c>
    </row>
    <row r="337" spans="1:7" x14ac:dyDescent="0.3">
      <c r="A337" s="34">
        <v>336</v>
      </c>
      <c r="B337" s="34">
        <v>6</v>
      </c>
      <c r="C337" s="34">
        <v>3384</v>
      </c>
      <c r="D337" s="34">
        <v>44</v>
      </c>
      <c r="E337" s="34" t="s">
        <v>10</v>
      </c>
      <c r="F337" s="34" t="s">
        <v>9</v>
      </c>
      <c r="G337" s="34" t="s">
        <v>7</v>
      </c>
    </row>
    <row r="338" spans="1:7" x14ac:dyDescent="0.3">
      <c r="A338" s="34">
        <v>337</v>
      </c>
      <c r="B338" s="34">
        <v>13</v>
      </c>
      <c r="C338" s="34">
        <v>2101</v>
      </c>
      <c r="D338" s="34">
        <v>23</v>
      </c>
      <c r="E338" s="34" t="s">
        <v>6</v>
      </c>
      <c r="F338" s="34" t="s">
        <v>4</v>
      </c>
      <c r="G338" s="34" t="s">
        <v>5</v>
      </c>
    </row>
    <row r="339" spans="1:7" x14ac:dyDescent="0.3">
      <c r="A339" s="34">
        <v>338</v>
      </c>
      <c r="B339" s="34">
        <v>15</v>
      </c>
      <c r="C339" s="34">
        <v>1275</v>
      </c>
      <c r="D339" s="34">
        <v>24</v>
      </c>
      <c r="E339" s="34" t="s">
        <v>6</v>
      </c>
      <c r="F339" s="34" t="s">
        <v>9</v>
      </c>
      <c r="G339" s="34" t="s">
        <v>7</v>
      </c>
    </row>
    <row r="340" spans="1:7" x14ac:dyDescent="0.3">
      <c r="A340" s="34">
        <v>339</v>
      </c>
      <c r="B340" s="34">
        <v>24</v>
      </c>
      <c r="C340" s="34">
        <v>4169</v>
      </c>
      <c r="D340" s="34">
        <v>28</v>
      </c>
      <c r="E340" s="34" t="s">
        <v>3</v>
      </c>
      <c r="F340" s="34" t="s">
        <v>4</v>
      </c>
      <c r="G340" s="34" t="s">
        <v>5</v>
      </c>
    </row>
    <row r="341" spans="1:7" x14ac:dyDescent="0.3">
      <c r="A341" s="34">
        <v>340</v>
      </c>
      <c r="B341" s="34">
        <v>10</v>
      </c>
      <c r="C341" s="34">
        <v>1521</v>
      </c>
      <c r="D341" s="34">
        <v>31</v>
      </c>
      <c r="E341" s="34" t="s">
        <v>10</v>
      </c>
      <c r="F341" s="34" t="s">
        <v>4</v>
      </c>
      <c r="G341" s="34" t="s">
        <v>5</v>
      </c>
    </row>
    <row r="342" spans="1:7" x14ac:dyDescent="0.3">
      <c r="A342" s="34">
        <v>341</v>
      </c>
      <c r="B342" s="34">
        <v>24</v>
      </c>
      <c r="C342" s="34">
        <v>5743</v>
      </c>
      <c r="D342" s="34">
        <v>24</v>
      </c>
      <c r="E342" s="34" t="s">
        <v>6</v>
      </c>
      <c r="F342" s="34" t="s">
        <v>8</v>
      </c>
      <c r="G342" s="34" t="s">
        <v>5</v>
      </c>
    </row>
    <row r="343" spans="1:7" x14ac:dyDescent="0.3">
      <c r="A343" s="34">
        <v>342</v>
      </c>
      <c r="B343" s="34">
        <v>21</v>
      </c>
      <c r="C343" s="34">
        <v>3599</v>
      </c>
      <c r="D343" s="34">
        <v>26</v>
      </c>
      <c r="E343" s="34" t="s">
        <v>6</v>
      </c>
      <c r="F343" s="34" t="s">
        <v>9</v>
      </c>
      <c r="G343" s="34" t="s">
        <v>5</v>
      </c>
    </row>
    <row r="344" spans="1:7" x14ac:dyDescent="0.3">
      <c r="A344" s="34">
        <v>343</v>
      </c>
      <c r="B344" s="34">
        <v>18</v>
      </c>
      <c r="C344" s="34">
        <v>3213</v>
      </c>
      <c r="D344" s="34">
        <v>25</v>
      </c>
      <c r="E344" s="34" t="s">
        <v>11</v>
      </c>
      <c r="F344" s="34" t="s">
        <v>9</v>
      </c>
      <c r="G344" s="34" t="s">
        <v>5</v>
      </c>
    </row>
    <row r="345" spans="1:7" x14ac:dyDescent="0.3">
      <c r="A345" s="34">
        <v>344</v>
      </c>
      <c r="B345" s="34">
        <v>18</v>
      </c>
      <c r="C345" s="34">
        <v>4439</v>
      </c>
      <c r="D345" s="34">
        <v>33</v>
      </c>
      <c r="E345" s="34" t="s">
        <v>3</v>
      </c>
      <c r="F345" s="34" t="s">
        <v>4</v>
      </c>
      <c r="G345" s="34" t="s">
        <v>5</v>
      </c>
    </row>
    <row r="346" spans="1:7" x14ac:dyDescent="0.3">
      <c r="A346" s="34">
        <v>345</v>
      </c>
      <c r="B346" s="34">
        <v>10</v>
      </c>
      <c r="C346" s="34">
        <v>3949</v>
      </c>
      <c r="D346" s="34">
        <v>37</v>
      </c>
      <c r="E346" s="34" t="s">
        <v>3</v>
      </c>
      <c r="F346" s="34" t="s">
        <v>4</v>
      </c>
      <c r="G346" s="34" t="s">
        <v>5</v>
      </c>
    </row>
    <row r="347" spans="1:7" x14ac:dyDescent="0.3">
      <c r="A347" s="34">
        <v>346</v>
      </c>
      <c r="B347" s="34">
        <v>15</v>
      </c>
      <c r="C347" s="34">
        <v>1459</v>
      </c>
      <c r="D347" s="34">
        <v>43</v>
      </c>
      <c r="E347" s="34" t="s">
        <v>6</v>
      </c>
      <c r="F347" s="34" t="s">
        <v>4</v>
      </c>
      <c r="G347" s="34" t="s">
        <v>5</v>
      </c>
    </row>
    <row r="348" spans="1:7" x14ac:dyDescent="0.3">
      <c r="A348" s="34">
        <v>347</v>
      </c>
      <c r="B348" s="34">
        <v>13</v>
      </c>
      <c r="C348" s="34">
        <v>882</v>
      </c>
      <c r="D348" s="34">
        <v>23</v>
      </c>
      <c r="E348" s="34" t="s">
        <v>3</v>
      </c>
      <c r="F348" s="34" t="s">
        <v>4</v>
      </c>
      <c r="G348" s="34" t="s">
        <v>5</v>
      </c>
    </row>
    <row r="349" spans="1:7" x14ac:dyDescent="0.3">
      <c r="A349" s="34">
        <v>348</v>
      </c>
      <c r="B349" s="34">
        <v>24</v>
      </c>
      <c r="C349" s="34">
        <v>3758</v>
      </c>
      <c r="D349" s="34">
        <v>23</v>
      </c>
      <c r="E349" s="34" t="s">
        <v>6</v>
      </c>
      <c r="F349" s="34" t="s">
        <v>9</v>
      </c>
      <c r="G349" s="34" t="s">
        <v>5</v>
      </c>
    </row>
    <row r="350" spans="1:7" x14ac:dyDescent="0.3">
      <c r="A350" s="34">
        <v>349</v>
      </c>
      <c r="B350" s="34">
        <v>6</v>
      </c>
      <c r="C350" s="34">
        <v>1743</v>
      </c>
      <c r="D350" s="34">
        <v>34</v>
      </c>
      <c r="E350" s="34" t="s">
        <v>3</v>
      </c>
      <c r="F350" s="34" t="s">
        <v>4</v>
      </c>
      <c r="G350" s="34" t="s">
        <v>5</v>
      </c>
    </row>
    <row r="351" spans="1:7" x14ac:dyDescent="0.3">
      <c r="A351" s="34">
        <v>350</v>
      </c>
      <c r="B351" s="34">
        <v>9</v>
      </c>
      <c r="C351" s="34">
        <v>1136</v>
      </c>
      <c r="D351" s="34">
        <v>32</v>
      </c>
      <c r="E351" s="34" t="s">
        <v>3</v>
      </c>
      <c r="F351" s="34" t="s">
        <v>8</v>
      </c>
      <c r="G351" s="34" t="s">
        <v>7</v>
      </c>
    </row>
    <row r="352" spans="1:7" x14ac:dyDescent="0.3">
      <c r="A352" s="34">
        <v>351</v>
      </c>
      <c r="B352" s="34">
        <v>9</v>
      </c>
      <c r="C352" s="34">
        <v>1236</v>
      </c>
      <c r="D352" s="34">
        <v>23</v>
      </c>
      <c r="E352" s="34" t="s">
        <v>6</v>
      </c>
      <c r="F352" s="34" t="s">
        <v>9</v>
      </c>
      <c r="G352" s="34" t="s">
        <v>5</v>
      </c>
    </row>
    <row r="353" spans="1:7" x14ac:dyDescent="0.3">
      <c r="A353" s="34">
        <v>352</v>
      </c>
      <c r="B353" s="34">
        <v>9</v>
      </c>
      <c r="C353" s="34">
        <v>959</v>
      </c>
      <c r="D353" s="34">
        <v>29</v>
      </c>
      <c r="E353" s="34" t="s">
        <v>6</v>
      </c>
      <c r="F353" s="34" t="s">
        <v>4</v>
      </c>
      <c r="G353" s="34" t="s">
        <v>7</v>
      </c>
    </row>
    <row r="354" spans="1:7" x14ac:dyDescent="0.3">
      <c r="A354" s="34">
        <v>353</v>
      </c>
      <c r="B354" s="34">
        <v>18</v>
      </c>
      <c r="C354" s="34">
        <v>3229</v>
      </c>
      <c r="D354" s="34">
        <v>38</v>
      </c>
      <c r="E354" s="34" t="s">
        <v>3</v>
      </c>
      <c r="F354" s="34" t="s">
        <v>4</v>
      </c>
      <c r="G354" s="34" t="s">
        <v>5</v>
      </c>
    </row>
    <row r="355" spans="1:7" x14ac:dyDescent="0.3">
      <c r="A355" s="34">
        <v>354</v>
      </c>
      <c r="B355" s="34">
        <v>12</v>
      </c>
      <c r="C355" s="34">
        <v>6199</v>
      </c>
      <c r="D355" s="34">
        <v>28</v>
      </c>
      <c r="E355" s="34" t="s">
        <v>3</v>
      </c>
      <c r="F355" s="34" t="s">
        <v>9</v>
      </c>
      <c r="G355" s="34" t="s">
        <v>7</v>
      </c>
    </row>
    <row r="356" spans="1:7" x14ac:dyDescent="0.3">
      <c r="A356" s="34">
        <v>355</v>
      </c>
      <c r="B356" s="34">
        <v>10</v>
      </c>
      <c r="C356" s="34">
        <v>727</v>
      </c>
      <c r="D356" s="34">
        <v>46</v>
      </c>
      <c r="E356" s="34" t="s">
        <v>3</v>
      </c>
      <c r="F356" s="34" t="s">
        <v>8</v>
      </c>
      <c r="G356" s="34" t="s">
        <v>5</v>
      </c>
    </row>
    <row r="357" spans="1:7" x14ac:dyDescent="0.3">
      <c r="A357" s="34">
        <v>356</v>
      </c>
      <c r="B357" s="34">
        <v>24</v>
      </c>
      <c r="C357" s="34">
        <v>1246</v>
      </c>
      <c r="D357" s="34">
        <v>23</v>
      </c>
      <c r="E357" s="34" t="s">
        <v>3</v>
      </c>
      <c r="F357" s="34" t="s">
        <v>4</v>
      </c>
      <c r="G357" s="34" t="s">
        <v>7</v>
      </c>
    </row>
    <row r="358" spans="1:7" x14ac:dyDescent="0.3">
      <c r="A358" s="34">
        <v>357</v>
      </c>
      <c r="B358" s="34">
        <v>12</v>
      </c>
      <c r="C358" s="34">
        <v>2331</v>
      </c>
      <c r="D358" s="34">
        <v>49</v>
      </c>
      <c r="E358" s="34" t="s">
        <v>3</v>
      </c>
      <c r="F358" s="34" t="s">
        <v>4</v>
      </c>
      <c r="G358" s="34" t="s">
        <v>5</v>
      </c>
    </row>
    <row r="359" spans="1:7" x14ac:dyDescent="0.3">
      <c r="A359" s="34">
        <v>358</v>
      </c>
      <c r="B359" s="34">
        <v>36</v>
      </c>
      <c r="C359" s="34">
        <v>4463</v>
      </c>
      <c r="D359" s="34">
        <v>26</v>
      </c>
      <c r="E359" s="34" t="s">
        <v>3</v>
      </c>
      <c r="F359" s="34" t="s">
        <v>4</v>
      </c>
      <c r="G359" s="34" t="s">
        <v>7</v>
      </c>
    </row>
    <row r="360" spans="1:7" x14ac:dyDescent="0.3">
      <c r="A360" s="34">
        <v>359</v>
      </c>
      <c r="B360" s="34">
        <v>12</v>
      </c>
      <c r="C360" s="34">
        <v>776</v>
      </c>
      <c r="D360" s="34">
        <v>28</v>
      </c>
      <c r="E360" s="34" t="s">
        <v>11</v>
      </c>
      <c r="F360" s="34" t="s">
        <v>4</v>
      </c>
      <c r="G360" s="34" t="s">
        <v>5</v>
      </c>
    </row>
    <row r="361" spans="1:7" x14ac:dyDescent="0.3">
      <c r="A361" s="34">
        <v>360</v>
      </c>
      <c r="B361" s="34">
        <v>30</v>
      </c>
      <c r="C361" s="34">
        <v>2406</v>
      </c>
      <c r="D361" s="34">
        <v>23</v>
      </c>
      <c r="E361" s="34" t="s">
        <v>6</v>
      </c>
      <c r="F361" s="34" t="s">
        <v>9</v>
      </c>
      <c r="G361" s="34" t="s">
        <v>7</v>
      </c>
    </row>
    <row r="362" spans="1:7" x14ac:dyDescent="0.3">
      <c r="A362" s="34">
        <v>361</v>
      </c>
      <c r="B362" s="34">
        <v>18</v>
      </c>
      <c r="C362" s="34">
        <v>1239</v>
      </c>
      <c r="D362" s="34">
        <v>61</v>
      </c>
      <c r="E362" s="34" t="s">
        <v>3</v>
      </c>
      <c r="F362" s="34" t="s">
        <v>8</v>
      </c>
      <c r="G362" s="34" t="s">
        <v>5</v>
      </c>
    </row>
    <row r="363" spans="1:7" x14ac:dyDescent="0.3">
      <c r="A363" s="34">
        <v>362</v>
      </c>
      <c r="B363" s="34">
        <v>12</v>
      </c>
      <c r="C363" s="34">
        <v>3399</v>
      </c>
      <c r="D363" s="34">
        <v>37</v>
      </c>
      <c r="E363" s="34" t="s">
        <v>3</v>
      </c>
      <c r="F363" s="34" t="s">
        <v>4</v>
      </c>
      <c r="G363" s="34" t="s">
        <v>5</v>
      </c>
    </row>
    <row r="364" spans="1:7" x14ac:dyDescent="0.3">
      <c r="A364" s="34">
        <v>363</v>
      </c>
      <c r="B364" s="34">
        <v>12</v>
      </c>
      <c r="C364" s="34">
        <v>2247</v>
      </c>
      <c r="D364" s="34">
        <v>36</v>
      </c>
      <c r="E364" s="34" t="s">
        <v>6</v>
      </c>
      <c r="F364" s="34" t="s">
        <v>4</v>
      </c>
      <c r="G364" s="34" t="s">
        <v>5</v>
      </c>
    </row>
    <row r="365" spans="1:7" x14ac:dyDescent="0.3">
      <c r="A365" s="34">
        <v>364</v>
      </c>
      <c r="B365" s="34">
        <v>6</v>
      </c>
      <c r="C365" s="34">
        <v>1766</v>
      </c>
      <c r="D365" s="34">
        <v>21</v>
      </c>
      <c r="E365" s="34" t="s">
        <v>11</v>
      </c>
      <c r="F365" s="34" t="s">
        <v>9</v>
      </c>
      <c r="G365" s="34" t="s">
        <v>5</v>
      </c>
    </row>
    <row r="366" spans="1:7" x14ac:dyDescent="0.3">
      <c r="A366" s="34">
        <v>365</v>
      </c>
      <c r="B366" s="34">
        <v>18</v>
      </c>
      <c r="C366" s="34">
        <v>2473</v>
      </c>
      <c r="D366" s="34">
        <v>25</v>
      </c>
      <c r="E366" s="34" t="s">
        <v>3</v>
      </c>
      <c r="F366" s="34" t="s">
        <v>4</v>
      </c>
      <c r="G366" s="34" t="s">
        <v>7</v>
      </c>
    </row>
    <row r="367" spans="1:7" x14ac:dyDescent="0.3">
      <c r="A367" s="34">
        <v>366</v>
      </c>
      <c r="B367" s="34">
        <v>12</v>
      </c>
      <c r="C367" s="34">
        <v>1542</v>
      </c>
      <c r="D367" s="34">
        <v>36</v>
      </c>
      <c r="E367" s="34" t="s">
        <v>3</v>
      </c>
      <c r="F367" s="34" t="s">
        <v>4</v>
      </c>
      <c r="G367" s="34" t="s">
        <v>5</v>
      </c>
    </row>
    <row r="368" spans="1:7" x14ac:dyDescent="0.3">
      <c r="A368" s="34">
        <v>367</v>
      </c>
      <c r="B368" s="34">
        <v>18</v>
      </c>
      <c r="C368" s="34">
        <v>3850</v>
      </c>
      <c r="D368" s="34">
        <v>27</v>
      </c>
      <c r="E368" s="34" t="s">
        <v>3</v>
      </c>
      <c r="F368" s="34" t="s">
        <v>4</v>
      </c>
      <c r="G368" s="34" t="s">
        <v>5</v>
      </c>
    </row>
    <row r="369" spans="1:7" x14ac:dyDescent="0.3">
      <c r="A369" s="34">
        <v>368</v>
      </c>
      <c r="B369" s="34">
        <v>18</v>
      </c>
      <c r="C369" s="34">
        <v>3650</v>
      </c>
      <c r="D369" s="34">
        <v>22</v>
      </c>
      <c r="E369" s="34" t="s">
        <v>6</v>
      </c>
      <c r="F369" s="34" t="s">
        <v>9</v>
      </c>
      <c r="G369" s="34" t="s">
        <v>5</v>
      </c>
    </row>
    <row r="370" spans="1:7" x14ac:dyDescent="0.3">
      <c r="A370" s="34">
        <v>369</v>
      </c>
      <c r="B370" s="34">
        <v>36</v>
      </c>
      <c r="C370" s="34">
        <v>3446</v>
      </c>
      <c r="D370" s="34">
        <v>42</v>
      </c>
      <c r="E370" s="34" t="s">
        <v>3</v>
      </c>
      <c r="F370" s="34" t="s">
        <v>4</v>
      </c>
      <c r="G370" s="34" t="s">
        <v>7</v>
      </c>
    </row>
    <row r="371" spans="1:7" x14ac:dyDescent="0.3">
      <c r="A371" s="34">
        <v>370</v>
      </c>
      <c r="B371" s="34">
        <v>18</v>
      </c>
      <c r="C371" s="34">
        <v>3001</v>
      </c>
      <c r="D371" s="34">
        <v>40</v>
      </c>
      <c r="E371" s="34" t="s">
        <v>6</v>
      </c>
      <c r="F371" s="34" t="s">
        <v>9</v>
      </c>
      <c r="G371" s="34" t="s">
        <v>5</v>
      </c>
    </row>
    <row r="372" spans="1:7" x14ac:dyDescent="0.3">
      <c r="A372" s="34">
        <v>371</v>
      </c>
      <c r="B372" s="34">
        <v>36</v>
      </c>
      <c r="C372" s="34">
        <v>3079</v>
      </c>
      <c r="D372" s="34">
        <v>36</v>
      </c>
      <c r="E372" s="34" t="s">
        <v>3</v>
      </c>
      <c r="F372" s="34" t="s">
        <v>4</v>
      </c>
      <c r="G372" s="34" t="s">
        <v>5</v>
      </c>
    </row>
    <row r="373" spans="1:7" x14ac:dyDescent="0.3">
      <c r="A373" s="34">
        <v>372</v>
      </c>
      <c r="B373" s="34">
        <v>18</v>
      </c>
      <c r="C373" s="34">
        <v>6070</v>
      </c>
      <c r="D373" s="34">
        <v>33</v>
      </c>
      <c r="E373" s="34" t="s">
        <v>3</v>
      </c>
      <c r="F373" s="34" t="s">
        <v>4</v>
      </c>
      <c r="G373" s="34" t="s">
        <v>5</v>
      </c>
    </row>
    <row r="374" spans="1:7" x14ac:dyDescent="0.3">
      <c r="A374" s="34">
        <v>373</v>
      </c>
      <c r="B374" s="34">
        <v>10</v>
      </c>
      <c r="C374" s="34">
        <v>2146</v>
      </c>
      <c r="D374" s="34">
        <v>23</v>
      </c>
      <c r="E374" s="34" t="s">
        <v>6</v>
      </c>
      <c r="F374" s="34" t="s">
        <v>9</v>
      </c>
      <c r="G374" s="34" t="s">
        <v>5</v>
      </c>
    </row>
    <row r="375" spans="1:7" x14ac:dyDescent="0.3">
      <c r="A375" s="34">
        <v>374</v>
      </c>
      <c r="B375" s="34">
        <v>60</v>
      </c>
      <c r="C375" s="34">
        <v>13756</v>
      </c>
      <c r="D375" s="34">
        <v>63</v>
      </c>
      <c r="E375" s="34" t="s">
        <v>3</v>
      </c>
      <c r="F375" s="34" t="s">
        <v>8</v>
      </c>
      <c r="G375" s="34" t="s">
        <v>5</v>
      </c>
    </row>
    <row r="376" spans="1:7" x14ac:dyDescent="0.3">
      <c r="A376" s="34">
        <v>375</v>
      </c>
      <c r="B376" s="34">
        <v>60</v>
      </c>
      <c r="C376" s="34">
        <v>14782</v>
      </c>
      <c r="D376" s="34">
        <v>60</v>
      </c>
      <c r="E376" s="34" t="s">
        <v>6</v>
      </c>
      <c r="F376" s="34" t="s">
        <v>8</v>
      </c>
      <c r="G376" s="34" t="s">
        <v>7</v>
      </c>
    </row>
    <row r="377" spans="1:7" x14ac:dyDescent="0.3">
      <c r="A377" s="34">
        <v>376</v>
      </c>
      <c r="B377" s="34">
        <v>48</v>
      </c>
      <c r="C377" s="34">
        <v>7685</v>
      </c>
      <c r="D377" s="34">
        <v>37</v>
      </c>
      <c r="E377" s="34" t="s">
        <v>6</v>
      </c>
      <c r="F377" s="34" t="s">
        <v>9</v>
      </c>
      <c r="G377" s="34" t="s">
        <v>7</v>
      </c>
    </row>
    <row r="378" spans="1:7" x14ac:dyDescent="0.3">
      <c r="A378" s="34">
        <v>377</v>
      </c>
      <c r="B378" s="34">
        <v>18</v>
      </c>
      <c r="C378" s="34">
        <v>2320</v>
      </c>
      <c r="D378" s="34">
        <v>34</v>
      </c>
      <c r="E378" s="34" t="s">
        <v>11</v>
      </c>
      <c r="F378" s="34" t="s">
        <v>4</v>
      </c>
      <c r="G378" s="34" t="s">
        <v>5</v>
      </c>
    </row>
    <row r="379" spans="1:7" x14ac:dyDescent="0.3">
      <c r="A379" s="34">
        <v>378</v>
      </c>
      <c r="B379" s="34">
        <v>7</v>
      </c>
      <c r="C379" s="34">
        <v>846</v>
      </c>
      <c r="D379" s="34">
        <v>36</v>
      </c>
      <c r="E379" s="34" t="s">
        <v>3</v>
      </c>
      <c r="F379" s="34" t="s">
        <v>8</v>
      </c>
      <c r="G379" s="34" t="s">
        <v>5</v>
      </c>
    </row>
    <row r="380" spans="1:7" x14ac:dyDescent="0.3">
      <c r="A380" s="34">
        <v>379</v>
      </c>
      <c r="B380" s="34">
        <v>36</v>
      </c>
      <c r="C380" s="34">
        <v>14318</v>
      </c>
      <c r="D380" s="34">
        <v>57</v>
      </c>
      <c r="E380" s="34" t="s">
        <v>3</v>
      </c>
      <c r="F380" s="34" t="s">
        <v>8</v>
      </c>
      <c r="G380" s="34" t="s">
        <v>7</v>
      </c>
    </row>
    <row r="381" spans="1:7" x14ac:dyDescent="0.3">
      <c r="A381" s="34">
        <v>380</v>
      </c>
      <c r="B381" s="34">
        <v>6</v>
      </c>
      <c r="C381" s="34">
        <v>362</v>
      </c>
      <c r="D381" s="34">
        <v>52</v>
      </c>
      <c r="E381" s="34" t="s">
        <v>6</v>
      </c>
      <c r="F381" s="34" t="s">
        <v>4</v>
      </c>
      <c r="G381" s="34" t="s">
        <v>5</v>
      </c>
    </row>
    <row r="382" spans="1:7" x14ac:dyDescent="0.3">
      <c r="A382" s="34">
        <v>381</v>
      </c>
      <c r="B382" s="34">
        <v>20</v>
      </c>
      <c r="C382" s="34">
        <v>2212</v>
      </c>
      <c r="D382" s="34">
        <v>39</v>
      </c>
      <c r="E382" s="34" t="s">
        <v>3</v>
      </c>
      <c r="F382" s="34" t="s">
        <v>4</v>
      </c>
      <c r="G382" s="34" t="s">
        <v>5</v>
      </c>
    </row>
    <row r="383" spans="1:7" x14ac:dyDescent="0.3">
      <c r="A383" s="34">
        <v>382</v>
      </c>
      <c r="B383" s="34">
        <v>18</v>
      </c>
      <c r="C383" s="34">
        <v>12976</v>
      </c>
      <c r="D383" s="34">
        <v>38</v>
      </c>
      <c r="E383" s="34" t="s">
        <v>6</v>
      </c>
      <c r="F383" s="34" t="s">
        <v>8</v>
      </c>
      <c r="G383" s="34" t="s">
        <v>7</v>
      </c>
    </row>
    <row r="384" spans="1:7" x14ac:dyDescent="0.3">
      <c r="A384" s="34">
        <v>383</v>
      </c>
      <c r="B384" s="34">
        <v>22</v>
      </c>
      <c r="C384" s="34">
        <v>1283</v>
      </c>
      <c r="D384" s="34">
        <v>25</v>
      </c>
      <c r="E384" s="34" t="s">
        <v>6</v>
      </c>
      <c r="F384" s="34" t="s">
        <v>9</v>
      </c>
      <c r="G384" s="34" t="s">
        <v>5</v>
      </c>
    </row>
    <row r="385" spans="1:7" x14ac:dyDescent="0.3">
      <c r="A385" s="34">
        <v>384</v>
      </c>
      <c r="B385" s="34">
        <v>12</v>
      </c>
      <c r="C385" s="34">
        <v>1330</v>
      </c>
      <c r="D385" s="34">
        <v>26</v>
      </c>
      <c r="E385" s="34" t="s">
        <v>3</v>
      </c>
      <c r="F385" s="34" t="s">
        <v>4</v>
      </c>
      <c r="G385" s="34" t="s">
        <v>5</v>
      </c>
    </row>
    <row r="386" spans="1:7" x14ac:dyDescent="0.3">
      <c r="A386" s="34">
        <v>385</v>
      </c>
      <c r="B386" s="34">
        <v>30</v>
      </c>
      <c r="C386" s="34">
        <v>4272</v>
      </c>
      <c r="D386" s="34">
        <v>26</v>
      </c>
      <c r="E386" s="34" t="s">
        <v>3</v>
      </c>
      <c r="F386" s="34" t="s">
        <v>4</v>
      </c>
      <c r="G386" s="34" t="s">
        <v>5</v>
      </c>
    </row>
    <row r="387" spans="1:7" x14ac:dyDescent="0.3">
      <c r="A387" s="34">
        <v>386</v>
      </c>
      <c r="B387" s="34">
        <v>18</v>
      </c>
      <c r="C387" s="34">
        <v>2238</v>
      </c>
      <c r="D387" s="34">
        <v>25</v>
      </c>
      <c r="E387" s="34" t="s">
        <v>6</v>
      </c>
      <c r="F387" s="34" t="s">
        <v>4</v>
      </c>
      <c r="G387" s="34" t="s">
        <v>5</v>
      </c>
    </row>
    <row r="388" spans="1:7" x14ac:dyDescent="0.3">
      <c r="A388" s="34">
        <v>387</v>
      </c>
      <c r="B388" s="34">
        <v>18</v>
      </c>
      <c r="C388" s="34">
        <v>1126</v>
      </c>
      <c r="D388" s="34">
        <v>21</v>
      </c>
      <c r="E388" s="34" t="s">
        <v>6</v>
      </c>
      <c r="F388" s="34" t="s">
        <v>9</v>
      </c>
      <c r="G388" s="34" t="s">
        <v>5</v>
      </c>
    </row>
    <row r="389" spans="1:7" x14ac:dyDescent="0.3">
      <c r="A389" s="34">
        <v>388</v>
      </c>
      <c r="B389" s="34">
        <v>18</v>
      </c>
      <c r="C389" s="34">
        <v>7374</v>
      </c>
      <c r="D389" s="34">
        <v>40</v>
      </c>
      <c r="E389" s="34" t="s">
        <v>3</v>
      </c>
      <c r="F389" s="34" t="s">
        <v>4</v>
      </c>
      <c r="G389" s="34" t="s">
        <v>5</v>
      </c>
    </row>
    <row r="390" spans="1:7" x14ac:dyDescent="0.3">
      <c r="A390" s="34">
        <v>389</v>
      </c>
      <c r="B390" s="34">
        <v>15</v>
      </c>
      <c r="C390" s="34">
        <v>2326</v>
      </c>
      <c r="D390" s="34">
        <v>27</v>
      </c>
      <c r="E390" s="34" t="s">
        <v>3</v>
      </c>
      <c r="F390" s="34" t="s">
        <v>4</v>
      </c>
      <c r="G390" s="34" t="s">
        <v>5</v>
      </c>
    </row>
    <row r="391" spans="1:7" x14ac:dyDescent="0.3">
      <c r="A391" s="34">
        <v>390</v>
      </c>
      <c r="B391" s="34">
        <v>9</v>
      </c>
      <c r="C391" s="34">
        <v>1449</v>
      </c>
      <c r="D391" s="34">
        <v>27</v>
      </c>
      <c r="E391" s="34" t="s">
        <v>6</v>
      </c>
      <c r="F391" s="34" t="s">
        <v>4</v>
      </c>
      <c r="G391" s="34" t="s">
        <v>5</v>
      </c>
    </row>
    <row r="392" spans="1:7" x14ac:dyDescent="0.3">
      <c r="A392" s="34">
        <v>391</v>
      </c>
      <c r="B392" s="34">
        <v>18</v>
      </c>
      <c r="C392" s="34">
        <v>1820</v>
      </c>
      <c r="D392" s="34">
        <v>30</v>
      </c>
      <c r="E392" s="34" t="s">
        <v>11</v>
      </c>
      <c r="F392" s="34" t="s">
        <v>4</v>
      </c>
      <c r="G392" s="34" t="s">
        <v>5</v>
      </c>
    </row>
    <row r="393" spans="1:7" x14ac:dyDescent="0.3">
      <c r="A393" s="34">
        <v>392</v>
      </c>
      <c r="B393" s="34">
        <v>12</v>
      </c>
      <c r="C393" s="34">
        <v>983</v>
      </c>
      <c r="D393" s="34">
        <v>19</v>
      </c>
      <c r="E393" s="34" t="s">
        <v>6</v>
      </c>
      <c r="F393" s="34" t="s">
        <v>9</v>
      </c>
      <c r="G393" s="34" t="s">
        <v>5</v>
      </c>
    </row>
    <row r="394" spans="1:7" x14ac:dyDescent="0.3">
      <c r="A394" s="34">
        <v>393</v>
      </c>
      <c r="B394" s="34">
        <v>36</v>
      </c>
      <c r="C394" s="34">
        <v>3249</v>
      </c>
      <c r="D394" s="34">
        <v>39</v>
      </c>
      <c r="E394" s="34" t="s">
        <v>3</v>
      </c>
      <c r="F394" s="34" t="s">
        <v>8</v>
      </c>
      <c r="G394" s="34" t="s">
        <v>5</v>
      </c>
    </row>
    <row r="395" spans="1:7" x14ac:dyDescent="0.3">
      <c r="A395" s="34">
        <v>394</v>
      </c>
      <c r="B395" s="34">
        <v>6</v>
      </c>
      <c r="C395" s="34">
        <v>1957</v>
      </c>
      <c r="D395" s="34">
        <v>31</v>
      </c>
      <c r="E395" s="34" t="s">
        <v>6</v>
      </c>
      <c r="F395" s="34" t="s">
        <v>4</v>
      </c>
      <c r="G395" s="34" t="s">
        <v>5</v>
      </c>
    </row>
    <row r="396" spans="1:7" x14ac:dyDescent="0.3">
      <c r="A396" s="34">
        <v>395</v>
      </c>
      <c r="B396" s="34">
        <v>9</v>
      </c>
      <c r="C396" s="34">
        <v>2406</v>
      </c>
      <c r="D396" s="34">
        <v>31</v>
      </c>
      <c r="E396" s="34" t="s">
        <v>3</v>
      </c>
      <c r="F396" s="34" t="s">
        <v>4</v>
      </c>
      <c r="G396" s="34" t="s">
        <v>5</v>
      </c>
    </row>
    <row r="397" spans="1:7" x14ac:dyDescent="0.3">
      <c r="A397" s="34">
        <v>396</v>
      </c>
      <c r="B397" s="34">
        <v>39</v>
      </c>
      <c r="C397" s="34">
        <v>11760</v>
      </c>
      <c r="D397" s="34">
        <v>32</v>
      </c>
      <c r="E397" s="34" t="s">
        <v>3</v>
      </c>
      <c r="F397" s="34" t="s">
        <v>9</v>
      </c>
      <c r="G397" s="34" t="s">
        <v>5</v>
      </c>
    </row>
    <row r="398" spans="1:7" x14ac:dyDescent="0.3">
      <c r="A398" s="34">
        <v>397</v>
      </c>
      <c r="B398" s="34">
        <v>12</v>
      </c>
      <c r="C398" s="34">
        <v>2578</v>
      </c>
      <c r="D398" s="34">
        <v>55</v>
      </c>
      <c r="E398" s="34" t="s">
        <v>6</v>
      </c>
      <c r="F398" s="34" t="s">
        <v>8</v>
      </c>
      <c r="G398" s="34" t="s">
        <v>5</v>
      </c>
    </row>
    <row r="399" spans="1:7" x14ac:dyDescent="0.3">
      <c r="A399" s="34">
        <v>398</v>
      </c>
      <c r="B399" s="34">
        <v>36</v>
      </c>
      <c r="C399" s="34">
        <v>2348</v>
      </c>
      <c r="D399" s="34">
        <v>46</v>
      </c>
      <c r="E399" s="34" t="s">
        <v>11</v>
      </c>
      <c r="F399" s="34" t="s">
        <v>4</v>
      </c>
      <c r="G399" s="34" t="s">
        <v>5</v>
      </c>
    </row>
    <row r="400" spans="1:7" x14ac:dyDescent="0.3">
      <c r="A400" s="34">
        <v>399</v>
      </c>
      <c r="B400" s="34">
        <v>12</v>
      </c>
      <c r="C400" s="34">
        <v>1223</v>
      </c>
      <c r="D400" s="34">
        <v>46</v>
      </c>
      <c r="E400" s="34" t="s">
        <v>10</v>
      </c>
      <c r="F400" s="34" t="s">
        <v>9</v>
      </c>
      <c r="G400" s="34" t="s">
        <v>7</v>
      </c>
    </row>
    <row r="401" spans="1:7" x14ac:dyDescent="0.3">
      <c r="A401" s="34">
        <v>400</v>
      </c>
      <c r="B401" s="34">
        <v>24</v>
      </c>
      <c r="C401" s="34">
        <v>1516</v>
      </c>
      <c r="D401" s="34">
        <v>43</v>
      </c>
      <c r="E401" s="34" t="s">
        <v>6</v>
      </c>
      <c r="F401" s="34" t="s">
        <v>4</v>
      </c>
      <c r="G401" s="34" t="s">
        <v>5</v>
      </c>
    </row>
    <row r="402" spans="1:7" x14ac:dyDescent="0.3">
      <c r="A402" s="34">
        <v>401</v>
      </c>
      <c r="B402" s="34">
        <v>18</v>
      </c>
      <c r="C402" s="34">
        <v>1473</v>
      </c>
      <c r="D402" s="34">
        <v>39</v>
      </c>
      <c r="E402" s="34" t="s">
        <v>11</v>
      </c>
      <c r="F402" s="34" t="s">
        <v>4</v>
      </c>
      <c r="G402" s="34" t="s">
        <v>5</v>
      </c>
    </row>
    <row r="403" spans="1:7" x14ac:dyDescent="0.3">
      <c r="A403" s="34">
        <v>402</v>
      </c>
      <c r="B403" s="34">
        <v>18</v>
      </c>
      <c r="C403" s="34">
        <v>1887</v>
      </c>
      <c r="D403" s="34">
        <v>28</v>
      </c>
      <c r="E403" s="34" t="s">
        <v>11</v>
      </c>
      <c r="F403" s="34" t="s">
        <v>4</v>
      </c>
      <c r="G403" s="34" t="s">
        <v>5</v>
      </c>
    </row>
    <row r="404" spans="1:7" x14ac:dyDescent="0.3">
      <c r="A404" s="34">
        <v>403</v>
      </c>
      <c r="B404" s="34">
        <v>24</v>
      </c>
      <c r="C404" s="34">
        <v>8648</v>
      </c>
      <c r="D404" s="34">
        <v>27</v>
      </c>
      <c r="E404" s="34" t="s">
        <v>3</v>
      </c>
      <c r="F404" s="34" t="s">
        <v>4</v>
      </c>
      <c r="G404" s="34" t="s">
        <v>7</v>
      </c>
    </row>
    <row r="405" spans="1:7" x14ac:dyDescent="0.3">
      <c r="A405" s="34">
        <v>404</v>
      </c>
      <c r="B405" s="34">
        <v>14</v>
      </c>
      <c r="C405" s="34">
        <v>802</v>
      </c>
      <c r="D405" s="34">
        <v>27</v>
      </c>
      <c r="E405" s="34" t="s">
        <v>3</v>
      </c>
      <c r="F405" s="34" t="s">
        <v>4</v>
      </c>
      <c r="G405" s="34" t="s">
        <v>5</v>
      </c>
    </row>
    <row r="406" spans="1:7" x14ac:dyDescent="0.3">
      <c r="A406" s="34">
        <v>405</v>
      </c>
      <c r="B406" s="34">
        <v>18</v>
      </c>
      <c r="C406" s="34">
        <v>2899</v>
      </c>
      <c r="D406" s="34">
        <v>43</v>
      </c>
      <c r="E406" s="34" t="s">
        <v>3</v>
      </c>
      <c r="F406" s="34" t="s">
        <v>4</v>
      </c>
      <c r="G406" s="34" t="s">
        <v>5</v>
      </c>
    </row>
    <row r="407" spans="1:7" x14ac:dyDescent="0.3">
      <c r="A407" s="34">
        <v>406</v>
      </c>
      <c r="B407" s="34">
        <v>24</v>
      </c>
      <c r="C407" s="34">
        <v>2039</v>
      </c>
      <c r="D407" s="34">
        <v>22</v>
      </c>
      <c r="E407" s="34" t="s">
        <v>11</v>
      </c>
      <c r="F407" s="34" t="s">
        <v>4</v>
      </c>
      <c r="G407" s="34" t="s">
        <v>7</v>
      </c>
    </row>
    <row r="408" spans="1:7" x14ac:dyDescent="0.3">
      <c r="A408" s="34">
        <v>407</v>
      </c>
      <c r="B408" s="34">
        <v>24</v>
      </c>
      <c r="C408" s="34">
        <v>2197</v>
      </c>
      <c r="D408" s="34">
        <v>43</v>
      </c>
      <c r="E408" s="34" t="s">
        <v>3</v>
      </c>
      <c r="F408" s="34" t="s">
        <v>4</v>
      </c>
      <c r="G408" s="34" t="s">
        <v>5</v>
      </c>
    </row>
    <row r="409" spans="1:7" x14ac:dyDescent="0.3">
      <c r="A409" s="34">
        <v>408</v>
      </c>
      <c r="B409" s="34">
        <v>15</v>
      </c>
      <c r="C409" s="34">
        <v>1053</v>
      </c>
      <c r="D409" s="34">
        <v>27</v>
      </c>
      <c r="E409" s="34" t="s">
        <v>11</v>
      </c>
      <c r="F409" s="34" t="s">
        <v>4</v>
      </c>
      <c r="G409" s="34" t="s">
        <v>5</v>
      </c>
    </row>
    <row r="410" spans="1:7" x14ac:dyDescent="0.3">
      <c r="A410" s="34">
        <v>409</v>
      </c>
      <c r="B410" s="34">
        <v>24</v>
      </c>
      <c r="C410" s="34">
        <v>3235</v>
      </c>
      <c r="D410" s="34">
        <v>26</v>
      </c>
      <c r="E410" s="34" t="s">
        <v>10</v>
      </c>
      <c r="F410" s="34" t="s">
        <v>4</v>
      </c>
      <c r="G410" s="34" t="s">
        <v>5</v>
      </c>
    </row>
    <row r="411" spans="1:7" x14ac:dyDescent="0.3">
      <c r="A411" s="34">
        <v>410</v>
      </c>
      <c r="B411" s="34">
        <v>12</v>
      </c>
      <c r="C411" s="34">
        <v>939</v>
      </c>
      <c r="D411" s="34">
        <v>28</v>
      </c>
      <c r="E411" s="34" t="s">
        <v>11</v>
      </c>
      <c r="F411" s="34" t="s">
        <v>4</v>
      </c>
      <c r="G411" s="34" t="s">
        <v>7</v>
      </c>
    </row>
    <row r="412" spans="1:7" x14ac:dyDescent="0.3">
      <c r="A412" s="34">
        <v>411</v>
      </c>
      <c r="B412" s="34">
        <v>24</v>
      </c>
      <c r="C412" s="34">
        <v>1967</v>
      </c>
      <c r="D412" s="34">
        <v>20</v>
      </c>
      <c r="E412" s="34" t="s">
        <v>6</v>
      </c>
      <c r="F412" s="34" t="s">
        <v>4</v>
      </c>
      <c r="G412" s="34" t="s">
        <v>5</v>
      </c>
    </row>
    <row r="413" spans="1:7" x14ac:dyDescent="0.3">
      <c r="A413" s="34">
        <v>412</v>
      </c>
      <c r="B413" s="34">
        <v>33</v>
      </c>
      <c r="C413" s="34">
        <v>7253</v>
      </c>
      <c r="D413" s="34">
        <v>35</v>
      </c>
      <c r="E413" s="34" t="s">
        <v>3</v>
      </c>
      <c r="F413" s="34" t="s">
        <v>4</v>
      </c>
      <c r="G413" s="34" t="s">
        <v>5</v>
      </c>
    </row>
    <row r="414" spans="1:7" x14ac:dyDescent="0.3">
      <c r="A414" s="34">
        <v>413</v>
      </c>
      <c r="B414" s="34">
        <v>12</v>
      </c>
      <c r="C414" s="34">
        <v>2292</v>
      </c>
      <c r="D414" s="34">
        <v>42</v>
      </c>
      <c r="E414" s="34" t="s">
        <v>3</v>
      </c>
      <c r="F414" s="34" t="s">
        <v>4</v>
      </c>
      <c r="G414" s="34" t="s">
        <v>7</v>
      </c>
    </row>
    <row r="415" spans="1:7" x14ac:dyDescent="0.3">
      <c r="A415" s="34">
        <v>414</v>
      </c>
      <c r="B415" s="34">
        <v>10</v>
      </c>
      <c r="C415" s="34">
        <v>1597</v>
      </c>
      <c r="D415" s="34">
        <v>40</v>
      </c>
      <c r="E415" s="34" t="s">
        <v>3</v>
      </c>
      <c r="F415" s="34" t="s">
        <v>9</v>
      </c>
      <c r="G415" s="34" t="s">
        <v>5</v>
      </c>
    </row>
    <row r="416" spans="1:7" x14ac:dyDescent="0.3">
      <c r="A416" s="34">
        <v>415</v>
      </c>
      <c r="B416" s="34">
        <v>24</v>
      </c>
      <c r="C416" s="34">
        <v>1381</v>
      </c>
      <c r="D416" s="34">
        <v>35</v>
      </c>
      <c r="E416" s="34" t="s">
        <v>6</v>
      </c>
      <c r="F416" s="34" t="s">
        <v>4</v>
      </c>
      <c r="G416" s="34" t="s">
        <v>7</v>
      </c>
    </row>
    <row r="417" spans="1:7" x14ac:dyDescent="0.3">
      <c r="A417" s="34">
        <v>416</v>
      </c>
      <c r="B417" s="34">
        <v>36</v>
      </c>
      <c r="C417" s="34">
        <v>5842</v>
      </c>
      <c r="D417" s="34">
        <v>35</v>
      </c>
      <c r="E417" s="34" t="s">
        <v>3</v>
      </c>
      <c r="F417" s="34" t="s">
        <v>4</v>
      </c>
      <c r="G417" s="34" t="s">
        <v>5</v>
      </c>
    </row>
    <row r="418" spans="1:7" x14ac:dyDescent="0.3">
      <c r="A418" s="34">
        <v>417</v>
      </c>
      <c r="B418" s="34">
        <v>12</v>
      </c>
      <c r="C418" s="34">
        <v>2579</v>
      </c>
      <c r="D418" s="34">
        <v>33</v>
      </c>
      <c r="E418" s="34" t="s">
        <v>3</v>
      </c>
      <c r="F418" s="34" t="s">
        <v>4</v>
      </c>
      <c r="G418" s="34" t="s">
        <v>7</v>
      </c>
    </row>
    <row r="419" spans="1:7" x14ac:dyDescent="0.3">
      <c r="A419" s="34">
        <v>418</v>
      </c>
      <c r="B419" s="34">
        <v>18</v>
      </c>
      <c r="C419" s="34">
        <v>8471</v>
      </c>
      <c r="D419" s="34">
        <v>23</v>
      </c>
      <c r="E419" s="34" t="s">
        <v>6</v>
      </c>
      <c r="F419" s="34" t="s">
        <v>9</v>
      </c>
      <c r="G419" s="34" t="s">
        <v>5</v>
      </c>
    </row>
    <row r="420" spans="1:7" x14ac:dyDescent="0.3">
      <c r="A420" s="34">
        <v>419</v>
      </c>
      <c r="B420" s="34">
        <v>21</v>
      </c>
      <c r="C420" s="34">
        <v>2782</v>
      </c>
      <c r="D420" s="34">
        <v>31</v>
      </c>
      <c r="E420" s="34" t="s">
        <v>6</v>
      </c>
      <c r="F420" s="34" t="s">
        <v>4</v>
      </c>
      <c r="G420" s="34" t="s">
        <v>5</v>
      </c>
    </row>
    <row r="421" spans="1:7" x14ac:dyDescent="0.3">
      <c r="A421" s="34">
        <v>420</v>
      </c>
      <c r="B421" s="34">
        <v>18</v>
      </c>
      <c r="C421" s="34">
        <v>1042</v>
      </c>
      <c r="D421" s="34">
        <v>33</v>
      </c>
      <c r="E421" s="34" t="s">
        <v>6</v>
      </c>
      <c r="F421" s="34" t="s">
        <v>4</v>
      </c>
      <c r="G421" s="34" t="s">
        <v>7</v>
      </c>
    </row>
    <row r="422" spans="1:7" x14ac:dyDescent="0.3">
      <c r="A422" s="34">
        <v>421</v>
      </c>
      <c r="B422" s="34">
        <v>15</v>
      </c>
      <c r="C422" s="34">
        <v>3186</v>
      </c>
      <c r="D422" s="34">
        <v>20</v>
      </c>
      <c r="E422" s="34" t="s">
        <v>6</v>
      </c>
      <c r="F422" s="34" t="s">
        <v>9</v>
      </c>
      <c r="G422" s="34" t="s">
        <v>5</v>
      </c>
    </row>
    <row r="423" spans="1:7" x14ac:dyDescent="0.3">
      <c r="A423" s="34">
        <v>422</v>
      </c>
      <c r="B423" s="34">
        <v>12</v>
      </c>
      <c r="C423" s="34">
        <v>2028</v>
      </c>
      <c r="D423" s="34">
        <v>30</v>
      </c>
      <c r="E423" s="34" t="s">
        <v>3</v>
      </c>
      <c r="F423" s="34" t="s">
        <v>4</v>
      </c>
      <c r="G423" s="34" t="s">
        <v>5</v>
      </c>
    </row>
    <row r="424" spans="1:7" x14ac:dyDescent="0.3">
      <c r="A424" s="34">
        <v>423</v>
      </c>
      <c r="B424" s="34">
        <v>12</v>
      </c>
      <c r="C424" s="34">
        <v>958</v>
      </c>
      <c r="D424" s="34">
        <v>47</v>
      </c>
      <c r="E424" s="34" t="s">
        <v>3</v>
      </c>
      <c r="F424" s="34" t="s">
        <v>4</v>
      </c>
      <c r="G424" s="34" t="s">
        <v>5</v>
      </c>
    </row>
    <row r="425" spans="1:7" x14ac:dyDescent="0.3">
      <c r="A425" s="34">
        <v>424</v>
      </c>
      <c r="B425" s="34">
        <v>21</v>
      </c>
      <c r="C425" s="34">
        <v>1591</v>
      </c>
      <c r="D425" s="34">
        <v>34</v>
      </c>
      <c r="E425" s="34" t="s">
        <v>3</v>
      </c>
      <c r="F425" s="34" t="s">
        <v>4</v>
      </c>
      <c r="G425" s="34" t="s">
        <v>5</v>
      </c>
    </row>
    <row r="426" spans="1:7" x14ac:dyDescent="0.3">
      <c r="A426" s="34">
        <v>425</v>
      </c>
      <c r="B426" s="34">
        <v>12</v>
      </c>
      <c r="C426" s="34">
        <v>2762</v>
      </c>
      <c r="D426" s="34">
        <v>25</v>
      </c>
      <c r="E426" s="34" t="s">
        <v>6</v>
      </c>
      <c r="F426" s="34" t="s">
        <v>4</v>
      </c>
      <c r="G426" s="34" t="s">
        <v>7</v>
      </c>
    </row>
    <row r="427" spans="1:7" x14ac:dyDescent="0.3">
      <c r="A427" s="34">
        <v>426</v>
      </c>
      <c r="B427" s="34">
        <v>18</v>
      </c>
      <c r="C427" s="34">
        <v>2779</v>
      </c>
      <c r="D427" s="34">
        <v>21</v>
      </c>
      <c r="E427" s="34" t="s">
        <v>11</v>
      </c>
      <c r="F427" s="34" t="s">
        <v>9</v>
      </c>
      <c r="G427" s="34" t="s">
        <v>5</v>
      </c>
    </row>
    <row r="428" spans="1:7" x14ac:dyDescent="0.3">
      <c r="A428" s="34">
        <v>427</v>
      </c>
      <c r="B428" s="34">
        <v>28</v>
      </c>
      <c r="C428" s="34">
        <v>2743</v>
      </c>
      <c r="D428" s="34">
        <v>29</v>
      </c>
      <c r="E428" s="34" t="s">
        <v>3</v>
      </c>
      <c r="F428" s="34" t="s">
        <v>4</v>
      </c>
      <c r="G428" s="34" t="s">
        <v>5</v>
      </c>
    </row>
    <row r="429" spans="1:7" x14ac:dyDescent="0.3">
      <c r="A429" s="34">
        <v>428</v>
      </c>
      <c r="B429" s="34">
        <v>18</v>
      </c>
      <c r="C429" s="34">
        <v>1149</v>
      </c>
      <c r="D429" s="34">
        <v>46</v>
      </c>
      <c r="E429" s="34" t="s">
        <v>3</v>
      </c>
      <c r="F429" s="34" t="s">
        <v>4</v>
      </c>
      <c r="G429" s="34" t="s">
        <v>5</v>
      </c>
    </row>
    <row r="430" spans="1:7" x14ac:dyDescent="0.3">
      <c r="A430" s="34">
        <v>429</v>
      </c>
      <c r="B430" s="34">
        <v>9</v>
      </c>
      <c r="C430" s="34">
        <v>1313</v>
      </c>
      <c r="D430" s="34">
        <v>20</v>
      </c>
      <c r="E430" s="34" t="s">
        <v>3</v>
      </c>
      <c r="F430" s="34" t="s">
        <v>4</v>
      </c>
      <c r="G430" s="34" t="s">
        <v>5</v>
      </c>
    </row>
    <row r="431" spans="1:7" x14ac:dyDescent="0.3">
      <c r="A431" s="34">
        <v>430</v>
      </c>
      <c r="B431" s="34">
        <v>18</v>
      </c>
      <c r="C431" s="34">
        <v>1190</v>
      </c>
      <c r="D431" s="34">
        <v>55</v>
      </c>
      <c r="E431" s="34" t="s">
        <v>6</v>
      </c>
      <c r="F431" s="34" t="s">
        <v>8</v>
      </c>
      <c r="G431" s="34" t="s">
        <v>7</v>
      </c>
    </row>
    <row r="432" spans="1:7" x14ac:dyDescent="0.3">
      <c r="A432" s="34">
        <v>431</v>
      </c>
      <c r="B432" s="34">
        <v>5</v>
      </c>
      <c r="C432" s="34">
        <v>3448</v>
      </c>
      <c r="D432" s="34">
        <v>74</v>
      </c>
      <c r="E432" s="34" t="s">
        <v>3</v>
      </c>
      <c r="F432" s="34" t="s">
        <v>4</v>
      </c>
      <c r="G432" s="34" t="s">
        <v>5</v>
      </c>
    </row>
    <row r="433" spans="1:7" x14ac:dyDescent="0.3">
      <c r="A433" s="34">
        <v>432</v>
      </c>
      <c r="B433" s="34">
        <v>24</v>
      </c>
      <c r="C433" s="34">
        <v>11328</v>
      </c>
      <c r="D433" s="34">
        <v>29</v>
      </c>
      <c r="E433" s="34" t="s">
        <v>3</v>
      </c>
      <c r="F433" s="34" t="s">
        <v>4</v>
      </c>
      <c r="G433" s="34" t="s">
        <v>7</v>
      </c>
    </row>
    <row r="434" spans="1:7" x14ac:dyDescent="0.3">
      <c r="A434" s="34">
        <v>433</v>
      </c>
      <c r="B434" s="34">
        <v>6</v>
      </c>
      <c r="C434" s="34">
        <v>1872</v>
      </c>
      <c r="D434" s="34">
        <v>36</v>
      </c>
      <c r="E434" s="34" t="s">
        <v>3</v>
      </c>
      <c r="F434" s="34" t="s">
        <v>8</v>
      </c>
      <c r="G434" s="34" t="s">
        <v>5</v>
      </c>
    </row>
    <row r="435" spans="1:7" x14ac:dyDescent="0.3">
      <c r="A435" s="34">
        <v>434</v>
      </c>
      <c r="B435" s="34">
        <v>24</v>
      </c>
      <c r="C435" s="34">
        <v>2058</v>
      </c>
      <c r="D435" s="34">
        <v>33</v>
      </c>
      <c r="E435" s="34" t="s">
        <v>10</v>
      </c>
      <c r="F435" s="34" t="s">
        <v>4</v>
      </c>
      <c r="G435" s="34" t="s">
        <v>5</v>
      </c>
    </row>
    <row r="436" spans="1:7" x14ac:dyDescent="0.3">
      <c r="A436" s="34">
        <v>435</v>
      </c>
      <c r="B436" s="34">
        <v>9</v>
      </c>
      <c r="C436" s="34">
        <v>2136</v>
      </c>
      <c r="D436" s="34">
        <v>25</v>
      </c>
      <c r="E436" s="34" t="s">
        <v>3</v>
      </c>
      <c r="F436" s="34" t="s">
        <v>4</v>
      </c>
      <c r="G436" s="34" t="s">
        <v>5</v>
      </c>
    </row>
    <row r="437" spans="1:7" x14ac:dyDescent="0.3">
      <c r="A437" s="34">
        <v>436</v>
      </c>
      <c r="B437" s="34">
        <v>12</v>
      </c>
      <c r="C437" s="34">
        <v>1484</v>
      </c>
      <c r="D437" s="34">
        <v>25</v>
      </c>
      <c r="E437" s="34" t="s">
        <v>11</v>
      </c>
      <c r="F437" s="34" t="s">
        <v>4</v>
      </c>
      <c r="G437" s="34" t="s">
        <v>7</v>
      </c>
    </row>
    <row r="438" spans="1:7" x14ac:dyDescent="0.3">
      <c r="A438" s="34">
        <v>437</v>
      </c>
      <c r="B438" s="34">
        <v>6</v>
      </c>
      <c r="C438" s="34">
        <v>660</v>
      </c>
      <c r="D438" s="34">
        <v>23</v>
      </c>
      <c r="E438" s="34" t="s">
        <v>11</v>
      </c>
      <c r="F438" s="34" t="s">
        <v>9</v>
      </c>
      <c r="G438" s="34" t="s">
        <v>5</v>
      </c>
    </row>
    <row r="439" spans="1:7" x14ac:dyDescent="0.3">
      <c r="A439" s="34">
        <v>438</v>
      </c>
      <c r="B439" s="34">
        <v>24</v>
      </c>
      <c r="C439" s="34">
        <v>1287</v>
      </c>
      <c r="D439" s="34">
        <v>37</v>
      </c>
      <c r="E439" s="34" t="s">
        <v>6</v>
      </c>
      <c r="F439" s="34" t="s">
        <v>4</v>
      </c>
      <c r="G439" s="34" t="s">
        <v>5</v>
      </c>
    </row>
    <row r="440" spans="1:7" x14ac:dyDescent="0.3">
      <c r="A440" s="34">
        <v>439</v>
      </c>
      <c r="B440" s="34">
        <v>42</v>
      </c>
      <c r="C440" s="34">
        <v>3394</v>
      </c>
      <c r="D440" s="34">
        <v>65</v>
      </c>
      <c r="E440" s="34" t="s">
        <v>3</v>
      </c>
      <c r="F440" s="34" t="s">
        <v>4</v>
      </c>
      <c r="G440" s="34" t="s">
        <v>5</v>
      </c>
    </row>
    <row r="441" spans="1:7" x14ac:dyDescent="0.3">
      <c r="A441" s="34">
        <v>440</v>
      </c>
      <c r="B441" s="34">
        <v>12</v>
      </c>
      <c r="C441" s="34">
        <v>609</v>
      </c>
      <c r="D441" s="34">
        <v>26</v>
      </c>
      <c r="E441" s="34" t="s">
        <v>6</v>
      </c>
      <c r="F441" s="34" t="s">
        <v>4</v>
      </c>
      <c r="G441" s="34" t="s">
        <v>7</v>
      </c>
    </row>
    <row r="442" spans="1:7" x14ac:dyDescent="0.3">
      <c r="A442" s="34">
        <v>441</v>
      </c>
      <c r="B442" s="34">
        <v>12</v>
      </c>
      <c r="C442" s="34">
        <v>1884</v>
      </c>
      <c r="D442" s="34">
        <v>39</v>
      </c>
      <c r="E442" s="34" t="s">
        <v>3</v>
      </c>
      <c r="F442" s="34" t="s">
        <v>4</v>
      </c>
      <c r="G442" s="34" t="s">
        <v>5</v>
      </c>
    </row>
    <row r="443" spans="1:7" x14ac:dyDescent="0.3">
      <c r="A443" s="34">
        <v>442</v>
      </c>
      <c r="B443" s="34">
        <v>12</v>
      </c>
      <c r="C443" s="34">
        <v>1620</v>
      </c>
      <c r="D443" s="34">
        <v>30</v>
      </c>
      <c r="E443" s="34" t="s">
        <v>6</v>
      </c>
      <c r="F443" s="34" t="s">
        <v>4</v>
      </c>
      <c r="G443" s="34" t="s">
        <v>5</v>
      </c>
    </row>
    <row r="444" spans="1:7" x14ac:dyDescent="0.3">
      <c r="A444" s="34">
        <v>443</v>
      </c>
      <c r="B444" s="34">
        <v>20</v>
      </c>
      <c r="C444" s="34">
        <v>2629</v>
      </c>
      <c r="D444" s="34">
        <v>29</v>
      </c>
      <c r="E444" s="34" t="s">
        <v>3</v>
      </c>
      <c r="F444" s="34" t="s">
        <v>4</v>
      </c>
      <c r="G444" s="34" t="s">
        <v>5</v>
      </c>
    </row>
    <row r="445" spans="1:7" x14ac:dyDescent="0.3">
      <c r="A445" s="34">
        <v>444</v>
      </c>
      <c r="B445" s="34">
        <v>12</v>
      </c>
      <c r="C445" s="34">
        <v>719</v>
      </c>
      <c r="D445" s="34">
        <v>41</v>
      </c>
      <c r="E445" s="34" t="s">
        <v>3</v>
      </c>
      <c r="F445" s="34" t="s">
        <v>4</v>
      </c>
      <c r="G445" s="34" t="s">
        <v>7</v>
      </c>
    </row>
    <row r="446" spans="1:7" x14ac:dyDescent="0.3">
      <c r="A446" s="34">
        <v>445</v>
      </c>
      <c r="B446" s="34">
        <v>48</v>
      </c>
      <c r="C446" s="34">
        <v>5096</v>
      </c>
      <c r="D446" s="34">
        <v>30</v>
      </c>
      <c r="E446" s="34" t="s">
        <v>6</v>
      </c>
      <c r="F446" s="34" t="s">
        <v>4</v>
      </c>
      <c r="G446" s="34" t="s">
        <v>7</v>
      </c>
    </row>
    <row r="447" spans="1:7" x14ac:dyDescent="0.3">
      <c r="A447" s="34">
        <v>446</v>
      </c>
      <c r="B447" s="34">
        <v>9</v>
      </c>
      <c r="C447" s="34">
        <v>1244</v>
      </c>
      <c r="D447" s="34">
        <v>41</v>
      </c>
      <c r="E447" s="34" t="s">
        <v>6</v>
      </c>
      <c r="F447" s="34" t="s">
        <v>9</v>
      </c>
      <c r="G447" s="34" t="s">
        <v>5</v>
      </c>
    </row>
    <row r="448" spans="1:7" x14ac:dyDescent="0.3">
      <c r="A448" s="34">
        <v>447</v>
      </c>
      <c r="B448" s="34">
        <v>36</v>
      </c>
      <c r="C448" s="34">
        <v>1842</v>
      </c>
      <c r="D448" s="34">
        <v>34</v>
      </c>
      <c r="E448" s="34" t="s">
        <v>6</v>
      </c>
      <c r="F448" s="34" t="s">
        <v>4</v>
      </c>
      <c r="G448" s="34" t="s">
        <v>7</v>
      </c>
    </row>
    <row r="449" spans="1:7" x14ac:dyDescent="0.3">
      <c r="A449" s="34">
        <v>448</v>
      </c>
      <c r="B449" s="34">
        <v>7</v>
      </c>
      <c r="C449" s="34">
        <v>2576</v>
      </c>
      <c r="D449" s="34">
        <v>35</v>
      </c>
      <c r="E449" s="34" t="s">
        <v>3</v>
      </c>
      <c r="F449" s="34" t="s">
        <v>4</v>
      </c>
      <c r="G449" s="34" t="s">
        <v>5</v>
      </c>
    </row>
    <row r="450" spans="1:7" x14ac:dyDescent="0.3">
      <c r="A450" s="34">
        <v>449</v>
      </c>
      <c r="B450" s="34">
        <v>12</v>
      </c>
      <c r="C450" s="34">
        <v>1424</v>
      </c>
      <c r="D450" s="34">
        <v>55</v>
      </c>
      <c r="E450" s="34" t="s">
        <v>6</v>
      </c>
      <c r="F450" s="34" t="s">
        <v>4</v>
      </c>
      <c r="G450" s="34" t="s">
        <v>5</v>
      </c>
    </row>
    <row r="451" spans="1:7" x14ac:dyDescent="0.3">
      <c r="A451" s="34">
        <v>450</v>
      </c>
      <c r="B451" s="34">
        <v>15</v>
      </c>
      <c r="C451" s="34">
        <v>1512</v>
      </c>
      <c r="D451" s="34">
        <v>61</v>
      </c>
      <c r="E451" s="34" t="s">
        <v>11</v>
      </c>
      <c r="F451" s="34" t="s">
        <v>4</v>
      </c>
      <c r="G451" s="34" t="s">
        <v>7</v>
      </c>
    </row>
    <row r="452" spans="1:7" x14ac:dyDescent="0.3">
      <c r="A452" s="34">
        <v>451</v>
      </c>
      <c r="B452" s="34">
        <v>36</v>
      </c>
      <c r="C452" s="34">
        <v>11054</v>
      </c>
      <c r="D452" s="34">
        <v>30</v>
      </c>
      <c r="E452" s="34" t="s">
        <v>3</v>
      </c>
      <c r="F452" s="34" t="s">
        <v>4</v>
      </c>
      <c r="G452" s="34" t="s">
        <v>5</v>
      </c>
    </row>
    <row r="453" spans="1:7" x14ac:dyDescent="0.3">
      <c r="A453" s="34">
        <v>452</v>
      </c>
      <c r="B453" s="34">
        <v>6</v>
      </c>
      <c r="C453" s="34">
        <v>518</v>
      </c>
      <c r="D453" s="34">
        <v>29</v>
      </c>
      <c r="E453" s="34" t="s">
        <v>6</v>
      </c>
      <c r="F453" s="34" t="s">
        <v>4</v>
      </c>
      <c r="G453" s="34" t="s">
        <v>5</v>
      </c>
    </row>
    <row r="454" spans="1:7" x14ac:dyDescent="0.3">
      <c r="A454" s="34">
        <v>453</v>
      </c>
      <c r="B454" s="34">
        <v>12</v>
      </c>
      <c r="C454" s="34">
        <v>2759</v>
      </c>
      <c r="D454" s="34">
        <v>34</v>
      </c>
      <c r="E454" s="34" t="s">
        <v>3</v>
      </c>
      <c r="F454" s="34" t="s">
        <v>4</v>
      </c>
      <c r="G454" s="34" t="s">
        <v>5</v>
      </c>
    </row>
    <row r="455" spans="1:7" x14ac:dyDescent="0.3">
      <c r="A455" s="34">
        <v>454</v>
      </c>
      <c r="B455" s="34">
        <v>24</v>
      </c>
      <c r="C455" s="34">
        <v>2670</v>
      </c>
      <c r="D455" s="34">
        <v>35</v>
      </c>
      <c r="E455" s="34" t="s">
        <v>3</v>
      </c>
      <c r="F455" s="34" t="s">
        <v>4</v>
      </c>
      <c r="G455" s="34" t="s">
        <v>5</v>
      </c>
    </row>
    <row r="456" spans="1:7" x14ac:dyDescent="0.3">
      <c r="A456" s="34">
        <v>455</v>
      </c>
      <c r="B456" s="34">
        <v>24</v>
      </c>
      <c r="C456" s="34">
        <v>4817</v>
      </c>
      <c r="D456" s="34">
        <v>31</v>
      </c>
      <c r="E456" s="34" t="s">
        <v>3</v>
      </c>
      <c r="F456" s="34" t="s">
        <v>4</v>
      </c>
      <c r="G456" s="34" t="s">
        <v>7</v>
      </c>
    </row>
    <row r="457" spans="1:7" x14ac:dyDescent="0.3">
      <c r="A457" s="34">
        <v>456</v>
      </c>
      <c r="B457" s="34">
        <v>24</v>
      </c>
      <c r="C457" s="34">
        <v>2679</v>
      </c>
      <c r="D457" s="34">
        <v>29</v>
      </c>
      <c r="E457" s="34" t="s">
        <v>6</v>
      </c>
      <c r="F457" s="34" t="s">
        <v>4</v>
      </c>
      <c r="G457" s="34" t="s">
        <v>5</v>
      </c>
    </row>
    <row r="458" spans="1:7" x14ac:dyDescent="0.3">
      <c r="A458" s="34">
        <v>457</v>
      </c>
      <c r="B458" s="34">
        <v>11</v>
      </c>
      <c r="C458" s="34">
        <v>3905</v>
      </c>
      <c r="D458" s="34">
        <v>36</v>
      </c>
      <c r="E458" s="34" t="s">
        <v>3</v>
      </c>
      <c r="F458" s="34" t="s">
        <v>9</v>
      </c>
      <c r="G458" s="34" t="s">
        <v>5</v>
      </c>
    </row>
    <row r="459" spans="1:7" x14ac:dyDescent="0.3">
      <c r="A459" s="34">
        <v>458</v>
      </c>
      <c r="B459" s="34">
        <v>12</v>
      </c>
      <c r="C459" s="34">
        <v>3386</v>
      </c>
      <c r="D459" s="34">
        <v>35</v>
      </c>
      <c r="E459" s="34" t="s">
        <v>3</v>
      </c>
      <c r="F459" s="34" t="s">
        <v>8</v>
      </c>
      <c r="G459" s="34" t="s">
        <v>7</v>
      </c>
    </row>
    <row r="460" spans="1:7" x14ac:dyDescent="0.3">
      <c r="A460" s="34">
        <v>459</v>
      </c>
      <c r="B460" s="34">
        <v>6</v>
      </c>
      <c r="C460" s="34">
        <v>343</v>
      </c>
      <c r="D460" s="34">
        <v>27</v>
      </c>
      <c r="E460" s="34" t="s">
        <v>6</v>
      </c>
      <c r="F460" s="34" t="s">
        <v>4</v>
      </c>
      <c r="G460" s="34" t="s">
        <v>5</v>
      </c>
    </row>
    <row r="461" spans="1:7" x14ac:dyDescent="0.3">
      <c r="A461" s="34">
        <v>460</v>
      </c>
      <c r="B461" s="34">
        <v>18</v>
      </c>
      <c r="C461" s="34">
        <v>4594</v>
      </c>
      <c r="D461" s="34">
        <v>32</v>
      </c>
      <c r="E461" s="34" t="s">
        <v>3</v>
      </c>
      <c r="F461" s="34" t="s">
        <v>4</v>
      </c>
      <c r="G461" s="34" t="s">
        <v>5</v>
      </c>
    </row>
    <row r="462" spans="1:7" x14ac:dyDescent="0.3">
      <c r="A462" s="34">
        <v>461</v>
      </c>
      <c r="B462" s="34">
        <v>36</v>
      </c>
      <c r="C462" s="34">
        <v>3620</v>
      </c>
      <c r="D462" s="34">
        <v>37</v>
      </c>
      <c r="E462" s="34" t="s">
        <v>3</v>
      </c>
      <c r="F462" s="34" t="s">
        <v>4</v>
      </c>
      <c r="G462" s="34" t="s">
        <v>5</v>
      </c>
    </row>
    <row r="463" spans="1:7" x14ac:dyDescent="0.3">
      <c r="A463" s="34">
        <v>462</v>
      </c>
      <c r="B463" s="34">
        <v>15</v>
      </c>
      <c r="C463" s="34">
        <v>1721</v>
      </c>
      <c r="D463" s="34">
        <v>36</v>
      </c>
      <c r="E463" s="34" t="s">
        <v>3</v>
      </c>
      <c r="F463" s="34" t="s">
        <v>4</v>
      </c>
      <c r="G463" s="34" t="s">
        <v>5</v>
      </c>
    </row>
    <row r="464" spans="1:7" x14ac:dyDescent="0.3">
      <c r="A464" s="34">
        <v>463</v>
      </c>
      <c r="B464" s="34">
        <v>12</v>
      </c>
      <c r="C464" s="34">
        <v>3017</v>
      </c>
      <c r="D464" s="34">
        <v>34</v>
      </c>
      <c r="E464" s="34" t="s">
        <v>6</v>
      </c>
      <c r="F464" s="34" t="s">
        <v>9</v>
      </c>
      <c r="G464" s="34" t="s">
        <v>5</v>
      </c>
    </row>
    <row r="465" spans="1:7" x14ac:dyDescent="0.3">
      <c r="A465" s="34">
        <v>464</v>
      </c>
      <c r="B465" s="34">
        <v>12</v>
      </c>
      <c r="C465" s="34">
        <v>754</v>
      </c>
      <c r="D465" s="34">
        <v>38</v>
      </c>
      <c r="E465" s="34" t="s">
        <v>3</v>
      </c>
      <c r="F465" s="34" t="s">
        <v>4</v>
      </c>
      <c r="G465" s="34" t="s">
        <v>5</v>
      </c>
    </row>
    <row r="466" spans="1:7" x14ac:dyDescent="0.3">
      <c r="A466" s="34">
        <v>465</v>
      </c>
      <c r="B466" s="34">
        <v>18</v>
      </c>
      <c r="C466" s="34">
        <v>1950</v>
      </c>
      <c r="D466" s="34">
        <v>34</v>
      </c>
      <c r="E466" s="34" t="s">
        <v>3</v>
      </c>
      <c r="F466" s="34" t="s">
        <v>4</v>
      </c>
      <c r="G466" s="34" t="s">
        <v>5</v>
      </c>
    </row>
    <row r="467" spans="1:7" x14ac:dyDescent="0.3">
      <c r="A467" s="34">
        <v>466</v>
      </c>
      <c r="B467" s="34">
        <v>24</v>
      </c>
      <c r="C467" s="34">
        <v>2924</v>
      </c>
      <c r="D467" s="34">
        <v>63</v>
      </c>
      <c r="E467" s="34" t="s">
        <v>3</v>
      </c>
      <c r="F467" s="34" t="s">
        <v>4</v>
      </c>
      <c r="G467" s="34" t="s">
        <v>5</v>
      </c>
    </row>
    <row r="468" spans="1:7" x14ac:dyDescent="0.3">
      <c r="A468" s="34">
        <v>467</v>
      </c>
      <c r="B468" s="34">
        <v>24</v>
      </c>
      <c r="C468" s="34">
        <v>1659</v>
      </c>
      <c r="D468" s="34">
        <v>29</v>
      </c>
      <c r="E468" s="34" t="s">
        <v>6</v>
      </c>
      <c r="F468" s="34" t="s">
        <v>9</v>
      </c>
      <c r="G468" s="34" t="s">
        <v>7</v>
      </c>
    </row>
    <row r="469" spans="1:7" x14ac:dyDescent="0.3">
      <c r="A469" s="34">
        <v>468</v>
      </c>
      <c r="B469" s="34">
        <v>48</v>
      </c>
      <c r="C469" s="34">
        <v>7238</v>
      </c>
      <c r="D469" s="34">
        <v>32</v>
      </c>
      <c r="E469" s="34" t="s">
        <v>3</v>
      </c>
      <c r="F469" s="34" t="s">
        <v>4</v>
      </c>
      <c r="G469" s="34" t="s">
        <v>5</v>
      </c>
    </row>
    <row r="470" spans="1:7" x14ac:dyDescent="0.3">
      <c r="A470" s="34">
        <v>469</v>
      </c>
      <c r="B470" s="34">
        <v>33</v>
      </c>
      <c r="C470" s="34">
        <v>2764</v>
      </c>
      <c r="D470" s="34">
        <v>26</v>
      </c>
      <c r="E470" s="34" t="s">
        <v>6</v>
      </c>
      <c r="F470" s="34" t="s">
        <v>4</v>
      </c>
      <c r="G470" s="34" t="s">
        <v>5</v>
      </c>
    </row>
    <row r="471" spans="1:7" x14ac:dyDescent="0.3">
      <c r="A471" s="34">
        <v>470</v>
      </c>
      <c r="B471" s="34">
        <v>24</v>
      </c>
      <c r="C471" s="34">
        <v>4679</v>
      </c>
      <c r="D471" s="34">
        <v>35</v>
      </c>
      <c r="E471" s="34" t="s">
        <v>3</v>
      </c>
      <c r="F471" s="34" t="s">
        <v>4</v>
      </c>
      <c r="G471" s="34" t="s">
        <v>5</v>
      </c>
    </row>
    <row r="472" spans="1:7" x14ac:dyDescent="0.3">
      <c r="A472" s="34">
        <v>471</v>
      </c>
      <c r="B472" s="34">
        <v>24</v>
      </c>
      <c r="C472" s="34">
        <v>3092</v>
      </c>
      <c r="D472" s="34">
        <v>22</v>
      </c>
      <c r="E472" s="34" t="s">
        <v>11</v>
      </c>
      <c r="F472" s="34" t="s">
        <v>9</v>
      </c>
      <c r="G472" s="34" t="s">
        <v>7</v>
      </c>
    </row>
    <row r="473" spans="1:7" x14ac:dyDescent="0.3">
      <c r="A473" s="34">
        <v>472</v>
      </c>
      <c r="B473" s="34">
        <v>6</v>
      </c>
      <c r="C473" s="34">
        <v>448</v>
      </c>
      <c r="D473" s="34">
        <v>23</v>
      </c>
      <c r="E473" s="34" t="s">
        <v>6</v>
      </c>
      <c r="F473" s="34" t="s">
        <v>4</v>
      </c>
      <c r="G473" s="34" t="s">
        <v>7</v>
      </c>
    </row>
    <row r="474" spans="1:7" x14ac:dyDescent="0.3">
      <c r="A474" s="34">
        <v>473</v>
      </c>
      <c r="B474" s="34">
        <v>9</v>
      </c>
      <c r="C474" s="34">
        <v>654</v>
      </c>
      <c r="D474" s="34">
        <v>28</v>
      </c>
      <c r="E474" s="34" t="s">
        <v>3</v>
      </c>
      <c r="F474" s="34" t="s">
        <v>4</v>
      </c>
      <c r="G474" s="34" t="s">
        <v>7</v>
      </c>
    </row>
    <row r="475" spans="1:7" x14ac:dyDescent="0.3">
      <c r="A475" s="34">
        <v>474</v>
      </c>
      <c r="B475" s="34">
        <v>6</v>
      </c>
      <c r="C475" s="34">
        <v>1238</v>
      </c>
      <c r="D475" s="34">
        <v>36</v>
      </c>
      <c r="E475" s="34" t="s">
        <v>3</v>
      </c>
      <c r="F475" s="34" t="s">
        <v>4</v>
      </c>
      <c r="G475" s="34" t="s">
        <v>5</v>
      </c>
    </row>
    <row r="476" spans="1:7" x14ac:dyDescent="0.3">
      <c r="A476" s="34">
        <v>475</v>
      </c>
      <c r="B476" s="34">
        <v>18</v>
      </c>
      <c r="C476" s="34">
        <v>1245</v>
      </c>
      <c r="D476" s="34">
        <v>33</v>
      </c>
      <c r="E476" s="34" t="s">
        <v>11</v>
      </c>
      <c r="F476" s="34" t="s">
        <v>4</v>
      </c>
      <c r="G476" s="34" t="s">
        <v>7</v>
      </c>
    </row>
    <row r="477" spans="1:7" x14ac:dyDescent="0.3">
      <c r="A477" s="34">
        <v>476</v>
      </c>
      <c r="B477" s="34">
        <v>18</v>
      </c>
      <c r="C477" s="34">
        <v>3114</v>
      </c>
      <c r="D477" s="34">
        <v>26</v>
      </c>
      <c r="E477" s="34" t="s">
        <v>6</v>
      </c>
      <c r="F477" s="34" t="s">
        <v>9</v>
      </c>
      <c r="G477" s="34" t="s">
        <v>7</v>
      </c>
    </row>
    <row r="478" spans="1:7" x14ac:dyDescent="0.3">
      <c r="A478" s="34">
        <v>477</v>
      </c>
      <c r="B478" s="34">
        <v>39</v>
      </c>
      <c r="C478" s="34">
        <v>2569</v>
      </c>
      <c r="D478" s="34">
        <v>24</v>
      </c>
      <c r="E478" s="34" t="s">
        <v>3</v>
      </c>
      <c r="F478" s="34" t="s">
        <v>4</v>
      </c>
      <c r="G478" s="34" t="s">
        <v>5</v>
      </c>
    </row>
    <row r="479" spans="1:7" x14ac:dyDescent="0.3">
      <c r="A479" s="34">
        <v>478</v>
      </c>
      <c r="B479" s="34">
        <v>24</v>
      </c>
      <c r="C479" s="34">
        <v>5152</v>
      </c>
      <c r="D479" s="34">
        <v>25</v>
      </c>
      <c r="E479" s="34" t="s">
        <v>3</v>
      </c>
      <c r="F479" s="34" t="s">
        <v>4</v>
      </c>
      <c r="G479" s="34" t="s">
        <v>5</v>
      </c>
    </row>
    <row r="480" spans="1:7" x14ac:dyDescent="0.3">
      <c r="A480" s="34">
        <v>479</v>
      </c>
      <c r="B480" s="34">
        <v>12</v>
      </c>
      <c r="C480" s="34">
        <v>1037</v>
      </c>
      <c r="D480" s="34">
        <v>39</v>
      </c>
      <c r="E480" s="34" t="s">
        <v>3</v>
      </c>
      <c r="F480" s="34" t="s">
        <v>4</v>
      </c>
      <c r="G480" s="34" t="s">
        <v>5</v>
      </c>
    </row>
    <row r="481" spans="1:7" x14ac:dyDescent="0.3">
      <c r="A481" s="34">
        <v>480</v>
      </c>
      <c r="B481" s="34">
        <v>15</v>
      </c>
      <c r="C481" s="34">
        <v>1478</v>
      </c>
      <c r="D481" s="34">
        <v>44</v>
      </c>
      <c r="E481" s="34" t="s">
        <v>3</v>
      </c>
      <c r="F481" s="34" t="s">
        <v>4</v>
      </c>
      <c r="G481" s="34" t="s">
        <v>5</v>
      </c>
    </row>
    <row r="482" spans="1:7" x14ac:dyDescent="0.3">
      <c r="A482" s="34">
        <v>481</v>
      </c>
      <c r="B482" s="34">
        <v>12</v>
      </c>
      <c r="C482" s="34">
        <v>3573</v>
      </c>
      <c r="D482" s="34">
        <v>23</v>
      </c>
      <c r="E482" s="34" t="s">
        <v>6</v>
      </c>
      <c r="F482" s="34" t="s">
        <v>4</v>
      </c>
      <c r="G482" s="34" t="s">
        <v>5</v>
      </c>
    </row>
    <row r="483" spans="1:7" x14ac:dyDescent="0.3">
      <c r="A483" s="34">
        <v>482</v>
      </c>
      <c r="B483" s="34">
        <v>24</v>
      </c>
      <c r="C483" s="34">
        <v>1201</v>
      </c>
      <c r="D483" s="34">
        <v>26</v>
      </c>
      <c r="E483" s="34" t="s">
        <v>3</v>
      </c>
      <c r="F483" s="34" t="s">
        <v>4</v>
      </c>
      <c r="G483" s="34" t="s">
        <v>5</v>
      </c>
    </row>
    <row r="484" spans="1:7" x14ac:dyDescent="0.3">
      <c r="A484" s="34">
        <v>483</v>
      </c>
      <c r="B484" s="34">
        <v>30</v>
      </c>
      <c r="C484" s="34">
        <v>3622</v>
      </c>
      <c r="D484" s="34">
        <v>57</v>
      </c>
      <c r="E484" s="34" t="s">
        <v>6</v>
      </c>
      <c r="F484" s="34" t="s">
        <v>9</v>
      </c>
      <c r="G484" s="34" t="s">
        <v>5</v>
      </c>
    </row>
    <row r="485" spans="1:7" x14ac:dyDescent="0.3">
      <c r="A485" s="34">
        <v>484</v>
      </c>
      <c r="B485" s="34">
        <v>15</v>
      </c>
      <c r="C485" s="34">
        <v>960</v>
      </c>
      <c r="D485" s="34">
        <v>30</v>
      </c>
      <c r="E485" s="34" t="s">
        <v>6</v>
      </c>
      <c r="F485" s="34" t="s">
        <v>4</v>
      </c>
      <c r="G485" s="34" t="s">
        <v>5</v>
      </c>
    </row>
    <row r="486" spans="1:7" x14ac:dyDescent="0.3">
      <c r="A486" s="34">
        <v>485</v>
      </c>
      <c r="B486" s="34">
        <v>12</v>
      </c>
      <c r="C486" s="34">
        <v>1163</v>
      </c>
      <c r="D486" s="34">
        <v>44</v>
      </c>
      <c r="E486" s="34" t="s">
        <v>3</v>
      </c>
      <c r="F486" s="34" t="s">
        <v>4</v>
      </c>
      <c r="G486" s="34" t="s">
        <v>5</v>
      </c>
    </row>
    <row r="487" spans="1:7" x14ac:dyDescent="0.3">
      <c r="A487" s="34">
        <v>486</v>
      </c>
      <c r="B487" s="34">
        <v>6</v>
      </c>
      <c r="C487" s="34">
        <v>1209</v>
      </c>
      <c r="D487" s="34">
        <v>47</v>
      </c>
      <c r="E487" s="34" t="s">
        <v>3</v>
      </c>
      <c r="F487" s="34" t="s">
        <v>4</v>
      </c>
      <c r="G487" s="34" t="s">
        <v>7</v>
      </c>
    </row>
    <row r="488" spans="1:7" x14ac:dyDescent="0.3">
      <c r="A488" s="34">
        <v>487</v>
      </c>
      <c r="B488" s="34">
        <v>12</v>
      </c>
      <c r="C488" s="34">
        <v>3077</v>
      </c>
      <c r="D488" s="34">
        <v>52</v>
      </c>
      <c r="E488" s="34" t="s">
        <v>3</v>
      </c>
      <c r="F488" s="34" t="s">
        <v>4</v>
      </c>
      <c r="G488" s="34" t="s">
        <v>5</v>
      </c>
    </row>
    <row r="489" spans="1:7" x14ac:dyDescent="0.3">
      <c r="A489" s="34">
        <v>488</v>
      </c>
      <c r="B489" s="34">
        <v>24</v>
      </c>
      <c r="C489" s="34">
        <v>3757</v>
      </c>
      <c r="D489" s="34">
        <v>62</v>
      </c>
      <c r="E489" s="34" t="s">
        <v>6</v>
      </c>
      <c r="F489" s="34" t="s">
        <v>8</v>
      </c>
      <c r="G489" s="34" t="s">
        <v>5</v>
      </c>
    </row>
    <row r="490" spans="1:7" x14ac:dyDescent="0.3">
      <c r="A490" s="34">
        <v>489</v>
      </c>
      <c r="B490" s="34">
        <v>10</v>
      </c>
      <c r="C490" s="34">
        <v>1418</v>
      </c>
      <c r="D490" s="34">
        <v>35</v>
      </c>
      <c r="E490" s="34" t="s">
        <v>3</v>
      </c>
      <c r="F490" s="34" t="s">
        <v>9</v>
      </c>
      <c r="G490" s="34" t="s">
        <v>5</v>
      </c>
    </row>
    <row r="491" spans="1:7" x14ac:dyDescent="0.3">
      <c r="A491" s="34">
        <v>490</v>
      </c>
      <c r="B491" s="34">
        <v>6</v>
      </c>
      <c r="C491" s="34">
        <v>3518</v>
      </c>
      <c r="D491" s="34">
        <v>26</v>
      </c>
      <c r="E491" s="34" t="s">
        <v>3</v>
      </c>
      <c r="F491" s="34" t="s">
        <v>9</v>
      </c>
      <c r="G491" s="34" t="s">
        <v>5</v>
      </c>
    </row>
    <row r="492" spans="1:7" x14ac:dyDescent="0.3">
      <c r="A492" s="34">
        <v>491</v>
      </c>
      <c r="B492" s="34">
        <v>12</v>
      </c>
      <c r="C492" s="34">
        <v>1934</v>
      </c>
      <c r="D492" s="34">
        <v>26</v>
      </c>
      <c r="E492" s="34" t="s">
        <v>3</v>
      </c>
      <c r="F492" s="34" t="s">
        <v>4</v>
      </c>
      <c r="G492" s="34" t="s">
        <v>5</v>
      </c>
    </row>
    <row r="493" spans="1:7" x14ac:dyDescent="0.3">
      <c r="A493" s="34">
        <v>492</v>
      </c>
      <c r="B493" s="34">
        <v>27</v>
      </c>
      <c r="C493" s="34">
        <v>8318</v>
      </c>
      <c r="D493" s="34">
        <v>42</v>
      </c>
      <c r="E493" s="34" t="s">
        <v>6</v>
      </c>
      <c r="F493" s="34" t="s">
        <v>8</v>
      </c>
      <c r="G493" s="34" t="s">
        <v>7</v>
      </c>
    </row>
    <row r="494" spans="1:7" x14ac:dyDescent="0.3">
      <c r="A494" s="34">
        <v>493</v>
      </c>
      <c r="B494" s="34">
        <v>6</v>
      </c>
      <c r="C494" s="34">
        <v>1237</v>
      </c>
      <c r="D494" s="34">
        <v>27</v>
      </c>
      <c r="E494" s="34" t="s">
        <v>6</v>
      </c>
      <c r="F494" s="34" t="s">
        <v>4</v>
      </c>
      <c r="G494" s="34" t="s">
        <v>5</v>
      </c>
    </row>
    <row r="495" spans="1:7" x14ac:dyDescent="0.3">
      <c r="A495" s="34">
        <v>494</v>
      </c>
      <c r="B495" s="34">
        <v>6</v>
      </c>
      <c r="C495" s="34">
        <v>368</v>
      </c>
      <c r="D495" s="34">
        <v>38</v>
      </c>
      <c r="E495" s="34" t="s">
        <v>3</v>
      </c>
      <c r="F495" s="34" t="s">
        <v>4</v>
      </c>
      <c r="G495" s="34" t="s">
        <v>5</v>
      </c>
    </row>
    <row r="496" spans="1:7" x14ac:dyDescent="0.3">
      <c r="A496" s="34">
        <v>495</v>
      </c>
      <c r="B496" s="34">
        <v>12</v>
      </c>
      <c r="C496" s="34">
        <v>2122</v>
      </c>
      <c r="D496" s="34">
        <v>39</v>
      </c>
      <c r="E496" s="34" t="s">
        <v>3</v>
      </c>
      <c r="F496" s="34" t="s">
        <v>9</v>
      </c>
      <c r="G496" s="34" t="s">
        <v>5</v>
      </c>
    </row>
    <row r="497" spans="1:7" x14ac:dyDescent="0.3">
      <c r="A497" s="34">
        <v>496</v>
      </c>
      <c r="B497" s="34">
        <v>24</v>
      </c>
      <c r="C497" s="34">
        <v>2996</v>
      </c>
      <c r="D497" s="34">
        <v>20</v>
      </c>
      <c r="E497" s="34" t="s">
        <v>11</v>
      </c>
      <c r="F497" s="34" t="s">
        <v>4</v>
      </c>
      <c r="G497" s="34" t="s">
        <v>7</v>
      </c>
    </row>
    <row r="498" spans="1:7" x14ac:dyDescent="0.3">
      <c r="A498" s="34">
        <v>497</v>
      </c>
      <c r="B498" s="34">
        <v>36</v>
      </c>
      <c r="C498" s="34">
        <v>9034</v>
      </c>
      <c r="D498" s="34">
        <v>29</v>
      </c>
      <c r="E498" s="34" t="s">
        <v>3</v>
      </c>
      <c r="F498" s="34" t="s">
        <v>9</v>
      </c>
      <c r="G498" s="34" t="s">
        <v>7</v>
      </c>
    </row>
    <row r="499" spans="1:7" x14ac:dyDescent="0.3">
      <c r="A499" s="34">
        <v>498</v>
      </c>
      <c r="B499" s="34">
        <v>24</v>
      </c>
      <c r="C499" s="34">
        <v>1585</v>
      </c>
      <c r="D499" s="34">
        <v>40</v>
      </c>
      <c r="E499" s="34" t="s">
        <v>3</v>
      </c>
      <c r="F499" s="34" t="s">
        <v>4</v>
      </c>
      <c r="G499" s="34" t="s">
        <v>5</v>
      </c>
    </row>
    <row r="500" spans="1:7" x14ac:dyDescent="0.3">
      <c r="A500" s="34">
        <v>499</v>
      </c>
      <c r="B500" s="34">
        <v>18</v>
      </c>
      <c r="C500" s="34">
        <v>1301</v>
      </c>
      <c r="D500" s="34">
        <v>32</v>
      </c>
      <c r="E500" s="34" t="s">
        <v>11</v>
      </c>
      <c r="F500" s="34" t="s">
        <v>4</v>
      </c>
      <c r="G500" s="34" t="s">
        <v>5</v>
      </c>
    </row>
    <row r="501" spans="1:7" x14ac:dyDescent="0.3">
      <c r="A501" s="34">
        <v>500</v>
      </c>
      <c r="B501" s="34">
        <v>6</v>
      </c>
      <c r="C501" s="34">
        <v>1323</v>
      </c>
      <c r="D501" s="34">
        <v>28</v>
      </c>
      <c r="E501" s="34" t="s">
        <v>10</v>
      </c>
      <c r="F501" s="34" t="s">
        <v>4</v>
      </c>
      <c r="G501" s="34" t="s">
        <v>5</v>
      </c>
    </row>
    <row r="502" spans="1:7" x14ac:dyDescent="0.3">
      <c r="A502" s="34">
        <v>501</v>
      </c>
      <c r="B502" s="34">
        <v>24</v>
      </c>
      <c r="C502" s="34">
        <v>3123</v>
      </c>
      <c r="D502" s="34">
        <v>27</v>
      </c>
      <c r="E502" s="34" t="s">
        <v>6</v>
      </c>
      <c r="F502" s="34" t="s">
        <v>4</v>
      </c>
      <c r="G502" s="34" t="s">
        <v>7</v>
      </c>
    </row>
    <row r="503" spans="1:7" x14ac:dyDescent="0.3">
      <c r="A503" s="34">
        <v>502</v>
      </c>
      <c r="B503" s="34">
        <v>36</v>
      </c>
      <c r="C503" s="34">
        <v>5493</v>
      </c>
      <c r="D503" s="34">
        <v>42</v>
      </c>
      <c r="E503" s="34" t="s">
        <v>3</v>
      </c>
      <c r="F503" s="34" t="s">
        <v>8</v>
      </c>
      <c r="G503" s="34" t="s">
        <v>5</v>
      </c>
    </row>
    <row r="504" spans="1:7" x14ac:dyDescent="0.3">
      <c r="A504" s="34">
        <v>503</v>
      </c>
      <c r="B504" s="34">
        <v>9</v>
      </c>
      <c r="C504" s="34">
        <v>1126</v>
      </c>
      <c r="D504" s="34">
        <v>49</v>
      </c>
      <c r="E504" s="34" t="s">
        <v>10</v>
      </c>
      <c r="F504" s="34" t="s">
        <v>4</v>
      </c>
      <c r="G504" s="34" t="s">
        <v>5</v>
      </c>
    </row>
    <row r="505" spans="1:7" x14ac:dyDescent="0.3">
      <c r="A505" s="34">
        <v>504</v>
      </c>
      <c r="B505" s="34">
        <v>24</v>
      </c>
      <c r="C505" s="34">
        <v>1216</v>
      </c>
      <c r="D505" s="34">
        <v>38</v>
      </c>
      <c r="E505" s="34" t="s">
        <v>3</v>
      </c>
      <c r="F505" s="34" t="s">
        <v>4</v>
      </c>
      <c r="G505" s="34" t="s">
        <v>7</v>
      </c>
    </row>
    <row r="506" spans="1:7" x14ac:dyDescent="0.3">
      <c r="A506" s="34">
        <v>505</v>
      </c>
      <c r="B506" s="34">
        <v>24</v>
      </c>
      <c r="C506" s="34">
        <v>1207</v>
      </c>
      <c r="D506" s="34">
        <v>24</v>
      </c>
      <c r="E506" s="34" t="s">
        <v>6</v>
      </c>
      <c r="F506" s="34" t="s">
        <v>9</v>
      </c>
      <c r="G506" s="34" t="s">
        <v>7</v>
      </c>
    </row>
    <row r="507" spans="1:7" x14ac:dyDescent="0.3">
      <c r="A507" s="34">
        <v>506</v>
      </c>
      <c r="B507" s="34">
        <v>10</v>
      </c>
      <c r="C507" s="34">
        <v>1309</v>
      </c>
      <c r="D507" s="34">
        <v>27</v>
      </c>
      <c r="E507" s="34" t="s">
        <v>3</v>
      </c>
      <c r="F507" s="34" t="s">
        <v>4</v>
      </c>
      <c r="G507" s="34" t="s">
        <v>7</v>
      </c>
    </row>
    <row r="508" spans="1:7" x14ac:dyDescent="0.3">
      <c r="A508" s="34">
        <v>507</v>
      </c>
      <c r="B508" s="34">
        <v>15</v>
      </c>
      <c r="C508" s="34">
        <v>2360</v>
      </c>
      <c r="D508" s="34">
        <v>36</v>
      </c>
      <c r="E508" s="34" t="s">
        <v>3</v>
      </c>
      <c r="F508" s="34" t="s">
        <v>4</v>
      </c>
      <c r="G508" s="34" t="s">
        <v>5</v>
      </c>
    </row>
    <row r="509" spans="1:7" x14ac:dyDescent="0.3">
      <c r="A509" s="34">
        <v>508</v>
      </c>
      <c r="B509" s="34">
        <v>15</v>
      </c>
      <c r="C509" s="34">
        <v>6850</v>
      </c>
      <c r="D509" s="34">
        <v>34</v>
      </c>
      <c r="E509" s="34" t="s">
        <v>3</v>
      </c>
      <c r="F509" s="34" t="s">
        <v>4</v>
      </c>
      <c r="G509" s="34" t="s">
        <v>7</v>
      </c>
    </row>
    <row r="510" spans="1:7" x14ac:dyDescent="0.3">
      <c r="A510" s="34">
        <v>509</v>
      </c>
      <c r="B510" s="34">
        <v>24</v>
      </c>
      <c r="C510" s="34">
        <v>1413</v>
      </c>
      <c r="D510" s="34">
        <v>28</v>
      </c>
      <c r="E510" s="34" t="s">
        <v>11</v>
      </c>
      <c r="F510" s="34" t="s">
        <v>4</v>
      </c>
      <c r="G510" s="34" t="s">
        <v>5</v>
      </c>
    </row>
    <row r="511" spans="1:7" x14ac:dyDescent="0.3">
      <c r="A511" s="34">
        <v>510</v>
      </c>
      <c r="B511" s="34">
        <v>39</v>
      </c>
      <c r="C511" s="34">
        <v>8588</v>
      </c>
      <c r="D511" s="34">
        <v>45</v>
      </c>
      <c r="E511" s="34" t="s">
        <v>3</v>
      </c>
      <c r="F511" s="34" t="s">
        <v>4</v>
      </c>
      <c r="G511" s="34" t="s">
        <v>5</v>
      </c>
    </row>
    <row r="512" spans="1:7" x14ac:dyDescent="0.3">
      <c r="A512" s="34">
        <v>511</v>
      </c>
      <c r="B512" s="34">
        <v>12</v>
      </c>
      <c r="C512" s="34">
        <v>759</v>
      </c>
      <c r="D512" s="34">
        <v>26</v>
      </c>
      <c r="E512" s="34" t="s">
        <v>3</v>
      </c>
      <c r="F512" s="34" t="s">
        <v>4</v>
      </c>
      <c r="G512" s="34" t="s">
        <v>7</v>
      </c>
    </row>
    <row r="513" spans="1:7" x14ac:dyDescent="0.3">
      <c r="A513" s="34">
        <v>512</v>
      </c>
      <c r="B513" s="34">
        <v>36</v>
      </c>
      <c r="C513" s="34">
        <v>4686</v>
      </c>
      <c r="D513" s="34">
        <v>32</v>
      </c>
      <c r="E513" s="34" t="s">
        <v>3</v>
      </c>
      <c r="F513" s="34" t="s">
        <v>8</v>
      </c>
      <c r="G513" s="34" t="s">
        <v>5</v>
      </c>
    </row>
    <row r="514" spans="1:7" x14ac:dyDescent="0.3">
      <c r="A514" s="34">
        <v>513</v>
      </c>
      <c r="B514" s="34">
        <v>15</v>
      </c>
      <c r="C514" s="34">
        <v>2687</v>
      </c>
      <c r="D514" s="34">
        <v>26</v>
      </c>
      <c r="E514" s="34" t="s">
        <v>3</v>
      </c>
      <c r="F514" s="34" t="s">
        <v>9</v>
      </c>
      <c r="G514" s="34" t="s">
        <v>5</v>
      </c>
    </row>
    <row r="515" spans="1:7" x14ac:dyDescent="0.3">
      <c r="A515" s="34">
        <v>514</v>
      </c>
      <c r="B515" s="34">
        <v>12</v>
      </c>
      <c r="C515" s="34">
        <v>585</v>
      </c>
      <c r="D515" s="34">
        <v>20</v>
      </c>
      <c r="E515" s="34" t="s">
        <v>11</v>
      </c>
      <c r="F515" s="34" t="s">
        <v>9</v>
      </c>
      <c r="G515" s="34" t="s">
        <v>5</v>
      </c>
    </row>
    <row r="516" spans="1:7" x14ac:dyDescent="0.3">
      <c r="A516" s="34">
        <v>515</v>
      </c>
      <c r="B516" s="34">
        <v>24</v>
      </c>
      <c r="C516" s="34">
        <v>2255</v>
      </c>
      <c r="D516" s="34">
        <v>54</v>
      </c>
      <c r="E516" s="34" t="s">
        <v>3</v>
      </c>
      <c r="F516" s="34" t="s">
        <v>4</v>
      </c>
      <c r="G516" s="34" t="s">
        <v>5</v>
      </c>
    </row>
    <row r="517" spans="1:7" x14ac:dyDescent="0.3">
      <c r="A517" s="34">
        <v>516</v>
      </c>
      <c r="B517" s="34">
        <v>6</v>
      </c>
      <c r="C517" s="34">
        <v>609</v>
      </c>
      <c r="D517" s="34">
        <v>37</v>
      </c>
      <c r="E517" s="34" t="s">
        <v>6</v>
      </c>
      <c r="F517" s="34" t="s">
        <v>4</v>
      </c>
      <c r="G517" s="34" t="s">
        <v>5</v>
      </c>
    </row>
    <row r="518" spans="1:7" x14ac:dyDescent="0.3">
      <c r="A518" s="34">
        <v>517</v>
      </c>
      <c r="B518" s="34">
        <v>6</v>
      </c>
      <c r="C518" s="34">
        <v>1361</v>
      </c>
      <c r="D518" s="34">
        <v>40</v>
      </c>
      <c r="E518" s="34" t="s">
        <v>3</v>
      </c>
      <c r="F518" s="34" t="s">
        <v>4</v>
      </c>
      <c r="G518" s="34" t="s">
        <v>5</v>
      </c>
    </row>
    <row r="519" spans="1:7" x14ac:dyDescent="0.3">
      <c r="A519" s="34">
        <v>518</v>
      </c>
      <c r="B519" s="34">
        <v>36</v>
      </c>
      <c r="C519" s="34">
        <v>7127</v>
      </c>
      <c r="D519" s="34">
        <v>23</v>
      </c>
      <c r="E519" s="34" t="s">
        <v>6</v>
      </c>
      <c r="F519" s="34" t="s">
        <v>9</v>
      </c>
      <c r="G519" s="34" t="s">
        <v>7</v>
      </c>
    </row>
    <row r="520" spans="1:7" x14ac:dyDescent="0.3">
      <c r="A520" s="34">
        <v>519</v>
      </c>
      <c r="B520" s="34">
        <v>6</v>
      </c>
      <c r="C520" s="34">
        <v>1203</v>
      </c>
      <c r="D520" s="34">
        <v>43</v>
      </c>
      <c r="E520" s="34" t="s">
        <v>3</v>
      </c>
      <c r="F520" s="34" t="s">
        <v>4</v>
      </c>
      <c r="G520" s="34" t="s">
        <v>5</v>
      </c>
    </row>
    <row r="521" spans="1:7" x14ac:dyDescent="0.3">
      <c r="A521" s="34">
        <v>520</v>
      </c>
      <c r="B521" s="34">
        <v>6</v>
      </c>
      <c r="C521" s="34">
        <v>700</v>
      </c>
      <c r="D521" s="34">
        <v>36</v>
      </c>
      <c r="E521" s="34" t="s">
        <v>3</v>
      </c>
      <c r="F521" s="34" t="s">
        <v>8</v>
      </c>
      <c r="G521" s="34" t="s">
        <v>5</v>
      </c>
    </row>
    <row r="522" spans="1:7" x14ac:dyDescent="0.3">
      <c r="A522" s="34">
        <v>521</v>
      </c>
      <c r="B522" s="34">
        <v>24</v>
      </c>
      <c r="C522" s="34">
        <v>5507</v>
      </c>
      <c r="D522" s="34">
        <v>44</v>
      </c>
      <c r="E522" s="34" t="s">
        <v>3</v>
      </c>
      <c r="F522" s="34" t="s">
        <v>8</v>
      </c>
      <c r="G522" s="34" t="s">
        <v>5</v>
      </c>
    </row>
    <row r="523" spans="1:7" x14ac:dyDescent="0.3">
      <c r="A523" s="34">
        <v>522</v>
      </c>
      <c r="B523" s="34">
        <v>18</v>
      </c>
      <c r="C523" s="34">
        <v>3190</v>
      </c>
      <c r="D523" s="34">
        <v>24</v>
      </c>
      <c r="E523" s="34" t="s">
        <v>6</v>
      </c>
      <c r="F523" s="34" t="s">
        <v>4</v>
      </c>
      <c r="G523" s="34" t="s">
        <v>7</v>
      </c>
    </row>
    <row r="524" spans="1:7" x14ac:dyDescent="0.3">
      <c r="A524" s="34">
        <v>523</v>
      </c>
      <c r="B524" s="34">
        <v>48</v>
      </c>
      <c r="C524" s="34">
        <v>7119</v>
      </c>
      <c r="D524" s="34">
        <v>53</v>
      </c>
      <c r="E524" s="34" t="s">
        <v>3</v>
      </c>
      <c r="F524" s="34" t="s">
        <v>8</v>
      </c>
      <c r="G524" s="34" t="s">
        <v>7</v>
      </c>
    </row>
    <row r="525" spans="1:7" x14ac:dyDescent="0.3">
      <c r="A525" s="34">
        <v>524</v>
      </c>
      <c r="B525" s="34">
        <v>24</v>
      </c>
      <c r="C525" s="34">
        <v>3488</v>
      </c>
      <c r="D525" s="34">
        <v>23</v>
      </c>
      <c r="E525" s="34" t="s">
        <v>6</v>
      </c>
      <c r="F525" s="34" t="s">
        <v>4</v>
      </c>
      <c r="G525" s="34" t="s">
        <v>5</v>
      </c>
    </row>
    <row r="526" spans="1:7" x14ac:dyDescent="0.3">
      <c r="A526" s="34">
        <v>525</v>
      </c>
      <c r="B526" s="34">
        <v>18</v>
      </c>
      <c r="C526" s="34">
        <v>1113</v>
      </c>
      <c r="D526" s="34">
        <v>26</v>
      </c>
      <c r="E526" s="34" t="s">
        <v>6</v>
      </c>
      <c r="F526" s="34" t="s">
        <v>4</v>
      </c>
      <c r="G526" s="34" t="s">
        <v>5</v>
      </c>
    </row>
    <row r="527" spans="1:7" x14ac:dyDescent="0.3">
      <c r="A527" s="34">
        <v>526</v>
      </c>
      <c r="B527" s="34">
        <v>26</v>
      </c>
      <c r="C527" s="34">
        <v>7966</v>
      </c>
      <c r="D527" s="34">
        <v>30</v>
      </c>
      <c r="E527" s="34" t="s">
        <v>3</v>
      </c>
      <c r="F527" s="34" t="s">
        <v>4</v>
      </c>
      <c r="G527" s="34" t="s">
        <v>5</v>
      </c>
    </row>
    <row r="528" spans="1:7" x14ac:dyDescent="0.3">
      <c r="A528" s="34">
        <v>527</v>
      </c>
      <c r="B528" s="34">
        <v>15</v>
      </c>
      <c r="C528" s="34">
        <v>1532</v>
      </c>
      <c r="D528" s="34">
        <v>31</v>
      </c>
      <c r="E528" s="34" t="s">
        <v>6</v>
      </c>
      <c r="F528" s="34" t="s">
        <v>4</v>
      </c>
      <c r="G528" s="34" t="s">
        <v>5</v>
      </c>
    </row>
    <row r="529" spans="1:7" x14ac:dyDescent="0.3">
      <c r="A529" s="34">
        <v>528</v>
      </c>
      <c r="B529" s="34">
        <v>4</v>
      </c>
      <c r="C529" s="34">
        <v>1503</v>
      </c>
      <c r="D529" s="34">
        <v>42</v>
      </c>
      <c r="E529" s="34" t="s">
        <v>3</v>
      </c>
      <c r="F529" s="34" t="s">
        <v>4</v>
      </c>
      <c r="G529" s="34" t="s">
        <v>5</v>
      </c>
    </row>
    <row r="530" spans="1:7" x14ac:dyDescent="0.3">
      <c r="A530" s="34">
        <v>529</v>
      </c>
      <c r="B530" s="34">
        <v>36</v>
      </c>
      <c r="C530" s="34">
        <v>2302</v>
      </c>
      <c r="D530" s="34">
        <v>31</v>
      </c>
      <c r="E530" s="34" t="s">
        <v>10</v>
      </c>
      <c r="F530" s="34" t="s">
        <v>9</v>
      </c>
      <c r="G530" s="34" t="s">
        <v>7</v>
      </c>
    </row>
    <row r="531" spans="1:7" x14ac:dyDescent="0.3">
      <c r="A531" s="34">
        <v>530</v>
      </c>
      <c r="B531" s="34">
        <v>6</v>
      </c>
      <c r="C531" s="34">
        <v>662</v>
      </c>
      <c r="D531" s="34">
        <v>41</v>
      </c>
      <c r="E531" s="34" t="s">
        <v>3</v>
      </c>
      <c r="F531" s="34" t="s">
        <v>4</v>
      </c>
      <c r="G531" s="34" t="s">
        <v>5</v>
      </c>
    </row>
    <row r="532" spans="1:7" x14ac:dyDescent="0.3">
      <c r="A532" s="34">
        <v>531</v>
      </c>
      <c r="B532" s="34">
        <v>36</v>
      </c>
      <c r="C532" s="34">
        <v>2273</v>
      </c>
      <c r="D532" s="34">
        <v>32</v>
      </c>
      <c r="E532" s="34" t="s">
        <v>3</v>
      </c>
      <c r="F532" s="34" t="s">
        <v>4</v>
      </c>
      <c r="G532" s="34" t="s">
        <v>5</v>
      </c>
    </row>
    <row r="533" spans="1:7" x14ac:dyDescent="0.3">
      <c r="A533" s="34">
        <v>532</v>
      </c>
      <c r="B533" s="34">
        <v>15</v>
      </c>
      <c r="C533" s="34">
        <v>2631</v>
      </c>
      <c r="D533" s="34">
        <v>28</v>
      </c>
      <c r="E533" s="34" t="s">
        <v>6</v>
      </c>
      <c r="F533" s="34" t="s">
        <v>9</v>
      </c>
      <c r="G533" s="34" t="s">
        <v>7</v>
      </c>
    </row>
    <row r="534" spans="1:7" x14ac:dyDescent="0.3">
      <c r="A534" s="34">
        <v>533</v>
      </c>
      <c r="B534" s="34">
        <v>12</v>
      </c>
      <c r="C534" s="34">
        <v>1503</v>
      </c>
      <c r="D534" s="34">
        <v>41</v>
      </c>
      <c r="E534" s="34" t="s">
        <v>11</v>
      </c>
      <c r="F534" s="34" t="s">
        <v>9</v>
      </c>
      <c r="G534" s="34" t="s">
        <v>5</v>
      </c>
    </row>
    <row r="535" spans="1:7" x14ac:dyDescent="0.3">
      <c r="A535" s="34">
        <v>534</v>
      </c>
      <c r="B535" s="34">
        <v>24</v>
      </c>
      <c r="C535" s="34">
        <v>1311</v>
      </c>
      <c r="D535" s="34">
        <v>26</v>
      </c>
      <c r="E535" s="34" t="s">
        <v>11</v>
      </c>
      <c r="F535" s="34" t="s">
        <v>4</v>
      </c>
      <c r="G535" s="34" t="s">
        <v>5</v>
      </c>
    </row>
    <row r="536" spans="1:7" x14ac:dyDescent="0.3">
      <c r="A536" s="34">
        <v>535</v>
      </c>
      <c r="B536" s="34">
        <v>24</v>
      </c>
      <c r="C536" s="34">
        <v>3105</v>
      </c>
      <c r="D536" s="34">
        <v>25</v>
      </c>
      <c r="E536" s="34" t="s">
        <v>3</v>
      </c>
      <c r="F536" s="34" t="s">
        <v>4</v>
      </c>
      <c r="G536" s="34" t="s">
        <v>5</v>
      </c>
    </row>
    <row r="537" spans="1:7" x14ac:dyDescent="0.3">
      <c r="A537" s="34">
        <v>536</v>
      </c>
      <c r="B537" s="34">
        <v>21</v>
      </c>
      <c r="C537" s="34">
        <v>2319</v>
      </c>
      <c r="D537" s="34">
        <v>33</v>
      </c>
      <c r="E537" s="34" t="s">
        <v>10</v>
      </c>
      <c r="F537" s="34" t="s">
        <v>9</v>
      </c>
      <c r="G537" s="34" t="s">
        <v>7</v>
      </c>
    </row>
    <row r="538" spans="1:7" x14ac:dyDescent="0.3">
      <c r="A538" s="34">
        <v>537</v>
      </c>
      <c r="B538" s="34">
        <v>6</v>
      </c>
      <c r="C538" s="34">
        <v>1374</v>
      </c>
      <c r="D538" s="34">
        <v>75</v>
      </c>
      <c r="E538" s="34" t="s">
        <v>6</v>
      </c>
      <c r="F538" s="34" t="s">
        <v>4</v>
      </c>
      <c r="G538" s="34" t="s">
        <v>5</v>
      </c>
    </row>
    <row r="539" spans="1:7" x14ac:dyDescent="0.3">
      <c r="A539" s="34">
        <v>538</v>
      </c>
      <c r="B539" s="34">
        <v>18</v>
      </c>
      <c r="C539" s="34">
        <v>3612</v>
      </c>
      <c r="D539" s="34">
        <v>37</v>
      </c>
      <c r="E539" s="34" t="s">
        <v>6</v>
      </c>
      <c r="F539" s="34" t="s">
        <v>4</v>
      </c>
      <c r="G539" s="34" t="s">
        <v>5</v>
      </c>
    </row>
    <row r="540" spans="1:7" x14ac:dyDescent="0.3">
      <c r="A540" s="34">
        <v>539</v>
      </c>
      <c r="B540" s="34">
        <v>48</v>
      </c>
      <c r="C540" s="34">
        <v>7763</v>
      </c>
      <c r="D540" s="34">
        <v>42</v>
      </c>
      <c r="E540" s="34" t="s">
        <v>3</v>
      </c>
      <c r="F540" s="34" t="s">
        <v>8</v>
      </c>
      <c r="G540" s="34" t="s">
        <v>7</v>
      </c>
    </row>
    <row r="541" spans="1:7" x14ac:dyDescent="0.3">
      <c r="A541" s="34">
        <v>540</v>
      </c>
      <c r="B541" s="34">
        <v>18</v>
      </c>
      <c r="C541" s="34">
        <v>3049</v>
      </c>
      <c r="D541" s="34">
        <v>45</v>
      </c>
      <c r="E541" s="34" t="s">
        <v>6</v>
      </c>
      <c r="F541" s="34" t="s">
        <v>4</v>
      </c>
      <c r="G541" s="34" t="s">
        <v>5</v>
      </c>
    </row>
    <row r="542" spans="1:7" x14ac:dyDescent="0.3">
      <c r="A542" s="34">
        <v>541</v>
      </c>
      <c r="B542" s="34">
        <v>12</v>
      </c>
      <c r="C542" s="34">
        <v>1534</v>
      </c>
      <c r="D542" s="34">
        <v>23</v>
      </c>
      <c r="E542" s="34" t="s">
        <v>11</v>
      </c>
      <c r="F542" s="34" t="s">
        <v>9</v>
      </c>
      <c r="G542" s="34" t="s">
        <v>7</v>
      </c>
    </row>
    <row r="543" spans="1:7" x14ac:dyDescent="0.3">
      <c r="A543" s="34">
        <v>542</v>
      </c>
      <c r="B543" s="34">
        <v>24</v>
      </c>
      <c r="C543" s="34">
        <v>2032</v>
      </c>
      <c r="D543" s="34">
        <v>60</v>
      </c>
      <c r="E543" s="34" t="s">
        <v>3</v>
      </c>
      <c r="F543" s="34" t="s">
        <v>8</v>
      </c>
      <c r="G543" s="34" t="s">
        <v>5</v>
      </c>
    </row>
    <row r="544" spans="1:7" x14ac:dyDescent="0.3">
      <c r="A544" s="34">
        <v>543</v>
      </c>
      <c r="B544" s="34">
        <v>30</v>
      </c>
      <c r="C544" s="34">
        <v>6350</v>
      </c>
      <c r="D544" s="34">
        <v>31</v>
      </c>
      <c r="E544" s="34" t="s">
        <v>3</v>
      </c>
      <c r="F544" s="34" t="s">
        <v>4</v>
      </c>
      <c r="G544" s="34" t="s">
        <v>7</v>
      </c>
    </row>
    <row r="545" spans="1:7" x14ac:dyDescent="0.3">
      <c r="A545" s="34">
        <v>544</v>
      </c>
      <c r="B545" s="34">
        <v>18</v>
      </c>
      <c r="C545" s="34">
        <v>2864</v>
      </c>
      <c r="D545" s="34">
        <v>34</v>
      </c>
      <c r="E545" s="34" t="s">
        <v>3</v>
      </c>
      <c r="F545" s="34" t="s">
        <v>4</v>
      </c>
      <c r="G545" s="34" t="s">
        <v>7</v>
      </c>
    </row>
    <row r="546" spans="1:7" x14ac:dyDescent="0.3">
      <c r="A546" s="34">
        <v>545</v>
      </c>
      <c r="B546" s="34">
        <v>12</v>
      </c>
      <c r="C546" s="34">
        <v>1255</v>
      </c>
      <c r="D546" s="34">
        <v>61</v>
      </c>
      <c r="E546" s="34" t="s">
        <v>3</v>
      </c>
      <c r="F546" s="34" t="s">
        <v>4</v>
      </c>
      <c r="G546" s="34" t="s">
        <v>5</v>
      </c>
    </row>
    <row r="547" spans="1:7" x14ac:dyDescent="0.3">
      <c r="A547" s="34">
        <v>546</v>
      </c>
      <c r="B547" s="34">
        <v>24</v>
      </c>
      <c r="C547" s="34">
        <v>1333</v>
      </c>
      <c r="D547" s="34">
        <v>43</v>
      </c>
      <c r="E547" s="34" t="s">
        <v>3</v>
      </c>
      <c r="F547" s="34" t="s">
        <v>8</v>
      </c>
      <c r="G547" s="34" t="s">
        <v>7</v>
      </c>
    </row>
    <row r="548" spans="1:7" x14ac:dyDescent="0.3">
      <c r="A548" s="34">
        <v>547</v>
      </c>
      <c r="B548" s="34">
        <v>24</v>
      </c>
      <c r="C548" s="34">
        <v>2022</v>
      </c>
      <c r="D548" s="34">
        <v>37</v>
      </c>
      <c r="E548" s="34" t="s">
        <v>6</v>
      </c>
      <c r="F548" s="34" t="s">
        <v>4</v>
      </c>
      <c r="G548" s="34" t="s">
        <v>5</v>
      </c>
    </row>
    <row r="549" spans="1:7" x14ac:dyDescent="0.3">
      <c r="A549" s="34">
        <v>548</v>
      </c>
      <c r="B549" s="34">
        <v>24</v>
      </c>
      <c r="C549" s="34">
        <v>1552</v>
      </c>
      <c r="D549" s="34">
        <v>32</v>
      </c>
      <c r="E549" s="34" t="s">
        <v>3</v>
      </c>
      <c r="F549" s="34" t="s">
        <v>4</v>
      </c>
      <c r="G549" s="34" t="s">
        <v>5</v>
      </c>
    </row>
    <row r="550" spans="1:7" x14ac:dyDescent="0.3">
      <c r="A550" s="34">
        <v>549</v>
      </c>
      <c r="B550" s="34">
        <v>12</v>
      </c>
      <c r="C550" s="34">
        <v>626</v>
      </c>
      <c r="D550" s="34">
        <v>24</v>
      </c>
      <c r="E550" s="34" t="s">
        <v>6</v>
      </c>
      <c r="F550" s="34" t="s">
        <v>4</v>
      </c>
      <c r="G550" s="34" t="s">
        <v>7</v>
      </c>
    </row>
    <row r="551" spans="1:7" x14ac:dyDescent="0.3">
      <c r="A551" s="34">
        <v>550</v>
      </c>
      <c r="B551" s="34">
        <v>48</v>
      </c>
      <c r="C551" s="34">
        <v>8858</v>
      </c>
      <c r="D551" s="34">
        <v>35</v>
      </c>
      <c r="E551" s="34" t="s">
        <v>3</v>
      </c>
      <c r="F551" s="34" t="s">
        <v>8</v>
      </c>
      <c r="G551" s="34" t="s">
        <v>5</v>
      </c>
    </row>
    <row r="552" spans="1:7" x14ac:dyDescent="0.3">
      <c r="A552" s="34">
        <v>551</v>
      </c>
      <c r="B552" s="34">
        <v>12</v>
      </c>
      <c r="C552" s="34">
        <v>996</v>
      </c>
      <c r="D552" s="34">
        <v>23</v>
      </c>
      <c r="E552" s="34" t="s">
        <v>6</v>
      </c>
      <c r="F552" s="34" t="s">
        <v>4</v>
      </c>
      <c r="G552" s="34" t="s">
        <v>5</v>
      </c>
    </row>
    <row r="553" spans="1:7" x14ac:dyDescent="0.3">
      <c r="A553" s="34">
        <v>552</v>
      </c>
      <c r="B553" s="34">
        <v>6</v>
      </c>
      <c r="C553" s="34">
        <v>1750</v>
      </c>
      <c r="D553" s="34">
        <v>45</v>
      </c>
      <c r="E553" s="34" t="s">
        <v>3</v>
      </c>
      <c r="F553" s="34" t="s">
        <v>4</v>
      </c>
      <c r="G553" s="34" t="s">
        <v>5</v>
      </c>
    </row>
    <row r="554" spans="1:7" x14ac:dyDescent="0.3">
      <c r="A554" s="34">
        <v>553</v>
      </c>
      <c r="B554" s="34">
        <v>48</v>
      </c>
      <c r="C554" s="34">
        <v>6999</v>
      </c>
      <c r="D554" s="34">
        <v>34</v>
      </c>
      <c r="E554" s="34" t="s">
        <v>11</v>
      </c>
      <c r="F554" s="34" t="s">
        <v>4</v>
      </c>
      <c r="G554" s="34" t="s">
        <v>7</v>
      </c>
    </row>
    <row r="555" spans="1:7" x14ac:dyDescent="0.3">
      <c r="A555" s="34">
        <v>554</v>
      </c>
      <c r="B555" s="34">
        <v>12</v>
      </c>
      <c r="C555" s="34">
        <v>1995</v>
      </c>
      <c r="D555" s="34">
        <v>27</v>
      </c>
      <c r="E555" s="34" t="s">
        <v>3</v>
      </c>
      <c r="F555" s="34" t="s">
        <v>4</v>
      </c>
      <c r="G555" s="34" t="s">
        <v>5</v>
      </c>
    </row>
    <row r="556" spans="1:7" x14ac:dyDescent="0.3">
      <c r="A556" s="34">
        <v>555</v>
      </c>
      <c r="B556" s="34">
        <v>9</v>
      </c>
      <c r="C556" s="34">
        <v>1199</v>
      </c>
      <c r="D556" s="34">
        <v>67</v>
      </c>
      <c r="E556" s="34" t="s">
        <v>6</v>
      </c>
      <c r="F556" s="34" t="s">
        <v>4</v>
      </c>
      <c r="G556" s="34" t="s">
        <v>5</v>
      </c>
    </row>
    <row r="557" spans="1:7" x14ac:dyDescent="0.3">
      <c r="A557" s="34">
        <v>556</v>
      </c>
      <c r="B557" s="34">
        <v>12</v>
      </c>
      <c r="C557" s="34">
        <v>1331</v>
      </c>
      <c r="D557" s="34">
        <v>22</v>
      </c>
      <c r="E557" s="34" t="s">
        <v>3</v>
      </c>
      <c r="F557" s="34" t="s">
        <v>4</v>
      </c>
      <c r="G557" s="34" t="s">
        <v>7</v>
      </c>
    </row>
    <row r="558" spans="1:7" x14ac:dyDescent="0.3">
      <c r="A558" s="34">
        <v>557</v>
      </c>
      <c r="B558" s="34">
        <v>18</v>
      </c>
      <c r="C558" s="34">
        <v>2278</v>
      </c>
      <c r="D558" s="34">
        <v>28</v>
      </c>
      <c r="E558" s="34" t="s">
        <v>6</v>
      </c>
      <c r="F558" s="34" t="s">
        <v>4</v>
      </c>
      <c r="G558" s="34" t="s">
        <v>7</v>
      </c>
    </row>
    <row r="559" spans="1:7" x14ac:dyDescent="0.3">
      <c r="A559" s="34">
        <v>558</v>
      </c>
      <c r="B559" s="34">
        <v>21</v>
      </c>
      <c r="C559" s="34">
        <v>5003</v>
      </c>
      <c r="D559" s="34">
        <v>29</v>
      </c>
      <c r="E559" s="34" t="s">
        <v>6</v>
      </c>
      <c r="F559" s="34" t="s">
        <v>4</v>
      </c>
      <c r="G559" s="34" t="s">
        <v>7</v>
      </c>
    </row>
    <row r="560" spans="1:7" x14ac:dyDescent="0.3">
      <c r="A560" s="34">
        <v>559</v>
      </c>
      <c r="B560" s="34">
        <v>24</v>
      </c>
      <c r="C560" s="34">
        <v>3552</v>
      </c>
      <c r="D560" s="34">
        <v>27</v>
      </c>
      <c r="E560" s="34" t="s">
        <v>3</v>
      </c>
      <c r="F560" s="34" t="s">
        <v>4</v>
      </c>
      <c r="G560" s="34" t="s">
        <v>7</v>
      </c>
    </row>
    <row r="561" spans="1:7" x14ac:dyDescent="0.3">
      <c r="A561" s="34">
        <v>560</v>
      </c>
      <c r="B561" s="34">
        <v>18</v>
      </c>
      <c r="C561" s="34">
        <v>1928</v>
      </c>
      <c r="D561" s="34">
        <v>31</v>
      </c>
      <c r="E561" s="34" t="s">
        <v>3</v>
      </c>
      <c r="F561" s="34" t="s">
        <v>4</v>
      </c>
      <c r="G561" s="34" t="s">
        <v>7</v>
      </c>
    </row>
    <row r="562" spans="1:7" x14ac:dyDescent="0.3">
      <c r="A562" s="34">
        <v>561</v>
      </c>
      <c r="B562" s="34">
        <v>24</v>
      </c>
      <c r="C562" s="34">
        <v>2964</v>
      </c>
      <c r="D562" s="34">
        <v>49</v>
      </c>
      <c r="E562" s="34" t="s">
        <v>3</v>
      </c>
      <c r="F562" s="34" t="s">
        <v>8</v>
      </c>
      <c r="G562" s="34" t="s">
        <v>5</v>
      </c>
    </row>
    <row r="563" spans="1:7" x14ac:dyDescent="0.3">
      <c r="A563" s="34">
        <v>562</v>
      </c>
      <c r="B563" s="34">
        <v>24</v>
      </c>
      <c r="C563" s="34">
        <v>1546</v>
      </c>
      <c r="D563" s="34">
        <v>24</v>
      </c>
      <c r="E563" s="34" t="s">
        <v>3</v>
      </c>
      <c r="F563" s="34" t="s">
        <v>9</v>
      </c>
      <c r="G563" s="34" t="s">
        <v>7</v>
      </c>
    </row>
    <row r="564" spans="1:7" x14ac:dyDescent="0.3">
      <c r="A564" s="34">
        <v>563</v>
      </c>
      <c r="B564" s="34">
        <v>6</v>
      </c>
      <c r="C564" s="34">
        <v>683</v>
      </c>
      <c r="D564" s="34">
        <v>29</v>
      </c>
      <c r="E564" s="34" t="s">
        <v>6</v>
      </c>
      <c r="F564" s="34" t="s">
        <v>4</v>
      </c>
      <c r="G564" s="34" t="s">
        <v>5</v>
      </c>
    </row>
    <row r="565" spans="1:7" x14ac:dyDescent="0.3">
      <c r="A565" s="34">
        <v>564</v>
      </c>
      <c r="B565" s="34">
        <v>36</v>
      </c>
      <c r="C565" s="34">
        <v>12389</v>
      </c>
      <c r="D565" s="34">
        <v>37</v>
      </c>
      <c r="E565" s="34" t="s">
        <v>3</v>
      </c>
      <c r="F565" s="34" t="s">
        <v>8</v>
      </c>
      <c r="G565" s="34" t="s">
        <v>7</v>
      </c>
    </row>
    <row r="566" spans="1:7" x14ac:dyDescent="0.3">
      <c r="A566" s="34">
        <v>565</v>
      </c>
      <c r="B566" s="34">
        <v>24</v>
      </c>
      <c r="C566" s="34">
        <v>4712</v>
      </c>
      <c r="D566" s="34">
        <v>37</v>
      </c>
      <c r="E566" s="34" t="s">
        <v>3</v>
      </c>
      <c r="F566" s="34" t="s">
        <v>4</v>
      </c>
      <c r="G566" s="34" t="s">
        <v>5</v>
      </c>
    </row>
    <row r="567" spans="1:7" x14ac:dyDescent="0.3">
      <c r="A567" s="34">
        <v>566</v>
      </c>
      <c r="B567" s="34">
        <v>24</v>
      </c>
      <c r="C567" s="34">
        <v>1553</v>
      </c>
      <c r="D567" s="34">
        <v>23</v>
      </c>
      <c r="E567" s="34" t="s">
        <v>6</v>
      </c>
      <c r="F567" s="34" t="s">
        <v>9</v>
      </c>
      <c r="G567" s="34" t="s">
        <v>5</v>
      </c>
    </row>
    <row r="568" spans="1:7" x14ac:dyDescent="0.3">
      <c r="A568" s="34">
        <v>567</v>
      </c>
      <c r="B568" s="34">
        <v>12</v>
      </c>
      <c r="C568" s="34">
        <v>1372</v>
      </c>
      <c r="D568" s="34">
        <v>36</v>
      </c>
      <c r="E568" s="34" t="s">
        <v>10</v>
      </c>
      <c r="F568" s="34" t="s">
        <v>4</v>
      </c>
      <c r="G568" s="34" t="s">
        <v>7</v>
      </c>
    </row>
    <row r="569" spans="1:7" x14ac:dyDescent="0.3">
      <c r="A569" s="34">
        <v>568</v>
      </c>
      <c r="B569" s="34">
        <v>24</v>
      </c>
      <c r="C569" s="34">
        <v>2578</v>
      </c>
      <c r="D569" s="34">
        <v>34</v>
      </c>
      <c r="E569" s="34" t="s">
        <v>3</v>
      </c>
      <c r="F569" s="34" t="s">
        <v>4</v>
      </c>
      <c r="G569" s="34" t="s">
        <v>5</v>
      </c>
    </row>
    <row r="570" spans="1:7" x14ac:dyDescent="0.3">
      <c r="A570" s="34">
        <v>569</v>
      </c>
      <c r="B570" s="34">
        <v>48</v>
      </c>
      <c r="C570" s="34">
        <v>3979</v>
      </c>
      <c r="D570" s="34">
        <v>41</v>
      </c>
      <c r="E570" s="34" t="s">
        <v>3</v>
      </c>
      <c r="F570" s="34" t="s">
        <v>4</v>
      </c>
      <c r="G570" s="34" t="s">
        <v>5</v>
      </c>
    </row>
    <row r="571" spans="1:7" x14ac:dyDescent="0.3">
      <c r="A571" s="34">
        <v>570</v>
      </c>
      <c r="B571" s="34">
        <v>48</v>
      </c>
      <c r="C571" s="34">
        <v>6758</v>
      </c>
      <c r="D571" s="34">
        <v>31</v>
      </c>
      <c r="E571" s="34" t="s">
        <v>6</v>
      </c>
      <c r="F571" s="34" t="s">
        <v>4</v>
      </c>
      <c r="G571" s="34" t="s">
        <v>7</v>
      </c>
    </row>
    <row r="572" spans="1:7" x14ac:dyDescent="0.3">
      <c r="A572" s="34">
        <v>571</v>
      </c>
      <c r="B572" s="34">
        <v>24</v>
      </c>
      <c r="C572" s="34">
        <v>3234</v>
      </c>
      <c r="D572" s="34">
        <v>23</v>
      </c>
      <c r="E572" s="34" t="s">
        <v>6</v>
      </c>
      <c r="F572" s="34" t="s">
        <v>9</v>
      </c>
      <c r="G572" s="34" t="s">
        <v>7</v>
      </c>
    </row>
    <row r="573" spans="1:7" x14ac:dyDescent="0.3">
      <c r="A573" s="34">
        <v>572</v>
      </c>
      <c r="B573" s="34">
        <v>30</v>
      </c>
      <c r="C573" s="34">
        <v>5954</v>
      </c>
      <c r="D573" s="34">
        <v>38</v>
      </c>
      <c r="E573" s="34" t="s">
        <v>3</v>
      </c>
      <c r="F573" s="34" t="s">
        <v>4</v>
      </c>
      <c r="G573" s="34" t="s">
        <v>5</v>
      </c>
    </row>
    <row r="574" spans="1:7" x14ac:dyDescent="0.3">
      <c r="A574" s="34">
        <v>573</v>
      </c>
      <c r="B574" s="34">
        <v>24</v>
      </c>
      <c r="C574" s="34">
        <v>5433</v>
      </c>
      <c r="D574" s="34">
        <v>26</v>
      </c>
      <c r="E574" s="34" t="s">
        <v>6</v>
      </c>
      <c r="F574" s="34" t="s">
        <v>9</v>
      </c>
      <c r="G574" s="34" t="s">
        <v>5</v>
      </c>
    </row>
    <row r="575" spans="1:7" x14ac:dyDescent="0.3">
      <c r="A575" s="34">
        <v>574</v>
      </c>
      <c r="B575" s="34">
        <v>15</v>
      </c>
      <c r="C575" s="34">
        <v>806</v>
      </c>
      <c r="D575" s="34">
        <v>22</v>
      </c>
      <c r="E575" s="34" t="s">
        <v>6</v>
      </c>
      <c r="F575" s="34" t="s">
        <v>4</v>
      </c>
      <c r="G575" s="34" t="s">
        <v>5</v>
      </c>
    </row>
    <row r="576" spans="1:7" x14ac:dyDescent="0.3">
      <c r="A576" s="34">
        <v>575</v>
      </c>
      <c r="B576" s="34">
        <v>9</v>
      </c>
      <c r="C576" s="34">
        <v>1082</v>
      </c>
      <c r="D576" s="34">
        <v>27</v>
      </c>
      <c r="E576" s="34" t="s">
        <v>3</v>
      </c>
      <c r="F576" s="34" t="s">
        <v>4</v>
      </c>
      <c r="G576" s="34" t="s">
        <v>5</v>
      </c>
    </row>
    <row r="577" spans="1:7" x14ac:dyDescent="0.3">
      <c r="A577" s="34">
        <v>576</v>
      </c>
      <c r="B577" s="34">
        <v>15</v>
      </c>
      <c r="C577" s="34">
        <v>2788</v>
      </c>
      <c r="D577" s="34">
        <v>24</v>
      </c>
      <c r="E577" s="34" t="s">
        <v>6</v>
      </c>
      <c r="F577" s="34" t="s">
        <v>4</v>
      </c>
      <c r="G577" s="34" t="s">
        <v>5</v>
      </c>
    </row>
    <row r="578" spans="1:7" x14ac:dyDescent="0.3">
      <c r="A578" s="34">
        <v>577</v>
      </c>
      <c r="B578" s="34">
        <v>12</v>
      </c>
      <c r="C578" s="34">
        <v>2930</v>
      </c>
      <c r="D578" s="34">
        <v>27</v>
      </c>
      <c r="E578" s="34" t="s">
        <v>6</v>
      </c>
      <c r="F578" s="34" t="s">
        <v>4</v>
      </c>
      <c r="G578" s="34" t="s">
        <v>5</v>
      </c>
    </row>
    <row r="579" spans="1:7" x14ac:dyDescent="0.3">
      <c r="A579" s="34">
        <v>578</v>
      </c>
      <c r="B579" s="34">
        <v>24</v>
      </c>
      <c r="C579" s="34">
        <v>1927</v>
      </c>
      <c r="D579" s="34">
        <v>33</v>
      </c>
      <c r="E579" s="34" t="s">
        <v>6</v>
      </c>
      <c r="F579" s="34" t="s">
        <v>4</v>
      </c>
      <c r="G579" s="34" t="s">
        <v>5</v>
      </c>
    </row>
    <row r="580" spans="1:7" x14ac:dyDescent="0.3">
      <c r="A580" s="34">
        <v>579</v>
      </c>
      <c r="B580" s="34">
        <v>36</v>
      </c>
      <c r="C580" s="34">
        <v>2820</v>
      </c>
      <c r="D580" s="34">
        <v>27</v>
      </c>
      <c r="E580" s="34" t="s">
        <v>10</v>
      </c>
      <c r="F580" s="34" t="s">
        <v>4</v>
      </c>
      <c r="G580" s="34" t="s">
        <v>7</v>
      </c>
    </row>
    <row r="581" spans="1:7" x14ac:dyDescent="0.3">
      <c r="A581" s="34">
        <v>580</v>
      </c>
      <c r="B581" s="34">
        <v>24</v>
      </c>
      <c r="C581" s="34">
        <v>937</v>
      </c>
      <c r="D581" s="34">
        <v>27</v>
      </c>
      <c r="E581" s="34" t="s">
        <v>11</v>
      </c>
      <c r="F581" s="34" t="s">
        <v>4</v>
      </c>
      <c r="G581" s="34" t="s">
        <v>5</v>
      </c>
    </row>
    <row r="582" spans="1:7" x14ac:dyDescent="0.3">
      <c r="A582" s="34">
        <v>581</v>
      </c>
      <c r="B582" s="34">
        <v>18</v>
      </c>
      <c r="C582" s="34">
        <v>1056</v>
      </c>
      <c r="D582" s="34">
        <v>30</v>
      </c>
      <c r="E582" s="34" t="s">
        <v>3</v>
      </c>
      <c r="F582" s="34" t="s">
        <v>4</v>
      </c>
      <c r="G582" s="34" t="s">
        <v>7</v>
      </c>
    </row>
    <row r="583" spans="1:7" x14ac:dyDescent="0.3">
      <c r="A583" s="34">
        <v>582</v>
      </c>
      <c r="B583" s="34">
        <v>12</v>
      </c>
      <c r="C583" s="34">
        <v>3124</v>
      </c>
      <c r="D583" s="34">
        <v>49</v>
      </c>
      <c r="E583" s="34" t="s">
        <v>3</v>
      </c>
      <c r="F583" s="34" t="s">
        <v>4</v>
      </c>
      <c r="G583" s="34" t="s">
        <v>5</v>
      </c>
    </row>
    <row r="584" spans="1:7" x14ac:dyDescent="0.3">
      <c r="A584" s="34">
        <v>583</v>
      </c>
      <c r="B584" s="34">
        <v>9</v>
      </c>
      <c r="C584" s="34">
        <v>1388</v>
      </c>
      <c r="D584" s="34">
        <v>26</v>
      </c>
      <c r="E584" s="34" t="s">
        <v>6</v>
      </c>
      <c r="F584" s="34" t="s">
        <v>9</v>
      </c>
      <c r="G584" s="34" t="s">
        <v>5</v>
      </c>
    </row>
    <row r="585" spans="1:7" x14ac:dyDescent="0.3">
      <c r="A585" s="34">
        <v>584</v>
      </c>
      <c r="B585" s="34">
        <v>36</v>
      </c>
      <c r="C585" s="34">
        <v>2384</v>
      </c>
      <c r="D585" s="34">
        <v>33</v>
      </c>
      <c r="E585" s="34" t="s">
        <v>3</v>
      </c>
      <c r="F585" s="34" t="s">
        <v>9</v>
      </c>
      <c r="G585" s="34" t="s">
        <v>7</v>
      </c>
    </row>
    <row r="586" spans="1:7" x14ac:dyDescent="0.3">
      <c r="A586" s="34">
        <v>585</v>
      </c>
      <c r="B586" s="34">
        <v>12</v>
      </c>
      <c r="C586" s="34">
        <v>2133</v>
      </c>
      <c r="D586" s="34">
        <v>52</v>
      </c>
      <c r="E586" s="34" t="s">
        <v>6</v>
      </c>
      <c r="F586" s="34" t="s">
        <v>8</v>
      </c>
      <c r="G586" s="34" t="s">
        <v>5</v>
      </c>
    </row>
    <row r="587" spans="1:7" x14ac:dyDescent="0.3">
      <c r="A587" s="34">
        <v>586</v>
      </c>
      <c r="B587" s="34">
        <v>18</v>
      </c>
      <c r="C587" s="34">
        <v>2039</v>
      </c>
      <c r="D587" s="34">
        <v>20</v>
      </c>
      <c r="E587" s="34" t="s">
        <v>6</v>
      </c>
      <c r="F587" s="34" t="s">
        <v>9</v>
      </c>
      <c r="G587" s="34" t="s">
        <v>7</v>
      </c>
    </row>
    <row r="588" spans="1:7" x14ac:dyDescent="0.3">
      <c r="A588" s="34">
        <v>587</v>
      </c>
      <c r="B588" s="34">
        <v>9</v>
      </c>
      <c r="C588" s="34">
        <v>2799</v>
      </c>
      <c r="D588" s="34">
        <v>36</v>
      </c>
      <c r="E588" s="34" t="s">
        <v>3</v>
      </c>
      <c r="F588" s="34" t="s">
        <v>9</v>
      </c>
      <c r="G588" s="34" t="s">
        <v>5</v>
      </c>
    </row>
    <row r="589" spans="1:7" x14ac:dyDescent="0.3">
      <c r="A589" s="34">
        <v>588</v>
      </c>
      <c r="B589" s="34">
        <v>12</v>
      </c>
      <c r="C589" s="34">
        <v>1289</v>
      </c>
      <c r="D589" s="34">
        <v>21</v>
      </c>
      <c r="E589" s="34" t="s">
        <v>3</v>
      </c>
      <c r="F589" s="34" t="s">
        <v>4</v>
      </c>
      <c r="G589" s="34" t="s">
        <v>5</v>
      </c>
    </row>
    <row r="590" spans="1:7" x14ac:dyDescent="0.3">
      <c r="A590" s="34">
        <v>589</v>
      </c>
      <c r="B590" s="34">
        <v>18</v>
      </c>
      <c r="C590" s="34">
        <v>1217</v>
      </c>
      <c r="D590" s="34">
        <v>47</v>
      </c>
      <c r="E590" s="34" t="s">
        <v>11</v>
      </c>
      <c r="F590" s="34" t="s">
        <v>4</v>
      </c>
      <c r="G590" s="34" t="s">
        <v>7</v>
      </c>
    </row>
    <row r="591" spans="1:7" x14ac:dyDescent="0.3">
      <c r="A591" s="34">
        <v>590</v>
      </c>
      <c r="B591" s="34">
        <v>12</v>
      </c>
      <c r="C591" s="34">
        <v>2246</v>
      </c>
      <c r="D591" s="34">
        <v>60</v>
      </c>
      <c r="E591" s="34" t="s">
        <v>3</v>
      </c>
      <c r="F591" s="34" t="s">
        <v>4</v>
      </c>
      <c r="G591" s="34" t="s">
        <v>7</v>
      </c>
    </row>
    <row r="592" spans="1:7" x14ac:dyDescent="0.3">
      <c r="A592" s="34">
        <v>591</v>
      </c>
      <c r="B592" s="34">
        <v>12</v>
      </c>
      <c r="C592" s="34">
        <v>385</v>
      </c>
      <c r="D592" s="34">
        <v>58</v>
      </c>
      <c r="E592" s="34" t="s">
        <v>6</v>
      </c>
      <c r="F592" s="34" t="s">
        <v>4</v>
      </c>
      <c r="G592" s="34" t="s">
        <v>5</v>
      </c>
    </row>
    <row r="593" spans="1:7" x14ac:dyDescent="0.3">
      <c r="A593" s="34">
        <v>592</v>
      </c>
      <c r="B593" s="34">
        <v>24</v>
      </c>
      <c r="C593" s="34">
        <v>1965</v>
      </c>
      <c r="D593" s="34">
        <v>42</v>
      </c>
      <c r="E593" s="34" t="s">
        <v>6</v>
      </c>
      <c r="F593" s="34" t="s">
        <v>9</v>
      </c>
      <c r="G593" s="34" t="s">
        <v>5</v>
      </c>
    </row>
    <row r="594" spans="1:7" x14ac:dyDescent="0.3">
      <c r="A594" s="34">
        <v>593</v>
      </c>
      <c r="B594" s="34">
        <v>21</v>
      </c>
      <c r="C594" s="34">
        <v>1572</v>
      </c>
      <c r="D594" s="34">
        <v>36</v>
      </c>
      <c r="E594" s="34" t="s">
        <v>6</v>
      </c>
      <c r="F594" s="34" t="s">
        <v>4</v>
      </c>
      <c r="G594" s="34" t="s">
        <v>5</v>
      </c>
    </row>
    <row r="595" spans="1:7" x14ac:dyDescent="0.3">
      <c r="A595" s="34">
        <v>594</v>
      </c>
      <c r="B595" s="34">
        <v>24</v>
      </c>
      <c r="C595" s="34">
        <v>2718</v>
      </c>
      <c r="D595" s="34">
        <v>20</v>
      </c>
      <c r="E595" s="34" t="s">
        <v>6</v>
      </c>
      <c r="F595" s="34" t="s">
        <v>9</v>
      </c>
      <c r="G595" s="34" t="s">
        <v>7</v>
      </c>
    </row>
    <row r="596" spans="1:7" x14ac:dyDescent="0.3">
      <c r="A596" s="34">
        <v>595</v>
      </c>
      <c r="B596" s="34">
        <v>24</v>
      </c>
      <c r="C596" s="34">
        <v>1358</v>
      </c>
      <c r="D596" s="34">
        <v>40</v>
      </c>
      <c r="E596" s="34" t="s">
        <v>3</v>
      </c>
      <c r="F596" s="34" t="s">
        <v>4</v>
      </c>
      <c r="G596" s="34" t="s">
        <v>7</v>
      </c>
    </row>
    <row r="597" spans="1:7" x14ac:dyDescent="0.3">
      <c r="A597" s="34">
        <v>596</v>
      </c>
      <c r="B597" s="34">
        <v>6</v>
      </c>
      <c r="C597" s="34">
        <v>931</v>
      </c>
      <c r="D597" s="34">
        <v>32</v>
      </c>
      <c r="E597" s="34" t="s">
        <v>6</v>
      </c>
      <c r="F597" s="34" t="s">
        <v>4</v>
      </c>
      <c r="G597" s="34" t="s">
        <v>7</v>
      </c>
    </row>
    <row r="598" spans="1:7" x14ac:dyDescent="0.3">
      <c r="A598" s="34">
        <v>597</v>
      </c>
      <c r="B598" s="34">
        <v>24</v>
      </c>
      <c r="C598" s="34">
        <v>1442</v>
      </c>
      <c r="D598" s="34">
        <v>23</v>
      </c>
      <c r="E598" s="34" t="s">
        <v>6</v>
      </c>
      <c r="F598" s="34" t="s">
        <v>9</v>
      </c>
      <c r="G598" s="34" t="s">
        <v>7</v>
      </c>
    </row>
    <row r="599" spans="1:7" x14ac:dyDescent="0.3">
      <c r="A599" s="34">
        <v>598</v>
      </c>
      <c r="B599" s="34">
        <v>24</v>
      </c>
      <c r="C599" s="34">
        <v>4241</v>
      </c>
      <c r="D599" s="34">
        <v>36</v>
      </c>
      <c r="E599" s="34" t="s">
        <v>3</v>
      </c>
      <c r="F599" s="34" t="s">
        <v>4</v>
      </c>
      <c r="G599" s="34" t="s">
        <v>7</v>
      </c>
    </row>
    <row r="600" spans="1:7" x14ac:dyDescent="0.3">
      <c r="A600" s="34">
        <v>599</v>
      </c>
      <c r="B600" s="34">
        <v>18</v>
      </c>
      <c r="C600" s="34">
        <v>2775</v>
      </c>
      <c r="D600" s="34">
        <v>31</v>
      </c>
      <c r="E600" s="34" t="s">
        <v>3</v>
      </c>
      <c r="F600" s="34" t="s">
        <v>4</v>
      </c>
      <c r="G600" s="34" t="s">
        <v>7</v>
      </c>
    </row>
    <row r="601" spans="1:7" x14ac:dyDescent="0.3">
      <c r="A601" s="34">
        <v>600</v>
      </c>
      <c r="B601" s="34">
        <v>24</v>
      </c>
      <c r="C601" s="34">
        <v>3863</v>
      </c>
      <c r="D601" s="34">
        <v>32</v>
      </c>
      <c r="E601" s="34" t="s">
        <v>3</v>
      </c>
      <c r="F601" s="34" t="s">
        <v>8</v>
      </c>
      <c r="G601" s="34" t="s">
        <v>5</v>
      </c>
    </row>
    <row r="602" spans="1:7" x14ac:dyDescent="0.3">
      <c r="A602" s="34">
        <v>601</v>
      </c>
      <c r="B602" s="34">
        <v>7</v>
      </c>
      <c r="C602" s="34">
        <v>2329</v>
      </c>
      <c r="D602" s="34">
        <v>45</v>
      </c>
      <c r="E602" s="34" t="s">
        <v>6</v>
      </c>
      <c r="F602" s="34" t="s">
        <v>4</v>
      </c>
      <c r="G602" s="34" t="s">
        <v>5</v>
      </c>
    </row>
    <row r="603" spans="1:7" x14ac:dyDescent="0.3">
      <c r="A603" s="34">
        <v>602</v>
      </c>
      <c r="B603" s="34">
        <v>9</v>
      </c>
      <c r="C603" s="34">
        <v>918</v>
      </c>
      <c r="D603" s="34">
        <v>30</v>
      </c>
      <c r="E603" s="34" t="s">
        <v>6</v>
      </c>
      <c r="F603" s="34" t="s">
        <v>4</v>
      </c>
      <c r="G603" s="34" t="s">
        <v>7</v>
      </c>
    </row>
    <row r="604" spans="1:7" x14ac:dyDescent="0.3">
      <c r="A604" s="34">
        <v>603</v>
      </c>
      <c r="B604" s="34">
        <v>24</v>
      </c>
      <c r="C604" s="34">
        <v>1837</v>
      </c>
      <c r="D604" s="34">
        <v>34</v>
      </c>
      <c r="E604" s="34" t="s">
        <v>6</v>
      </c>
      <c r="F604" s="34" t="s">
        <v>8</v>
      </c>
      <c r="G604" s="34" t="s">
        <v>7</v>
      </c>
    </row>
    <row r="605" spans="1:7" x14ac:dyDescent="0.3">
      <c r="A605" s="34">
        <v>604</v>
      </c>
      <c r="B605" s="34">
        <v>36</v>
      </c>
      <c r="C605" s="34">
        <v>3349</v>
      </c>
      <c r="D605" s="34">
        <v>28</v>
      </c>
      <c r="E605" s="34" t="s">
        <v>6</v>
      </c>
      <c r="F605" s="34" t="s">
        <v>4</v>
      </c>
      <c r="G605" s="34" t="s">
        <v>7</v>
      </c>
    </row>
    <row r="606" spans="1:7" x14ac:dyDescent="0.3">
      <c r="A606" s="34">
        <v>605</v>
      </c>
      <c r="B606" s="34">
        <v>10</v>
      </c>
      <c r="C606" s="34">
        <v>1275</v>
      </c>
      <c r="D606" s="34">
        <v>23</v>
      </c>
      <c r="E606" s="34" t="s">
        <v>6</v>
      </c>
      <c r="F606" s="34" t="s">
        <v>4</v>
      </c>
      <c r="G606" s="34" t="s">
        <v>5</v>
      </c>
    </row>
    <row r="607" spans="1:7" x14ac:dyDescent="0.3">
      <c r="A607" s="34">
        <v>606</v>
      </c>
      <c r="B607" s="34">
        <v>24</v>
      </c>
      <c r="C607" s="34">
        <v>2828</v>
      </c>
      <c r="D607" s="34">
        <v>22</v>
      </c>
      <c r="E607" s="34" t="s">
        <v>3</v>
      </c>
      <c r="F607" s="34" t="s">
        <v>4</v>
      </c>
      <c r="G607" s="34" t="s">
        <v>5</v>
      </c>
    </row>
    <row r="608" spans="1:7" x14ac:dyDescent="0.3">
      <c r="A608" s="34">
        <v>607</v>
      </c>
      <c r="B608" s="34">
        <v>24</v>
      </c>
      <c r="C608" s="34">
        <v>4526</v>
      </c>
      <c r="D608" s="34">
        <v>74</v>
      </c>
      <c r="E608" s="34" t="s">
        <v>3</v>
      </c>
      <c r="F608" s="34" t="s">
        <v>4</v>
      </c>
      <c r="G608" s="34" t="s">
        <v>5</v>
      </c>
    </row>
    <row r="609" spans="1:7" x14ac:dyDescent="0.3">
      <c r="A609" s="34">
        <v>608</v>
      </c>
      <c r="B609" s="34">
        <v>36</v>
      </c>
      <c r="C609" s="34">
        <v>2671</v>
      </c>
      <c r="D609" s="34">
        <v>50</v>
      </c>
      <c r="E609" s="34" t="s">
        <v>6</v>
      </c>
      <c r="F609" s="34" t="s">
        <v>8</v>
      </c>
      <c r="G609" s="34" t="s">
        <v>7</v>
      </c>
    </row>
    <row r="610" spans="1:7" x14ac:dyDescent="0.3">
      <c r="A610" s="34">
        <v>609</v>
      </c>
      <c r="B610" s="34">
        <v>18</v>
      </c>
      <c r="C610" s="34">
        <v>2051</v>
      </c>
      <c r="D610" s="34">
        <v>33</v>
      </c>
      <c r="E610" s="34" t="s">
        <v>3</v>
      </c>
      <c r="F610" s="34" t="s">
        <v>4</v>
      </c>
      <c r="G610" s="34" t="s">
        <v>5</v>
      </c>
    </row>
    <row r="611" spans="1:7" x14ac:dyDescent="0.3">
      <c r="A611" s="34">
        <v>610</v>
      </c>
      <c r="B611" s="34">
        <v>15</v>
      </c>
      <c r="C611" s="34">
        <v>1300</v>
      </c>
      <c r="D611" s="34">
        <v>45</v>
      </c>
      <c r="E611" s="34" t="s">
        <v>3</v>
      </c>
      <c r="F611" s="34" t="s">
        <v>8</v>
      </c>
      <c r="G611" s="34" t="s">
        <v>5</v>
      </c>
    </row>
    <row r="612" spans="1:7" x14ac:dyDescent="0.3">
      <c r="A612" s="34">
        <v>611</v>
      </c>
      <c r="B612" s="34">
        <v>12</v>
      </c>
      <c r="C612" s="34">
        <v>741</v>
      </c>
      <c r="D612" s="34">
        <v>22</v>
      </c>
      <c r="E612" s="34" t="s">
        <v>6</v>
      </c>
      <c r="F612" s="34" t="s">
        <v>4</v>
      </c>
      <c r="G612" s="34" t="s">
        <v>7</v>
      </c>
    </row>
    <row r="613" spans="1:7" x14ac:dyDescent="0.3">
      <c r="A613" s="34">
        <v>612</v>
      </c>
      <c r="B613" s="34">
        <v>10</v>
      </c>
      <c r="C613" s="34">
        <v>1240</v>
      </c>
      <c r="D613" s="34">
        <v>48</v>
      </c>
      <c r="E613" s="34" t="s">
        <v>6</v>
      </c>
      <c r="F613" s="34" t="s">
        <v>8</v>
      </c>
      <c r="G613" s="34" t="s">
        <v>7</v>
      </c>
    </row>
    <row r="614" spans="1:7" x14ac:dyDescent="0.3">
      <c r="A614" s="34">
        <v>613</v>
      </c>
      <c r="B614" s="34">
        <v>21</v>
      </c>
      <c r="C614" s="34">
        <v>3357</v>
      </c>
      <c r="D614" s="34">
        <v>29</v>
      </c>
      <c r="E614" s="34" t="s">
        <v>6</v>
      </c>
      <c r="F614" s="34" t="s">
        <v>4</v>
      </c>
      <c r="G614" s="34" t="s">
        <v>5</v>
      </c>
    </row>
    <row r="615" spans="1:7" x14ac:dyDescent="0.3">
      <c r="A615" s="34">
        <v>614</v>
      </c>
      <c r="B615" s="34">
        <v>24</v>
      </c>
      <c r="C615" s="34">
        <v>3632</v>
      </c>
      <c r="D615" s="34">
        <v>22</v>
      </c>
      <c r="E615" s="34" t="s">
        <v>6</v>
      </c>
      <c r="F615" s="34" t="s">
        <v>9</v>
      </c>
      <c r="G615" s="34" t="s">
        <v>5</v>
      </c>
    </row>
    <row r="616" spans="1:7" x14ac:dyDescent="0.3">
      <c r="A616" s="34">
        <v>615</v>
      </c>
      <c r="B616" s="34">
        <v>18</v>
      </c>
      <c r="C616" s="34">
        <v>1808</v>
      </c>
      <c r="D616" s="34">
        <v>22</v>
      </c>
      <c r="E616" s="34" t="s">
        <v>6</v>
      </c>
      <c r="F616" s="34" t="s">
        <v>4</v>
      </c>
      <c r="G616" s="34" t="s">
        <v>7</v>
      </c>
    </row>
    <row r="617" spans="1:7" x14ac:dyDescent="0.3">
      <c r="A617" s="34">
        <v>616</v>
      </c>
      <c r="B617" s="34">
        <v>48</v>
      </c>
      <c r="C617" s="34">
        <v>12204</v>
      </c>
      <c r="D617" s="34">
        <v>48</v>
      </c>
      <c r="E617" s="34" t="s">
        <v>3</v>
      </c>
      <c r="F617" s="34" t="s">
        <v>4</v>
      </c>
      <c r="G617" s="34" t="s">
        <v>5</v>
      </c>
    </row>
    <row r="618" spans="1:7" x14ac:dyDescent="0.3">
      <c r="A618" s="34">
        <v>617</v>
      </c>
      <c r="B618" s="34">
        <v>60</v>
      </c>
      <c r="C618" s="34">
        <v>9157</v>
      </c>
      <c r="D618" s="34">
        <v>27</v>
      </c>
      <c r="E618" s="34" t="s">
        <v>3</v>
      </c>
      <c r="F618" s="34" t="s">
        <v>8</v>
      </c>
      <c r="G618" s="34" t="s">
        <v>5</v>
      </c>
    </row>
    <row r="619" spans="1:7" x14ac:dyDescent="0.3">
      <c r="A619" s="34">
        <v>618</v>
      </c>
      <c r="B619" s="34">
        <v>6</v>
      </c>
      <c r="C619" s="34">
        <v>3676</v>
      </c>
      <c r="D619" s="34">
        <v>37</v>
      </c>
      <c r="E619" s="34" t="s">
        <v>3</v>
      </c>
      <c r="F619" s="34" t="s">
        <v>9</v>
      </c>
      <c r="G619" s="34" t="s">
        <v>5</v>
      </c>
    </row>
    <row r="620" spans="1:7" x14ac:dyDescent="0.3">
      <c r="A620" s="34">
        <v>619</v>
      </c>
      <c r="B620" s="34">
        <v>30</v>
      </c>
      <c r="C620" s="34">
        <v>3441</v>
      </c>
      <c r="D620" s="34">
        <v>21</v>
      </c>
      <c r="E620" s="34" t="s">
        <v>6</v>
      </c>
      <c r="F620" s="34" t="s">
        <v>9</v>
      </c>
      <c r="G620" s="34" t="s">
        <v>7</v>
      </c>
    </row>
    <row r="621" spans="1:7" x14ac:dyDescent="0.3">
      <c r="A621" s="34">
        <v>620</v>
      </c>
      <c r="B621" s="34">
        <v>12</v>
      </c>
      <c r="C621" s="34">
        <v>640</v>
      </c>
      <c r="D621" s="34">
        <v>49</v>
      </c>
      <c r="E621" s="34" t="s">
        <v>10</v>
      </c>
      <c r="F621" s="34" t="s">
        <v>4</v>
      </c>
      <c r="G621" s="34" t="s">
        <v>5</v>
      </c>
    </row>
    <row r="622" spans="1:7" x14ac:dyDescent="0.3">
      <c r="A622" s="34">
        <v>621</v>
      </c>
      <c r="B622" s="34">
        <v>21</v>
      </c>
      <c r="C622" s="34">
        <v>3652</v>
      </c>
      <c r="D622" s="34">
        <v>27</v>
      </c>
      <c r="E622" s="34" t="s">
        <v>3</v>
      </c>
      <c r="F622" s="34" t="s">
        <v>4</v>
      </c>
      <c r="G622" s="34" t="s">
        <v>5</v>
      </c>
    </row>
    <row r="623" spans="1:7" x14ac:dyDescent="0.3">
      <c r="A623" s="34">
        <v>622</v>
      </c>
      <c r="B623" s="34">
        <v>18</v>
      </c>
      <c r="C623" s="34">
        <v>1530</v>
      </c>
      <c r="D623" s="34">
        <v>32</v>
      </c>
      <c r="E623" s="34" t="s">
        <v>3</v>
      </c>
      <c r="F623" s="34" t="s">
        <v>4</v>
      </c>
      <c r="G623" s="34" t="s">
        <v>7</v>
      </c>
    </row>
    <row r="624" spans="1:7" x14ac:dyDescent="0.3">
      <c r="A624" s="34">
        <v>623</v>
      </c>
      <c r="B624" s="34">
        <v>48</v>
      </c>
      <c r="C624" s="34">
        <v>3914</v>
      </c>
      <c r="D624" s="34">
        <v>38</v>
      </c>
      <c r="E624" s="34" t="s">
        <v>10</v>
      </c>
      <c r="F624" s="34" t="s">
        <v>4</v>
      </c>
      <c r="G624" s="34" t="s">
        <v>7</v>
      </c>
    </row>
    <row r="625" spans="1:7" x14ac:dyDescent="0.3">
      <c r="A625" s="34">
        <v>624</v>
      </c>
      <c r="B625" s="34">
        <v>12</v>
      </c>
      <c r="C625" s="34">
        <v>1858</v>
      </c>
      <c r="D625" s="34">
        <v>22</v>
      </c>
      <c r="E625" s="34" t="s">
        <v>6</v>
      </c>
      <c r="F625" s="34" t="s">
        <v>9</v>
      </c>
      <c r="G625" s="34" t="s">
        <v>5</v>
      </c>
    </row>
    <row r="626" spans="1:7" x14ac:dyDescent="0.3">
      <c r="A626" s="34">
        <v>625</v>
      </c>
      <c r="B626" s="34">
        <v>18</v>
      </c>
      <c r="C626" s="34">
        <v>2600</v>
      </c>
      <c r="D626" s="34">
        <v>65</v>
      </c>
      <c r="E626" s="34" t="s">
        <v>3</v>
      </c>
      <c r="F626" s="34" t="s">
        <v>8</v>
      </c>
      <c r="G626" s="34" t="s">
        <v>7</v>
      </c>
    </row>
    <row r="627" spans="1:7" x14ac:dyDescent="0.3">
      <c r="A627" s="34">
        <v>626</v>
      </c>
      <c r="B627" s="34">
        <v>15</v>
      </c>
      <c r="C627" s="34">
        <v>1979</v>
      </c>
      <c r="D627" s="34">
        <v>35</v>
      </c>
      <c r="E627" s="34" t="s">
        <v>3</v>
      </c>
      <c r="F627" s="34" t="s">
        <v>4</v>
      </c>
      <c r="G627" s="34" t="s">
        <v>5</v>
      </c>
    </row>
    <row r="628" spans="1:7" x14ac:dyDescent="0.3">
      <c r="A628" s="34">
        <v>627</v>
      </c>
      <c r="B628" s="34">
        <v>6</v>
      </c>
      <c r="C628" s="34">
        <v>2116</v>
      </c>
      <c r="D628" s="34">
        <v>41</v>
      </c>
      <c r="E628" s="34" t="s">
        <v>3</v>
      </c>
      <c r="F628" s="34" t="s">
        <v>4</v>
      </c>
      <c r="G628" s="34" t="s">
        <v>5</v>
      </c>
    </row>
    <row r="629" spans="1:7" x14ac:dyDescent="0.3">
      <c r="A629" s="34">
        <v>628</v>
      </c>
      <c r="B629" s="34">
        <v>9</v>
      </c>
      <c r="C629" s="34">
        <v>1437</v>
      </c>
      <c r="D629" s="34">
        <v>29</v>
      </c>
      <c r="E629" s="34" t="s">
        <v>3</v>
      </c>
      <c r="F629" s="34" t="s">
        <v>4</v>
      </c>
      <c r="G629" s="34" t="s">
        <v>7</v>
      </c>
    </row>
    <row r="630" spans="1:7" x14ac:dyDescent="0.3">
      <c r="A630" s="34">
        <v>629</v>
      </c>
      <c r="B630" s="34">
        <v>42</v>
      </c>
      <c r="C630" s="34">
        <v>4042</v>
      </c>
      <c r="D630" s="34">
        <v>36</v>
      </c>
      <c r="E630" s="34" t="s">
        <v>3</v>
      </c>
      <c r="F630" s="34" t="s">
        <v>4</v>
      </c>
      <c r="G630" s="34" t="s">
        <v>5</v>
      </c>
    </row>
    <row r="631" spans="1:7" x14ac:dyDescent="0.3">
      <c r="A631" s="34">
        <v>630</v>
      </c>
      <c r="B631" s="34">
        <v>9</v>
      </c>
      <c r="C631" s="34">
        <v>3832</v>
      </c>
      <c r="D631" s="34">
        <v>64</v>
      </c>
      <c r="E631" s="34" t="s">
        <v>3</v>
      </c>
      <c r="F631" s="34" t="s">
        <v>4</v>
      </c>
      <c r="G631" s="34" t="s">
        <v>5</v>
      </c>
    </row>
    <row r="632" spans="1:7" x14ac:dyDescent="0.3">
      <c r="A632" s="34">
        <v>631</v>
      </c>
      <c r="B632" s="34">
        <v>24</v>
      </c>
      <c r="C632" s="34">
        <v>3660</v>
      </c>
      <c r="D632" s="34">
        <v>28</v>
      </c>
      <c r="E632" s="34" t="s">
        <v>6</v>
      </c>
      <c r="F632" s="34" t="s">
        <v>4</v>
      </c>
      <c r="G632" s="34" t="s">
        <v>5</v>
      </c>
    </row>
    <row r="633" spans="1:7" x14ac:dyDescent="0.3">
      <c r="A633" s="34">
        <v>632</v>
      </c>
      <c r="B633" s="34">
        <v>18</v>
      </c>
      <c r="C633" s="34">
        <v>1553</v>
      </c>
      <c r="D633" s="34">
        <v>44</v>
      </c>
      <c r="E633" s="34" t="s">
        <v>3</v>
      </c>
      <c r="F633" s="34" t="s">
        <v>4</v>
      </c>
      <c r="G633" s="34" t="s">
        <v>7</v>
      </c>
    </row>
    <row r="634" spans="1:7" x14ac:dyDescent="0.3">
      <c r="A634" s="34">
        <v>633</v>
      </c>
      <c r="B634" s="34">
        <v>15</v>
      </c>
      <c r="C634" s="34">
        <v>1444</v>
      </c>
      <c r="D634" s="34">
        <v>23</v>
      </c>
      <c r="E634" s="34" t="s">
        <v>3</v>
      </c>
      <c r="F634" s="34" t="s">
        <v>4</v>
      </c>
      <c r="G634" s="34" t="s">
        <v>5</v>
      </c>
    </row>
    <row r="635" spans="1:7" x14ac:dyDescent="0.3">
      <c r="A635" s="34">
        <v>634</v>
      </c>
      <c r="B635" s="34">
        <v>9</v>
      </c>
      <c r="C635" s="34">
        <v>1980</v>
      </c>
      <c r="D635" s="34">
        <v>19</v>
      </c>
      <c r="E635" s="34" t="s">
        <v>6</v>
      </c>
      <c r="F635" s="34" t="s">
        <v>9</v>
      </c>
      <c r="G635" s="34" t="s">
        <v>7</v>
      </c>
    </row>
    <row r="636" spans="1:7" x14ac:dyDescent="0.3">
      <c r="A636" s="34">
        <v>635</v>
      </c>
      <c r="B636" s="34">
        <v>24</v>
      </c>
      <c r="C636" s="34">
        <v>1355</v>
      </c>
      <c r="D636" s="34">
        <v>25</v>
      </c>
      <c r="E636" s="34" t="s">
        <v>6</v>
      </c>
      <c r="F636" s="34" t="s">
        <v>4</v>
      </c>
      <c r="G636" s="34" t="s">
        <v>7</v>
      </c>
    </row>
    <row r="637" spans="1:7" x14ac:dyDescent="0.3">
      <c r="A637" s="34">
        <v>636</v>
      </c>
      <c r="B637" s="34">
        <v>12</v>
      </c>
      <c r="C637" s="34">
        <v>1393</v>
      </c>
      <c r="D637" s="34">
        <v>47</v>
      </c>
      <c r="E637" s="34" t="s">
        <v>3</v>
      </c>
      <c r="F637" s="34" t="s">
        <v>4</v>
      </c>
      <c r="G637" s="34" t="s">
        <v>5</v>
      </c>
    </row>
    <row r="638" spans="1:7" x14ac:dyDescent="0.3">
      <c r="A638" s="34">
        <v>637</v>
      </c>
      <c r="B638" s="34">
        <v>24</v>
      </c>
      <c r="C638" s="34">
        <v>1376</v>
      </c>
      <c r="D638" s="34">
        <v>28</v>
      </c>
      <c r="E638" s="34" t="s">
        <v>6</v>
      </c>
      <c r="F638" s="34" t="s">
        <v>4</v>
      </c>
      <c r="G638" s="34" t="s">
        <v>5</v>
      </c>
    </row>
    <row r="639" spans="1:7" x14ac:dyDescent="0.3">
      <c r="A639" s="34">
        <v>638</v>
      </c>
      <c r="B639" s="34">
        <v>60</v>
      </c>
      <c r="C639" s="34">
        <v>15653</v>
      </c>
      <c r="D639" s="34">
        <v>21</v>
      </c>
      <c r="E639" s="34" t="s">
        <v>3</v>
      </c>
      <c r="F639" s="34" t="s">
        <v>4</v>
      </c>
      <c r="G639" s="34" t="s">
        <v>5</v>
      </c>
    </row>
    <row r="640" spans="1:7" x14ac:dyDescent="0.3">
      <c r="A640" s="34">
        <v>639</v>
      </c>
      <c r="B640" s="34">
        <v>12</v>
      </c>
      <c r="C640" s="34">
        <v>1493</v>
      </c>
      <c r="D640" s="34">
        <v>34</v>
      </c>
      <c r="E640" s="34" t="s">
        <v>6</v>
      </c>
      <c r="F640" s="34" t="s">
        <v>4</v>
      </c>
      <c r="G640" s="34" t="s">
        <v>5</v>
      </c>
    </row>
    <row r="641" spans="1:7" x14ac:dyDescent="0.3">
      <c r="A641" s="34">
        <v>640</v>
      </c>
      <c r="B641" s="34">
        <v>42</v>
      </c>
      <c r="C641" s="34">
        <v>4370</v>
      </c>
      <c r="D641" s="34">
        <v>26</v>
      </c>
      <c r="E641" s="34" t="s">
        <v>3</v>
      </c>
      <c r="F641" s="34" t="s">
        <v>4</v>
      </c>
      <c r="G641" s="34" t="s">
        <v>7</v>
      </c>
    </row>
    <row r="642" spans="1:7" x14ac:dyDescent="0.3">
      <c r="A642" s="34">
        <v>641</v>
      </c>
      <c r="B642" s="34">
        <v>18</v>
      </c>
      <c r="C642" s="34">
        <v>750</v>
      </c>
      <c r="D642" s="34">
        <v>27</v>
      </c>
      <c r="E642" s="34" t="s">
        <v>6</v>
      </c>
      <c r="F642" s="34" t="s">
        <v>4</v>
      </c>
      <c r="G642" s="34" t="s">
        <v>7</v>
      </c>
    </row>
    <row r="643" spans="1:7" x14ac:dyDescent="0.3">
      <c r="A643" s="34">
        <v>642</v>
      </c>
      <c r="B643" s="34">
        <v>15</v>
      </c>
      <c r="C643" s="34">
        <v>1308</v>
      </c>
      <c r="D643" s="34">
        <v>38</v>
      </c>
      <c r="E643" s="34" t="s">
        <v>3</v>
      </c>
      <c r="F643" s="34" t="s">
        <v>4</v>
      </c>
      <c r="G643" s="34" t="s">
        <v>5</v>
      </c>
    </row>
    <row r="644" spans="1:7" x14ac:dyDescent="0.3">
      <c r="A644" s="34">
        <v>643</v>
      </c>
      <c r="B644" s="34">
        <v>15</v>
      </c>
      <c r="C644" s="34">
        <v>4623</v>
      </c>
      <c r="D644" s="34">
        <v>40</v>
      </c>
      <c r="E644" s="34" t="s">
        <v>3</v>
      </c>
      <c r="F644" s="34" t="s">
        <v>4</v>
      </c>
      <c r="G644" s="34" t="s">
        <v>7</v>
      </c>
    </row>
    <row r="645" spans="1:7" x14ac:dyDescent="0.3">
      <c r="A645" s="34">
        <v>644</v>
      </c>
      <c r="B645" s="34">
        <v>24</v>
      </c>
      <c r="C645" s="34">
        <v>1851</v>
      </c>
      <c r="D645" s="34">
        <v>33</v>
      </c>
      <c r="E645" s="34" t="s">
        <v>11</v>
      </c>
      <c r="F645" s="34" t="s">
        <v>4</v>
      </c>
      <c r="G645" s="34" t="s">
        <v>5</v>
      </c>
    </row>
    <row r="646" spans="1:7" x14ac:dyDescent="0.3">
      <c r="A646" s="34">
        <v>645</v>
      </c>
      <c r="B646" s="34">
        <v>18</v>
      </c>
      <c r="C646" s="34">
        <v>1880</v>
      </c>
      <c r="D646" s="34">
        <v>32</v>
      </c>
      <c r="E646" s="34" t="s">
        <v>11</v>
      </c>
      <c r="F646" s="34" t="s">
        <v>4</v>
      </c>
      <c r="G646" s="34" t="s">
        <v>5</v>
      </c>
    </row>
    <row r="647" spans="1:7" x14ac:dyDescent="0.3">
      <c r="A647" s="34">
        <v>646</v>
      </c>
      <c r="B647" s="34">
        <v>36</v>
      </c>
      <c r="C647" s="34">
        <v>7980</v>
      </c>
      <c r="D647" s="34">
        <v>27</v>
      </c>
      <c r="E647" s="34" t="s">
        <v>3</v>
      </c>
      <c r="F647" s="34" t="s">
        <v>9</v>
      </c>
      <c r="G647" s="34" t="s">
        <v>7</v>
      </c>
    </row>
    <row r="648" spans="1:7" x14ac:dyDescent="0.3">
      <c r="A648" s="34">
        <v>647</v>
      </c>
      <c r="B648" s="34">
        <v>30</v>
      </c>
      <c r="C648" s="34">
        <v>4583</v>
      </c>
      <c r="D648" s="34">
        <v>32</v>
      </c>
      <c r="E648" s="34" t="s">
        <v>10</v>
      </c>
      <c r="F648" s="34" t="s">
        <v>4</v>
      </c>
      <c r="G648" s="34" t="s">
        <v>5</v>
      </c>
    </row>
    <row r="649" spans="1:7" x14ac:dyDescent="0.3">
      <c r="A649" s="34">
        <v>648</v>
      </c>
      <c r="B649" s="34">
        <v>12</v>
      </c>
      <c r="C649" s="34">
        <v>1386</v>
      </c>
      <c r="D649" s="34">
        <v>26</v>
      </c>
      <c r="E649" s="34" t="s">
        <v>6</v>
      </c>
      <c r="F649" s="34" t="s">
        <v>4</v>
      </c>
      <c r="G649" s="34" t="s">
        <v>7</v>
      </c>
    </row>
    <row r="650" spans="1:7" x14ac:dyDescent="0.3">
      <c r="A650" s="34">
        <v>649</v>
      </c>
      <c r="B650" s="34">
        <v>24</v>
      </c>
      <c r="C650" s="34">
        <v>947</v>
      </c>
      <c r="D650" s="34">
        <v>38</v>
      </c>
      <c r="E650" s="34" t="s">
        <v>3</v>
      </c>
      <c r="F650" s="34" t="s">
        <v>8</v>
      </c>
      <c r="G650" s="34" t="s">
        <v>7</v>
      </c>
    </row>
    <row r="651" spans="1:7" x14ac:dyDescent="0.3">
      <c r="A651" s="34">
        <v>650</v>
      </c>
      <c r="B651" s="34">
        <v>12</v>
      </c>
      <c r="C651" s="34">
        <v>684</v>
      </c>
      <c r="D651" s="34">
        <v>40</v>
      </c>
      <c r="E651" s="34" t="s">
        <v>3</v>
      </c>
      <c r="F651" s="34" t="s">
        <v>9</v>
      </c>
      <c r="G651" s="34" t="s">
        <v>7</v>
      </c>
    </row>
    <row r="652" spans="1:7" x14ac:dyDescent="0.3">
      <c r="A652" s="34">
        <v>651</v>
      </c>
      <c r="B652" s="34">
        <v>48</v>
      </c>
      <c r="C652" s="34">
        <v>7476</v>
      </c>
      <c r="D652" s="34">
        <v>50</v>
      </c>
      <c r="E652" s="34" t="s">
        <v>3</v>
      </c>
      <c r="F652" s="34" t="s">
        <v>8</v>
      </c>
      <c r="G652" s="34" t="s">
        <v>5</v>
      </c>
    </row>
    <row r="653" spans="1:7" x14ac:dyDescent="0.3">
      <c r="A653" s="34">
        <v>652</v>
      </c>
      <c r="B653" s="34">
        <v>12</v>
      </c>
      <c r="C653" s="34">
        <v>1922</v>
      </c>
      <c r="D653" s="34">
        <v>37</v>
      </c>
      <c r="E653" s="34" t="s">
        <v>3</v>
      </c>
      <c r="F653" s="34" t="s">
        <v>4</v>
      </c>
      <c r="G653" s="34" t="s">
        <v>7</v>
      </c>
    </row>
    <row r="654" spans="1:7" x14ac:dyDescent="0.3">
      <c r="A654" s="34">
        <v>653</v>
      </c>
      <c r="B654" s="34">
        <v>24</v>
      </c>
      <c r="C654" s="34">
        <v>2303</v>
      </c>
      <c r="D654" s="34">
        <v>45</v>
      </c>
      <c r="E654" s="34" t="s">
        <v>3</v>
      </c>
      <c r="F654" s="34" t="s">
        <v>4</v>
      </c>
      <c r="G654" s="34" t="s">
        <v>7</v>
      </c>
    </row>
    <row r="655" spans="1:7" x14ac:dyDescent="0.3">
      <c r="A655" s="34">
        <v>654</v>
      </c>
      <c r="B655" s="34">
        <v>36</v>
      </c>
      <c r="C655" s="34">
        <v>8086</v>
      </c>
      <c r="D655" s="34">
        <v>42</v>
      </c>
      <c r="E655" s="34" t="s">
        <v>3</v>
      </c>
      <c r="F655" s="34" t="s">
        <v>4</v>
      </c>
      <c r="G655" s="34" t="s">
        <v>7</v>
      </c>
    </row>
    <row r="656" spans="1:7" x14ac:dyDescent="0.3">
      <c r="A656" s="34">
        <v>655</v>
      </c>
      <c r="B656" s="34">
        <v>24</v>
      </c>
      <c r="C656" s="34">
        <v>2346</v>
      </c>
      <c r="D656" s="34">
        <v>35</v>
      </c>
      <c r="E656" s="34" t="s">
        <v>3</v>
      </c>
      <c r="F656" s="34" t="s">
        <v>4</v>
      </c>
      <c r="G656" s="34" t="s">
        <v>5</v>
      </c>
    </row>
    <row r="657" spans="1:7" x14ac:dyDescent="0.3">
      <c r="A657" s="34">
        <v>656</v>
      </c>
      <c r="B657" s="34">
        <v>14</v>
      </c>
      <c r="C657" s="34">
        <v>3973</v>
      </c>
      <c r="D657" s="34">
        <v>22</v>
      </c>
      <c r="E657" s="34" t="s">
        <v>3</v>
      </c>
      <c r="F657" s="34" t="s">
        <v>8</v>
      </c>
      <c r="G657" s="34" t="s">
        <v>5</v>
      </c>
    </row>
    <row r="658" spans="1:7" x14ac:dyDescent="0.3">
      <c r="A658" s="34">
        <v>657</v>
      </c>
      <c r="B658" s="34">
        <v>12</v>
      </c>
      <c r="C658" s="34">
        <v>888</v>
      </c>
      <c r="D658" s="34">
        <v>41</v>
      </c>
      <c r="E658" s="34" t="s">
        <v>3</v>
      </c>
      <c r="F658" s="34" t="s">
        <v>4</v>
      </c>
      <c r="G658" s="34" t="s">
        <v>7</v>
      </c>
    </row>
    <row r="659" spans="1:7" x14ac:dyDescent="0.3">
      <c r="A659" s="34">
        <v>658</v>
      </c>
      <c r="B659" s="34">
        <v>48</v>
      </c>
      <c r="C659" s="34">
        <v>10222</v>
      </c>
      <c r="D659" s="34">
        <v>37</v>
      </c>
      <c r="E659" s="34" t="s">
        <v>3</v>
      </c>
      <c r="F659" s="34" t="s">
        <v>4</v>
      </c>
      <c r="G659" s="34" t="s">
        <v>5</v>
      </c>
    </row>
    <row r="660" spans="1:7" x14ac:dyDescent="0.3">
      <c r="A660" s="34">
        <v>659</v>
      </c>
      <c r="B660" s="34">
        <v>30</v>
      </c>
      <c r="C660" s="34">
        <v>4221</v>
      </c>
      <c r="D660" s="34">
        <v>28</v>
      </c>
      <c r="E660" s="34" t="s">
        <v>6</v>
      </c>
      <c r="F660" s="34" t="s">
        <v>4</v>
      </c>
      <c r="G660" s="34" t="s">
        <v>5</v>
      </c>
    </row>
    <row r="661" spans="1:7" x14ac:dyDescent="0.3">
      <c r="A661" s="34">
        <v>660</v>
      </c>
      <c r="B661" s="34">
        <v>18</v>
      </c>
      <c r="C661" s="34">
        <v>6361</v>
      </c>
      <c r="D661" s="34">
        <v>41</v>
      </c>
      <c r="E661" s="34" t="s">
        <v>3</v>
      </c>
      <c r="F661" s="34" t="s">
        <v>4</v>
      </c>
      <c r="G661" s="34" t="s">
        <v>5</v>
      </c>
    </row>
    <row r="662" spans="1:7" x14ac:dyDescent="0.3">
      <c r="A662" s="34">
        <v>661</v>
      </c>
      <c r="B662" s="34">
        <v>12</v>
      </c>
      <c r="C662" s="34">
        <v>1297</v>
      </c>
      <c r="D662" s="34">
        <v>23</v>
      </c>
      <c r="E662" s="34" t="s">
        <v>11</v>
      </c>
      <c r="F662" s="34" t="s">
        <v>9</v>
      </c>
      <c r="G662" s="34" t="s">
        <v>5</v>
      </c>
    </row>
    <row r="663" spans="1:7" x14ac:dyDescent="0.3">
      <c r="A663" s="34">
        <v>662</v>
      </c>
      <c r="B663" s="34">
        <v>12</v>
      </c>
      <c r="C663" s="34">
        <v>900</v>
      </c>
      <c r="D663" s="34">
        <v>23</v>
      </c>
      <c r="E663" s="34" t="s">
        <v>11</v>
      </c>
      <c r="F663" s="34" t="s">
        <v>4</v>
      </c>
      <c r="G663" s="34" t="s">
        <v>7</v>
      </c>
    </row>
    <row r="664" spans="1:7" x14ac:dyDescent="0.3">
      <c r="A664" s="34">
        <v>663</v>
      </c>
      <c r="B664" s="34">
        <v>21</v>
      </c>
      <c r="C664" s="34">
        <v>2241</v>
      </c>
      <c r="D664" s="34">
        <v>50</v>
      </c>
      <c r="E664" s="34" t="s">
        <v>3</v>
      </c>
      <c r="F664" s="34" t="s">
        <v>4</v>
      </c>
      <c r="G664" s="34" t="s">
        <v>5</v>
      </c>
    </row>
    <row r="665" spans="1:7" x14ac:dyDescent="0.3">
      <c r="A665" s="34">
        <v>664</v>
      </c>
      <c r="B665" s="34">
        <v>6</v>
      </c>
      <c r="C665" s="34">
        <v>1050</v>
      </c>
      <c r="D665" s="34">
        <v>35</v>
      </c>
      <c r="E665" s="34" t="s">
        <v>3</v>
      </c>
      <c r="F665" s="34" t="s">
        <v>4</v>
      </c>
      <c r="G665" s="34" t="s">
        <v>5</v>
      </c>
    </row>
    <row r="666" spans="1:7" x14ac:dyDescent="0.3">
      <c r="A666" s="34">
        <v>665</v>
      </c>
      <c r="B666" s="34">
        <v>6</v>
      </c>
      <c r="C666" s="34">
        <v>1047</v>
      </c>
      <c r="D666" s="34">
        <v>50</v>
      </c>
      <c r="E666" s="34" t="s">
        <v>6</v>
      </c>
      <c r="F666" s="34" t="s">
        <v>4</v>
      </c>
      <c r="G666" s="34" t="s">
        <v>5</v>
      </c>
    </row>
    <row r="667" spans="1:7" x14ac:dyDescent="0.3">
      <c r="A667" s="34">
        <v>666</v>
      </c>
      <c r="B667" s="34">
        <v>24</v>
      </c>
      <c r="C667" s="34">
        <v>6314</v>
      </c>
      <c r="D667" s="34">
        <v>27</v>
      </c>
      <c r="E667" s="34" t="s">
        <v>3</v>
      </c>
      <c r="F667" s="34" t="s">
        <v>4</v>
      </c>
      <c r="G667" s="34" t="s">
        <v>5</v>
      </c>
    </row>
    <row r="668" spans="1:7" x14ac:dyDescent="0.3">
      <c r="A668" s="34">
        <v>667</v>
      </c>
      <c r="B668" s="34">
        <v>30</v>
      </c>
      <c r="C668" s="34">
        <v>3496</v>
      </c>
      <c r="D668" s="34">
        <v>34</v>
      </c>
      <c r="E668" s="34" t="s">
        <v>3</v>
      </c>
      <c r="F668" s="34" t="s">
        <v>4</v>
      </c>
      <c r="G668" s="34" t="s">
        <v>5</v>
      </c>
    </row>
    <row r="669" spans="1:7" x14ac:dyDescent="0.3">
      <c r="A669" s="34">
        <v>668</v>
      </c>
      <c r="B669" s="34">
        <v>48</v>
      </c>
      <c r="C669" s="34">
        <v>3609</v>
      </c>
      <c r="D669" s="34">
        <v>27</v>
      </c>
      <c r="E669" s="34" t="s">
        <v>6</v>
      </c>
      <c r="F669" s="34" t="s">
        <v>4</v>
      </c>
      <c r="G669" s="34" t="s">
        <v>5</v>
      </c>
    </row>
    <row r="670" spans="1:7" x14ac:dyDescent="0.3">
      <c r="A670" s="34">
        <v>669</v>
      </c>
      <c r="B670" s="34">
        <v>12</v>
      </c>
      <c r="C670" s="34">
        <v>4843</v>
      </c>
      <c r="D670" s="34">
        <v>43</v>
      </c>
      <c r="E670" s="34" t="s">
        <v>3</v>
      </c>
      <c r="F670" s="34" t="s">
        <v>9</v>
      </c>
      <c r="G670" s="34" t="s">
        <v>7</v>
      </c>
    </row>
    <row r="671" spans="1:7" x14ac:dyDescent="0.3">
      <c r="A671" s="34">
        <v>670</v>
      </c>
      <c r="B671" s="34">
        <v>30</v>
      </c>
      <c r="C671" s="34">
        <v>3017</v>
      </c>
      <c r="D671" s="34">
        <v>47</v>
      </c>
      <c r="E671" s="34" t="s">
        <v>3</v>
      </c>
      <c r="F671" s="34" t="s">
        <v>4</v>
      </c>
      <c r="G671" s="34" t="s">
        <v>5</v>
      </c>
    </row>
    <row r="672" spans="1:7" x14ac:dyDescent="0.3">
      <c r="A672" s="34">
        <v>671</v>
      </c>
      <c r="B672" s="34">
        <v>24</v>
      </c>
      <c r="C672" s="34">
        <v>4139</v>
      </c>
      <c r="D672" s="34">
        <v>27</v>
      </c>
      <c r="E672" s="34" t="s">
        <v>3</v>
      </c>
      <c r="F672" s="34" t="s">
        <v>4</v>
      </c>
      <c r="G672" s="34" t="s">
        <v>5</v>
      </c>
    </row>
    <row r="673" spans="1:7" x14ac:dyDescent="0.3">
      <c r="A673" s="34">
        <v>672</v>
      </c>
      <c r="B673" s="34">
        <v>36</v>
      </c>
      <c r="C673" s="34">
        <v>5742</v>
      </c>
      <c r="D673" s="34">
        <v>31</v>
      </c>
      <c r="E673" s="34" t="s">
        <v>3</v>
      </c>
      <c r="F673" s="34" t="s">
        <v>4</v>
      </c>
      <c r="G673" s="34" t="s">
        <v>5</v>
      </c>
    </row>
    <row r="674" spans="1:7" x14ac:dyDescent="0.3">
      <c r="A674" s="34">
        <v>673</v>
      </c>
      <c r="B674" s="34">
        <v>60</v>
      </c>
      <c r="C674" s="34">
        <v>10366</v>
      </c>
      <c r="D674" s="34">
        <v>42</v>
      </c>
      <c r="E674" s="34" t="s">
        <v>3</v>
      </c>
      <c r="F674" s="34" t="s">
        <v>4</v>
      </c>
      <c r="G674" s="34" t="s">
        <v>5</v>
      </c>
    </row>
    <row r="675" spans="1:7" x14ac:dyDescent="0.3">
      <c r="A675" s="34">
        <v>674</v>
      </c>
      <c r="B675" s="34">
        <v>6</v>
      </c>
      <c r="C675" s="34">
        <v>2080</v>
      </c>
      <c r="D675" s="34">
        <v>24</v>
      </c>
      <c r="E675" s="34" t="s">
        <v>11</v>
      </c>
      <c r="F675" s="34" t="s">
        <v>4</v>
      </c>
      <c r="G675" s="34" t="s">
        <v>5</v>
      </c>
    </row>
    <row r="676" spans="1:7" x14ac:dyDescent="0.3">
      <c r="A676" s="34">
        <v>675</v>
      </c>
      <c r="B676" s="34">
        <v>21</v>
      </c>
      <c r="C676" s="34">
        <v>2580</v>
      </c>
      <c r="D676" s="34">
        <v>41</v>
      </c>
      <c r="E676" s="34" t="s">
        <v>3</v>
      </c>
      <c r="F676" s="34" t="s">
        <v>4</v>
      </c>
      <c r="G676" s="34" t="s">
        <v>7</v>
      </c>
    </row>
    <row r="677" spans="1:7" x14ac:dyDescent="0.3">
      <c r="A677" s="34">
        <v>676</v>
      </c>
      <c r="B677" s="34">
        <v>30</v>
      </c>
      <c r="C677" s="34">
        <v>4530</v>
      </c>
      <c r="D677" s="34">
        <v>26</v>
      </c>
      <c r="E677" s="34" t="s">
        <v>6</v>
      </c>
      <c r="F677" s="34" t="s">
        <v>9</v>
      </c>
      <c r="G677" s="34" t="s">
        <v>5</v>
      </c>
    </row>
    <row r="678" spans="1:7" x14ac:dyDescent="0.3">
      <c r="A678" s="34">
        <v>677</v>
      </c>
      <c r="B678" s="34">
        <v>24</v>
      </c>
      <c r="C678" s="34">
        <v>5150</v>
      </c>
      <c r="D678" s="34">
        <v>33</v>
      </c>
      <c r="E678" s="34" t="s">
        <v>3</v>
      </c>
      <c r="F678" s="34" t="s">
        <v>4</v>
      </c>
      <c r="G678" s="34" t="s">
        <v>5</v>
      </c>
    </row>
    <row r="679" spans="1:7" x14ac:dyDescent="0.3">
      <c r="A679" s="34">
        <v>678</v>
      </c>
      <c r="B679" s="34">
        <v>72</v>
      </c>
      <c r="C679" s="34">
        <v>5595</v>
      </c>
      <c r="D679" s="34">
        <v>24</v>
      </c>
      <c r="E679" s="34" t="s">
        <v>11</v>
      </c>
      <c r="F679" s="34" t="s">
        <v>4</v>
      </c>
      <c r="G679" s="34" t="s">
        <v>7</v>
      </c>
    </row>
    <row r="680" spans="1:7" x14ac:dyDescent="0.3">
      <c r="A680" s="34">
        <v>679</v>
      </c>
      <c r="B680" s="34">
        <v>24</v>
      </c>
      <c r="C680" s="34">
        <v>2384</v>
      </c>
      <c r="D680" s="34">
        <v>64</v>
      </c>
      <c r="E680" s="34" t="s">
        <v>3</v>
      </c>
      <c r="F680" s="34" t="s">
        <v>9</v>
      </c>
      <c r="G680" s="34" t="s">
        <v>5</v>
      </c>
    </row>
    <row r="681" spans="1:7" x14ac:dyDescent="0.3">
      <c r="A681" s="34">
        <v>680</v>
      </c>
      <c r="B681" s="34">
        <v>18</v>
      </c>
      <c r="C681" s="34">
        <v>1453</v>
      </c>
      <c r="D681" s="34">
        <v>26</v>
      </c>
      <c r="E681" s="34" t="s">
        <v>6</v>
      </c>
      <c r="F681" s="34" t="s">
        <v>4</v>
      </c>
      <c r="G681" s="34" t="s">
        <v>5</v>
      </c>
    </row>
    <row r="682" spans="1:7" x14ac:dyDescent="0.3">
      <c r="A682" s="34">
        <v>681</v>
      </c>
      <c r="B682" s="34">
        <v>6</v>
      </c>
      <c r="C682" s="34">
        <v>1538</v>
      </c>
      <c r="D682" s="34">
        <v>56</v>
      </c>
      <c r="E682" s="34" t="s">
        <v>6</v>
      </c>
      <c r="F682" s="34" t="s">
        <v>4</v>
      </c>
      <c r="G682" s="34" t="s">
        <v>5</v>
      </c>
    </row>
    <row r="683" spans="1:7" x14ac:dyDescent="0.3">
      <c r="A683" s="34">
        <v>682</v>
      </c>
      <c r="B683" s="34">
        <v>12</v>
      </c>
      <c r="C683" s="34">
        <v>2279</v>
      </c>
      <c r="D683" s="34">
        <v>37</v>
      </c>
      <c r="E683" s="34" t="s">
        <v>3</v>
      </c>
      <c r="F683" s="34" t="s">
        <v>8</v>
      </c>
      <c r="G683" s="34" t="s">
        <v>5</v>
      </c>
    </row>
    <row r="684" spans="1:7" x14ac:dyDescent="0.3">
      <c r="A684" s="34">
        <v>683</v>
      </c>
      <c r="B684" s="34">
        <v>15</v>
      </c>
      <c r="C684" s="34">
        <v>1478</v>
      </c>
      <c r="D684" s="34">
        <v>33</v>
      </c>
      <c r="E684" s="34" t="s">
        <v>11</v>
      </c>
      <c r="F684" s="34" t="s">
        <v>4</v>
      </c>
      <c r="G684" s="34" t="s">
        <v>5</v>
      </c>
    </row>
    <row r="685" spans="1:7" x14ac:dyDescent="0.3">
      <c r="A685" s="34">
        <v>684</v>
      </c>
      <c r="B685" s="34">
        <v>24</v>
      </c>
      <c r="C685" s="34">
        <v>5103</v>
      </c>
      <c r="D685" s="34">
        <v>47</v>
      </c>
      <c r="E685" s="34" t="s">
        <v>11</v>
      </c>
      <c r="F685" s="34" t="s">
        <v>8</v>
      </c>
      <c r="G685" s="34" t="s">
        <v>5</v>
      </c>
    </row>
    <row r="686" spans="1:7" x14ac:dyDescent="0.3">
      <c r="A686" s="34">
        <v>685</v>
      </c>
      <c r="B686" s="34">
        <v>36</v>
      </c>
      <c r="C686" s="34">
        <v>9857</v>
      </c>
      <c r="D686" s="34">
        <v>31</v>
      </c>
      <c r="E686" s="34" t="s">
        <v>3</v>
      </c>
      <c r="F686" s="34" t="s">
        <v>4</v>
      </c>
      <c r="G686" s="34" t="s">
        <v>5</v>
      </c>
    </row>
    <row r="687" spans="1:7" x14ac:dyDescent="0.3">
      <c r="A687" s="34">
        <v>686</v>
      </c>
      <c r="B687" s="34">
        <v>60</v>
      </c>
      <c r="C687" s="34">
        <v>6527</v>
      </c>
      <c r="D687" s="34">
        <v>34</v>
      </c>
      <c r="E687" s="34" t="s">
        <v>3</v>
      </c>
      <c r="F687" s="34" t="s">
        <v>8</v>
      </c>
      <c r="G687" s="34" t="s">
        <v>5</v>
      </c>
    </row>
    <row r="688" spans="1:7" x14ac:dyDescent="0.3">
      <c r="A688" s="34">
        <v>687</v>
      </c>
      <c r="B688" s="34">
        <v>10</v>
      </c>
      <c r="C688" s="34">
        <v>1347</v>
      </c>
      <c r="D688" s="34">
        <v>27</v>
      </c>
      <c r="E688" s="34" t="s">
        <v>3</v>
      </c>
      <c r="F688" s="34" t="s">
        <v>4</v>
      </c>
      <c r="G688" s="34" t="s">
        <v>5</v>
      </c>
    </row>
    <row r="689" spans="1:7" x14ac:dyDescent="0.3">
      <c r="A689" s="34">
        <v>688</v>
      </c>
      <c r="B689" s="34">
        <v>36</v>
      </c>
      <c r="C689" s="34">
        <v>2862</v>
      </c>
      <c r="D689" s="34">
        <v>30</v>
      </c>
      <c r="E689" s="34" t="s">
        <v>3</v>
      </c>
      <c r="F689" s="34" t="s">
        <v>8</v>
      </c>
      <c r="G689" s="34" t="s">
        <v>5</v>
      </c>
    </row>
    <row r="690" spans="1:7" x14ac:dyDescent="0.3">
      <c r="A690" s="34">
        <v>689</v>
      </c>
      <c r="B690" s="34">
        <v>9</v>
      </c>
      <c r="C690" s="34">
        <v>2753</v>
      </c>
      <c r="D690" s="34">
        <v>35</v>
      </c>
      <c r="E690" s="34" t="s">
        <v>3</v>
      </c>
      <c r="F690" s="34" t="s">
        <v>4</v>
      </c>
      <c r="G690" s="34" t="s">
        <v>5</v>
      </c>
    </row>
    <row r="691" spans="1:7" x14ac:dyDescent="0.3">
      <c r="A691" s="34">
        <v>690</v>
      </c>
      <c r="B691" s="34">
        <v>12</v>
      </c>
      <c r="C691" s="34">
        <v>3651</v>
      </c>
      <c r="D691" s="34">
        <v>31</v>
      </c>
      <c r="E691" s="34" t="s">
        <v>3</v>
      </c>
      <c r="F691" s="34" t="s">
        <v>4</v>
      </c>
      <c r="G691" s="34" t="s">
        <v>5</v>
      </c>
    </row>
    <row r="692" spans="1:7" x14ac:dyDescent="0.3">
      <c r="A692" s="34">
        <v>691</v>
      </c>
      <c r="B692" s="34">
        <v>15</v>
      </c>
      <c r="C692" s="34">
        <v>975</v>
      </c>
      <c r="D692" s="34">
        <v>25</v>
      </c>
      <c r="E692" s="34" t="s">
        <v>10</v>
      </c>
      <c r="F692" s="34" t="s">
        <v>4</v>
      </c>
      <c r="G692" s="34" t="s">
        <v>5</v>
      </c>
    </row>
    <row r="693" spans="1:7" x14ac:dyDescent="0.3">
      <c r="A693" s="34">
        <v>692</v>
      </c>
      <c r="B693" s="34">
        <v>15</v>
      </c>
      <c r="C693" s="34">
        <v>2631</v>
      </c>
      <c r="D693" s="34">
        <v>25</v>
      </c>
      <c r="E693" s="34" t="s">
        <v>6</v>
      </c>
      <c r="F693" s="34" t="s">
        <v>4</v>
      </c>
      <c r="G693" s="34" t="s">
        <v>5</v>
      </c>
    </row>
    <row r="694" spans="1:7" x14ac:dyDescent="0.3">
      <c r="A694" s="34">
        <v>693</v>
      </c>
      <c r="B694" s="34">
        <v>24</v>
      </c>
      <c r="C694" s="34">
        <v>2896</v>
      </c>
      <c r="D694" s="34">
        <v>29</v>
      </c>
      <c r="E694" s="34" t="s">
        <v>3</v>
      </c>
      <c r="F694" s="34" t="s">
        <v>4</v>
      </c>
      <c r="G694" s="34" t="s">
        <v>5</v>
      </c>
    </row>
    <row r="695" spans="1:7" x14ac:dyDescent="0.3">
      <c r="A695" s="34">
        <v>694</v>
      </c>
      <c r="B695" s="34">
        <v>6</v>
      </c>
      <c r="C695" s="34">
        <v>4716</v>
      </c>
      <c r="D695" s="34">
        <v>44</v>
      </c>
      <c r="E695" s="34" t="s">
        <v>3</v>
      </c>
      <c r="F695" s="34" t="s">
        <v>4</v>
      </c>
      <c r="G695" s="34" t="s">
        <v>5</v>
      </c>
    </row>
    <row r="696" spans="1:7" x14ac:dyDescent="0.3">
      <c r="A696" s="34">
        <v>695</v>
      </c>
      <c r="B696" s="34">
        <v>24</v>
      </c>
      <c r="C696" s="34">
        <v>2284</v>
      </c>
      <c r="D696" s="34">
        <v>28</v>
      </c>
      <c r="E696" s="34" t="s">
        <v>3</v>
      </c>
      <c r="F696" s="34" t="s">
        <v>4</v>
      </c>
      <c r="G696" s="34" t="s">
        <v>5</v>
      </c>
    </row>
    <row r="697" spans="1:7" x14ac:dyDescent="0.3">
      <c r="A697" s="34">
        <v>696</v>
      </c>
      <c r="B697" s="34">
        <v>6</v>
      </c>
      <c r="C697" s="34">
        <v>1236</v>
      </c>
      <c r="D697" s="34">
        <v>50</v>
      </c>
      <c r="E697" s="34" t="s">
        <v>3</v>
      </c>
      <c r="F697" s="34" t="s">
        <v>9</v>
      </c>
      <c r="G697" s="34" t="s">
        <v>5</v>
      </c>
    </row>
    <row r="698" spans="1:7" x14ac:dyDescent="0.3">
      <c r="A698" s="34">
        <v>697</v>
      </c>
      <c r="B698" s="34">
        <v>12</v>
      </c>
      <c r="C698" s="34">
        <v>1103</v>
      </c>
      <c r="D698" s="34">
        <v>29</v>
      </c>
      <c r="E698" s="34" t="s">
        <v>3</v>
      </c>
      <c r="F698" s="34" t="s">
        <v>4</v>
      </c>
      <c r="G698" s="34" t="s">
        <v>5</v>
      </c>
    </row>
    <row r="699" spans="1:7" x14ac:dyDescent="0.3">
      <c r="A699" s="34">
        <v>698</v>
      </c>
      <c r="B699" s="34">
        <v>12</v>
      </c>
      <c r="C699" s="34">
        <v>926</v>
      </c>
      <c r="D699" s="34">
        <v>38</v>
      </c>
      <c r="E699" s="34" t="s">
        <v>6</v>
      </c>
      <c r="F699" s="34" t="s">
        <v>4</v>
      </c>
      <c r="G699" s="34" t="s">
        <v>5</v>
      </c>
    </row>
    <row r="700" spans="1:7" x14ac:dyDescent="0.3">
      <c r="A700" s="34">
        <v>699</v>
      </c>
      <c r="B700" s="34">
        <v>18</v>
      </c>
      <c r="C700" s="34">
        <v>1800</v>
      </c>
      <c r="D700" s="34">
        <v>24</v>
      </c>
      <c r="E700" s="34" t="s">
        <v>3</v>
      </c>
      <c r="F700" s="34" t="s">
        <v>4</v>
      </c>
      <c r="G700" s="34" t="s">
        <v>5</v>
      </c>
    </row>
    <row r="701" spans="1:7" x14ac:dyDescent="0.3">
      <c r="A701" s="34">
        <v>700</v>
      </c>
      <c r="B701" s="34">
        <v>15</v>
      </c>
      <c r="C701" s="34">
        <v>1905</v>
      </c>
      <c r="D701" s="34">
        <v>40</v>
      </c>
      <c r="E701" s="34" t="s">
        <v>3</v>
      </c>
      <c r="F701" s="34" t="s">
        <v>9</v>
      </c>
      <c r="G701" s="34" t="s">
        <v>5</v>
      </c>
    </row>
    <row r="702" spans="1:7" x14ac:dyDescent="0.3">
      <c r="A702" s="34">
        <v>701</v>
      </c>
      <c r="B702" s="34">
        <v>12</v>
      </c>
      <c r="C702" s="34">
        <v>1123</v>
      </c>
      <c r="D702" s="34">
        <v>29</v>
      </c>
      <c r="E702" s="34" t="s">
        <v>6</v>
      </c>
      <c r="F702" s="34" t="s">
        <v>9</v>
      </c>
      <c r="G702" s="34" t="s">
        <v>7</v>
      </c>
    </row>
    <row r="703" spans="1:7" x14ac:dyDescent="0.3">
      <c r="A703" s="34">
        <v>702</v>
      </c>
      <c r="B703" s="34">
        <v>48</v>
      </c>
      <c r="C703" s="34">
        <v>6331</v>
      </c>
      <c r="D703" s="34">
        <v>46</v>
      </c>
      <c r="E703" s="34" t="s">
        <v>3</v>
      </c>
      <c r="F703" s="34" t="s">
        <v>8</v>
      </c>
      <c r="G703" s="34" t="s">
        <v>7</v>
      </c>
    </row>
    <row r="704" spans="1:7" x14ac:dyDescent="0.3">
      <c r="A704" s="34">
        <v>703</v>
      </c>
      <c r="B704" s="34">
        <v>24</v>
      </c>
      <c r="C704" s="34">
        <v>1377</v>
      </c>
      <c r="D704" s="34">
        <v>47</v>
      </c>
      <c r="E704" s="34" t="s">
        <v>6</v>
      </c>
      <c r="F704" s="34" t="s">
        <v>8</v>
      </c>
      <c r="G704" s="34" t="s">
        <v>5</v>
      </c>
    </row>
    <row r="705" spans="1:7" x14ac:dyDescent="0.3">
      <c r="A705" s="34">
        <v>704</v>
      </c>
      <c r="B705" s="34">
        <v>30</v>
      </c>
      <c r="C705" s="34">
        <v>2503</v>
      </c>
      <c r="D705" s="34">
        <v>41</v>
      </c>
      <c r="E705" s="34" t="s">
        <v>3</v>
      </c>
      <c r="F705" s="34" t="s">
        <v>4</v>
      </c>
      <c r="G705" s="34" t="s">
        <v>5</v>
      </c>
    </row>
    <row r="706" spans="1:7" x14ac:dyDescent="0.3">
      <c r="A706" s="34">
        <v>705</v>
      </c>
      <c r="B706" s="34">
        <v>27</v>
      </c>
      <c r="C706" s="34">
        <v>2528</v>
      </c>
      <c r="D706" s="34">
        <v>32</v>
      </c>
      <c r="E706" s="34" t="s">
        <v>6</v>
      </c>
      <c r="F706" s="34" t="s">
        <v>4</v>
      </c>
      <c r="G706" s="34" t="s">
        <v>5</v>
      </c>
    </row>
    <row r="707" spans="1:7" x14ac:dyDescent="0.3">
      <c r="A707" s="34">
        <v>706</v>
      </c>
      <c r="B707" s="34">
        <v>15</v>
      </c>
      <c r="C707" s="34">
        <v>5324</v>
      </c>
      <c r="D707" s="34">
        <v>35</v>
      </c>
      <c r="E707" s="34" t="s">
        <v>6</v>
      </c>
      <c r="F707" s="34" t="s">
        <v>8</v>
      </c>
      <c r="G707" s="34" t="s">
        <v>5</v>
      </c>
    </row>
    <row r="708" spans="1:7" x14ac:dyDescent="0.3">
      <c r="A708" s="34">
        <v>707</v>
      </c>
      <c r="B708" s="34">
        <v>48</v>
      </c>
      <c r="C708" s="34">
        <v>6560</v>
      </c>
      <c r="D708" s="34">
        <v>24</v>
      </c>
      <c r="E708" s="34" t="s">
        <v>3</v>
      </c>
      <c r="F708" s="34" t="s">
        <v>4</v>
      </c>
      <c r="G708" s="34" t="s">
        <v>7</v>
      </c>
    </row>
    <row r="709" spans="1:7" x14ac:dyDescent="0.3">
      <c r="A709" s="34">
        <v>708</v>
      </c>
      <c r="B709" s="34">
        <v>12</v>
      </c>
      <c r="C709" s="34">
        <v>2969</v>
      </c>
      <c r="D709" s="34">
        <v>25</v>
      </c>
      <c r="E709" s="34" t="s">
        <v>6</v>
      </c>
      <c r="F709" s="34" t="s">
        <v>9</v>
      </c>
      <c r="G709" s="34" t="s">
        <v>7</v>
      </c>
    </row>
    <row r="710" spans="1:7" x14ac:dyDescent="0.3">
      <c r="A710" s="34">
        <v>709</v>
      </c>
      <c r="B710" s="34">
        <v>9</v>
      </c>
      <c r="C710" s="34">
        <v>1206</v>
      </c>
      <c r="D710" s="34">
        <v>25</v>
      </c>
      <c r="E710" s="34" t="s">
        <v>6</v>
      </c>
      <c r="F710" s="34" t="s">
        <v>4</v>
      </c>
      <c r="G710" s="34" t="s">
        <v>5</v>
      </c>
    </row>
    <row r="711" spans="1:7" x14ac:dyDescent="0.3">
      <c r="A711" s="34">
        <v>710</v>
      </c>
      <c r="B711" s="34">
        <v>9</v>
      </c>
      <c r="C711" s="34">
        <v>2118</v>
      </c>
      <c r="D711" s="34">
        <v>37</v>
      </c>
      <c r="E711" s="34" t="s">
        <v>3</v>
      </c>
      <c r="F711" s="34" t="s">
        <v>4</v>
      </c>
      <c r="G711" s="34" t="s">
        <v>5</v>
      </c>
    </row>
    <row r="712" spans="1:7" x14ac:dyDescent="0.3">
      <c r="A712" s="34">
        <v>711</v>
      </c>
      <c r="B712" s="34">
        <v>18</v>
      </c>
      <c r="C712" s="34">
        <v>629</v>
      </c>
      <c r="D712" s="34">
        <v>32</v>
      </c>
      <c r="E712" s="34" t="s">
        <v>3</v>
      </c>
      <c r="F712" s="34" t="s">
        <v>4</v>
      </c>
      <c r="G712" s="34" t="s">
        <v>5</v>
      </c>
    </row>
    <row r="713" spans="1:7" x14ac:dyDescent="0.3">
      <c r="A713" s="34">
        <v>712</v>
      </c>
      <c r="B713" s="34">
        <v>6</v>
      </c>
      <c r="C713" s="34">
        <v>1198</v>
      </c>
      <c r="D713" s="34">
        <v>35</v>
      </c>
      <c r="E713" s="34" t="s">
        <v>6</v>
      </c>
      <c r="F713" s="34" t="s">
        <v>8</v>
      </c>
      <c r="G713" s="34" t="s">
        <v>7</v>
      </c>
    </row>
    <row r="714" spans="1:7" x14ac:dyDescent="0.3">
      <c r="A714" s="34">
        <v>713</v>
      </c>
      <c r="B714" s="34">
        <v>21</v>
      </c>
      <c r="C714" s="34">
        <v>2476</v>
      </c>
      <c r="D714" s="34">
        <v>46</v>
      </c>
      <c r="E714" s="34" t="s">
        <v>3</v>
      </c>
      <c r="F714" s="34" t="s">
        <v>4</v>
      </c>
      <c r="G714" s="34" t="s">
        <v>5</v>
      </c>
    </row>
    <row r="715" spans="1:7" x14ac:dyDescent="0.3">
      <c r="A715" s="34">
        <v>714</v>
      </c>
      <c r="B715" s="34">
        <v>9</v>
      </c>
      <c r="C715" s="34">
        <v>1138</v>
      </c>
      <c r="D715" s="34">
        <v>25</v>
      </c>
      <c r="E715" s="34" t="s">
        <v>3</v>
      </c>
      <c r="F715" s="34" t="s">
        <v>4</v>
      </c>
      <c r="G715" s="34" t="s">
        <v>5</v>
      </c>
    </row>
    <row r="716" spans="1:7" x14ac:dyDescent="0.3">
      <c r="A716" s="34">
        <v>715</v>
      </c>
      <c r="B716" s="34">
        <v>60</v>
      </c>
      <c r="C716" s="34">
        <v>14027</v>
      </c>
      <c r="D716" s="34">
        <v>27</v>
      </c>
      <c r="E716" s="34" t="s">
        <v>3</v>
      </c>
      <c r="F716" s="34" t="s">
        <v>4</v>
      </c>
      <c r="G716" s="34" t="s">
        <v>7</v>
      </c>
    </row>
    <row r="717" spans="1:7" x14ac:dyDescent="0.3">
      <c r="A717" s="34">
        <v>716</v>
      </c>
      <c r="B717" s="34">
        <v>30</v>
      </c>
      <c r="C717" s="34">
        <v>7596</v>
      </c>
      <c r="D717" s="34">
        <v>63</v>
      </c>
      <c r="E717" s="34" t="s">
        <v>3</v>
      </c>
      <c r="F717" s="34" t="s">
        <v>4</v>
      </c>
      <c r="G717" s="34" t="s">
        <v>5</v>
      </c>
    </row>
    <row r="718" spans="1:7" x14ac:dyDescent="0.3">
      <c r="A718" s="34">
        <v>717</v>
      </c>
      <c r="B718" s="34">
        <v>30</v>
      </c>
      <c r="C718" s="34">
        <v>3077</v>
      </c>
      <c r="D718" s="34">
        <v>40</v>
      </c>
      <c r="E718" s="34" t="s">
        <v>3</v>
      </c>
      <c r="F718" s="34" t="s">
        <v>4</v>
      </c>
      <c r="G718" s="34" t="s">
        <v>5</v>
      </c>
    </row>
    <row r="719" spans="1:7" x14ac:dyDescent="0.3">
      <c r="A719" s="34">
        <v>718</v>
      </c>
      <c r="B719" s="34">
        <v>18</v>
      </c>
      <c r="C719" s="34">
        <v>1505</v>
      </c>
      <c r="D719" s="34">
        <v>32</v>
      </c>
      <c r="E719" s="34" t="s">
        <v>3</v>
      </c>
      <c r="F719" s="34" t="s">
        <v>8</v>
      </c>
      <c r="G719" s="34" t="s">
        <v>5</v>
      </c>
    </row>
    <row r="720" spans="1:7" x14ac:dyDescent="0.3">
      <c r="A720" s="34">
        <v>719</v>
      </c>
      <c r="B720" s="34">
        <v>24</v>
      </c>
      <c r="C720" s="34">
        <v>3148</v>
      </c>
      <c r="D720" s="34">
        <v>31</v>
      </c>
      <c r="E720" s="34" t="s">
        <v>3</v>
      </c>
      <c r="F720" s="34" t="s">
        <v>4</v>
      </c>
      <c r="G720" s="34" t="s">
        <v>5</v>
      </c>
    </row>
    <row r="721" spans="1:7" x14ac:dyDescent="0.3">
      <c r="A721" s="34">
        <v>720</v>
      </c>
      <c r="B721" s="34">
        <v>20</v>
      </c>
      <c r="C721" s="34">
        <v>6148</v>
      </c>
      <c r="D721" s="34">
        <v>31</v>
      </c>
      <c r="E721" s="34" t="s">
        <v>11</v>
      </c>
      <c r="F721" s="34" t="s">
        <v>4</v>
      </c>
      <c r="G721" s="34" t="s">
        <v>5</v>
      </c>
    </row>
    <row r="722" spans="1:7" x14ac:dyDescent="0.3">
      <c r="A722" s="34">
        <v>721</v>
      </c>
      <c r="B722" s="34">
        <v>9</v>
      </c>
      <c r="C722" s="34">
        <v>1337</v>
      </c>
      <c r="D722" s="34">
        <v>34</v>
      </c>
      <c r="E722" s="34" t="s">
        <v>3</v>
      </c>
      <c r="F722" s="34" t="s">
        <v>4</v>
      </c>
      <c r="G722" s="34" t="s">
        <v>7</v>
      </c>
    </row>
    <row r="723" spans="1:7" x14ac:dyDescent="0.3">
      <c r="A723" s="34">
        <v>722</v>
      </c>
      <c r="B723" s="34">
        <v>6</v>
      </c>
      <c r="C723" s="34">
        <v>433</v>
      </c>
      <c r="D723" s="34">
        <v>24</v>
      </c>
      <c r="E723" s="34" t="s">
        <v>6</v>
      </c>
      <c r="F723" s="34" t="s">
        <v>9</v>
      </c>
      <c r="G723" s="34" t="s">
        <v>7</v>
      </c>
    </row>
    <row r="724" spans="1:7" x14ac:dyDescent="0.3">
      <c r="A724" s="34">
        <v>723</v>
      </c>
      <c r="B724" s="34">
        <v>12</v>
      </c>
      <c r="C724" s="34">
        <v>1228</v>
      </c>
      <c r="D724" s="34">
        <v>24</v>
      </c>
      <c r="E724" s="34" t="s">
        <v>6</v>
      </c>
      <c r="F724" s="34" t="s">
        <v>4</v>
      </c>
      <c r="G724" s="34" t="s">
        <v>7</v>
      </c>
    </row>
    <row r="725" spans="1:7" x14ac:dyDescent="0.3">
      <c r="A725" s="34">
        <v>724</v>
      </c>
      <c r="B725" s="34">
        <v>9</v>
      </c>
      <c r="C725" s="34">
        <v>790</v>
      </c>
      <c r="D725" s="34">
        <v>66</v>
      </c>
      <c r="E725" s="34" t="s">
        <v>6</v>
      </c>
      <c r="F725" s="34" t="s">
        <v>4</v>
      </c>
      <c r="G725" s="34" t="s">
        <v>5</v>
      </c>
    </row>
    <row r="726" spans="1:7" x14ac:dyDescent="0.3">
      <c r="A726" s="34">
        <v>725</v>
      </c>
      <c r="B726" s="34">
        <v>27</v>
      </c>
      <c r="C726" s="34">
        <v>2570</v>
      </c>
      <c r="D726" s="34">
        <v>21</v>
      </c>
      <c r="E726" s="34" t="s">
        <v>6</v>
      </c>
      <c r="F726" s="34" t="s">
        <v>9</v>
      </c>
      <c r="G726" s="34" t="s">
        <v>7</v>
      </c>
    </row>
    <row r="727" spans="1:7" x14ac:dyDescent="0.3">
      <c r="A727" s="34">
        <v>726</v>
      </c>
      <c r="B727" s="34">
        <v>6</v>
      </c>
      <c r="C727" s="34">
        <v>250</v>
      </c>
      <c r="D727" s="34">
        <v>41</v>
      </c>
      <c r="E727" s="34" t="s">
        <v>6</v>
      </c>
      <c r="F727" s="34" t="s">
        <v>4</v>
      </c>
      <c r="G727" s="34" t="s">
        <v>5</v>
      </c>
    </row>
    <row r="728" spans="1:7" x14ac:dyDescent="0.3">
      <c r="A728" s="34">
        <v>727</v>
      </c>
      <c r="B728" s="34">
        <v>15</v>
      </c>
      <c r="C728" s="34">
        <v>1316</v>
      </c>
      <c r="D728" s="34">
        <v>47</v>
      </c>
      <c r="E728" s="34" t="s">
        <v>11</v>
      </c>
      <c r="F728" s="34" t="s">
        <v>4</v>
      </c>
      <c r="G728" s="34" t="s">
        <v>5</v>
      </c>
    </row>
    <row r="729" spans="1:7" x14ac:dyDescent="0.3">
      <c r="A729" s="34">
        <v>728</v>
      </c>
      <c r="B729" s="34">
        <v>18</v>
      </c>
      <c r="C729" s="34">
        <v>1882</v>
      </c>
      <c r="D729" s="34">
        <v>25</v>
      </c>
      <c r="E729" s="34" t="s">
        <v>6</v>
      </c>
      <c r="F729" s="34" t="s">
        <v>9</v>
      </c>
      <c r="G729" s="34" t="s">
        <v>7</v>
      </c>
    </row>
    <row r="730" spans="1:7" x14ac:dyDescent="0.3">
      <c r="A730" s="34">
        <v>729</v>
      </c>
      <c r="B730" s="34">
        <v>48</v>
      </c>
      <c r="C730" s="34">
        <v>6416</v>
      </c>
      <c r="D730" s="34">
        <v>59</v>
      </c>
      <c r="E730" s="34" t="s">
        <v>6</v>
      </c>
      <c r="F730" s="34" t="s">
        <v>9</v>
      </c>
      <c r="G730" s="34" t="s">
        <v>7</v>
      </c>
    </row>
    <row r="731" spans="1:7" x14ac:dyDescent="0.3">
      <c r="A731" s="34">
        <v>730</v>
      </c>
      <c r="B731" s="34">
        <v>24</v>
      </c>
      <c r="C731" s="34">
        <v>1275</v>
      </c>
      <c r="D731" s="34">
        <v>36</v>
      </c>
      <c r="E731" s="34" t="s">
        <v>10</v>
      </c>
      <c r="F731" s="34" t="s">
        <v>4</v>
      </c>
      <c r="G731" s="34" t="s">
        <v>5</v>
      </c>
    </row>
    <row r="732" spans="1:7" x14ac:dyDescent="0.3">
      <c r="A732" s="34">
        <v>731</v>
      </c>
      <c r="B732" s="34">
        <v>24</v>
      </c>
      <c r="C732" s="34">
        <v>6403</v>
      </c>
      <c r="D732" s="34">
        <v>33</v>
      </c>
      <c r="E732" s="34" t="s">
        <v>3</v>
      </c>
      <c r="F732" s="34" t="s">
        <v>4</v>
      </c>
      <c r="G732" s="34" t="s">
        <v>5</v>
      </c>
    </row>
    <row r="733" spans="1:7" x14ac:dyDescent="0.3">
      <c r="A733" s="34">
        <v>732</v>
      </c>
      <c r="B733" s="34">
        <v>24</v>
      </c>
      <c r="C733" s="34">
        <v>1987</v>
      </c>
      <c r="D733" s="34">
        <v>21</v>
      </c>
      <c r="E733" s="34" t="s">
        <v>3</v>
      </c>
      <c r="F733" s="34" t="s">
        <v>9</v>
      </c>
      <c r="G733" s="34" t="s">
        <v>7</v>
      </c>
    </row>
    <row r="734" spans="1:7" x14ac:dyDescent="0.3">
      <c r="A734" s="34">
        <v>733</v>
      </c>
      <c r="B734" s="34">
        <v>8</v>
      </c>
      <c r="C734" s="34">
        <v>760</v>
      </c>
      <c r="D734" s="34">
        <v>44</v>
      </c>
      <c r="E734" s="34" t="s">
        <v>6</v>
      </c>
      <c r="F734" s="34" t="s">
        <v>4</v>
      </c>
      <c r="G734" s="34" t="s">
        <v>5</v>
      </c>
    </row>
    <row r="735" spans="1:7" x14ac:dyDescent="0.3">
      <c r="A735" s="34">
        <v>734</v>
      </c>
      <c r="B735" s="34">
        <v>24</v>
      </c>
      <c r="C735" s="34">
        <v>2603</v>
      </c>
      <c r="D735" s="34">
        <v>28</v>
      </c>
      <c r="E735" s="34" t="s">
        <v>6</v>
      </c>
      <c r="F735" s="34" t="s">
        <v>9</v>
      </c>
      <c r="G735" s="34" t="s">
        <v>5</v>
      </c>
    </row>
    <row r="736" spans="1:7" x14ac:dyDescent="0.3">
      <c r="A736" s="34">
        <v>735</v>
      </c>
      <c r="B736" s="34">
        <v>4</v>
      </c>
      <c r="C736" s="34">
        <v>3380</v>
      </c>
      <c r="D736" s="34">
        <v>37</v>
      </c>
      <c r="E736" s="34" t="s">
        <v>6</v>
      </c>
      <c r="F736" s="34" t="s">
        <v>4</v>
      </c>
      <c r="G736" s="34" t="s">
        <v>5</v>
      </c>
    </row>
    <row r="737" spans="1:7" x14ac:dyDescent="0.3">
      <c r="A737" s="34">
        <v>736</v>
      </c>
      <c r="B737" s="34">
        <v>36</v>
      </c>
      <c r="C737" s="34">
        <v>3990</v>
      </c>
      <c r="D737" s="34">
        <v>29</v>
      </c>
      <c r="E737" s="34" t="s">
        <v>6</v>
      </c>
      <c r="F737" s="34" t="s">
        <v>4</v>
      </c>
      <c r="G737" s="34" t="s">
        <v>5</v>
      </c>
    </row>
    <row r="738" spans="1:7" x14ac:dyDescent="0.3">
      <c r="A738" s="34">
        <v>737</v>
      </c>
      <c r="B738" s="34">
        <v>24</v>
      </c>
      <c r="C738" s="34">
        <v>11560</v>
      </c>
      <c r="D738" s="34">
        <v>23</v>
      </c>
      <c r="E738" s="34" t="s">
        <v>6</v>
      </c>
      <c r="F738" s="34" t="s">
        <v>9</v>
      </c>
      <c r="G738" s="34" t="s">
        <v>7</v>
      </c>
    </row>
    <row r="739" spans="1:7" x14ac:dyDescent="0.3">
      <c r="A739" s="34">
        <v>738</v>
      </c>
      <c r="B739" s="34">
        <v>18</v>
      </c>
      <c r="C739" s="34">
        <v>4380</v>
      </c>
      <c r="D739" s="34">
        <v>35</v>
      </c>
      <c r="E739" s="34" t="s">
        <v>3</v>
      </c>
      <c r="F739" s="34" t="s">
        <v>4</v>
      </c>
      <c r="G739" s="34" t="s">
        <v>5</v>
      </c>
    </row>
    <row r="740" spans="1:7" x14ac:dyDescent="0.3">
      <c r="A740" s="34">
        <v>739</v>
      </c>
      <c r="B740" s="34">
        <v>6</v>
      </c>
      <c r="C740" s="34">
        <v>6761</v>
      </c>
      <c r="D740" s="34">
        <v>45</v>
      </c>
      <c r="E740" s="34" t="s">
        <v>3</v>
      </c>
      <c r="F740" s="34" t="s">
        <v>4</v>
      </c>
      <c r="G740" s="34" t="s">
        <v>5</v>
      </c>
    </row>
    <row r="741" spans="1:7" x14ac:dyDescent="0.3">
      <c r="A741" s="34">
        <v>740</v>
      </c>
      <c r="B741" s="34">
        <v>30</v>
      </c>
      <c r="C741" s="34">
        <v>4280</v>
      </c>
      <c r="D741" s="34">
        <v>26</v>
      </c>
      <c r="E741" s="34" t="s">
        <v>6</v>
      </c>
      <c r="F741" s="34" t="s">
        <v>9</v>
      </c>
      <c r="G741" s="34" t="s">
        <v>7</v>
      </c>
    </row>
    <row r="742" spans="1:7" x14ac:dyDescent="0.3">
      <c r="A742" s="34">
        <v>741</v>
      </c>
      <c r="B742" s="34">
        <v>24</v>
      </c>
      <c r="C742" s="34">
        <v>2325</v>
      </c>
      <c r="D742" s="34">
        <v>32</v>
      </c>
      <c r="E742" s="34" t="s">
        <v>3</v>
      </c>
      <c r="F742" s="34" t="s">
        <v>4</v>
      </c>
      <c r="G742" s="34" t="s">
        <v>5</v>
      </c>
    </row>
    <row r="743" spans="1:7" x14ac:dyDescent="0.3">
      <c r="A743" s="34">
        <v>742</v>
      </c>
      <c r="B743" s="34">
        <v>10</v>
      </c>
      <c r="C743" s="34">
        <v>1048</v>
      </c>
      <c r="D743" s="34">
        <v>23</v>
      </c>
      <c r="E743" s="34" t="s">
        <v>3</v>
      </c>
      <c r="F743" s="34" t="s">
        <v>4</v>
      </c>
      <c r="G743" s="34" t="s">
        <v>5</v>
      </c>
    </row>
    <row r="744" spans="1:7" x14ac:dyDescent="0.3">
      <c r="A744" s="34">
        <v>743</v>
      </c>
      <c r="B744" s="34">
        <v>21</v>
      </c>
      <c r="C744" s="34">
        <v>3160</v>
      </c>
      <c r="D744" s="34">
        <v>41</v>
      </c>
      <c r="E744" s="34" t="s">
        <v>3</v>
      </c>
      <c r="F744" s="34" t="s">
        <v>4</v>
      </c>
      <c r="G744" s="34" t="s">
        <v>5</v>
      </c>
    </row>
    <row r="745" spans="1:7" x14ac:dyDescent="0.3">
      <c r="A745" s="34">
        <v>744</v>
      </c>
      <c r="B745" s="34">
        <v>24</v>
      </c>
      <c r="C745" s="34">
        <v>2483</v>
      </c>
      <c r="D745" s="34">
        <v>22</v>
      </c>
      <c r="E745" s="34" t="s">
        <v>3</v>
      </c>
      <c r="F745" s="34" t="s">
        <v>4</v>
      </c>
      <c r="G745" s="34" t="s">
        <v>5</v>
      </c>
    </row>
    <row r="746" spans="1:7" x14ac:dyDescent="0.3">
      <c r="A746" s="34">
        <v>745</v>
      </c>
      <c r="B746" s="34">
        <v>39</v>
      </c>
      <c r="C746" s="34">
        <v>14179</v>
      </c>
      <c r="D746" s="34">
        <v>30</v>
      </c>
      <c r="E746" s="34" t="s">
        <v>3</v>
      </c>
      <c r="F746" s="34" t="s">
        <v>4</v>
      </c>
      <c r="G746" s="34" t="s">
        <v>5</v>
      </c>
    </row>
    <row r="747" spans="1:7" x14ac:dyDescent="0.3">
      <c r="A747" s="34">
        <v>746</v>
      </c>
      <c r="B747" s="34">
        <v>13</v>
      </c>
      <c r="C747" s="34">
        <v>1797</v>
      </c>
      <c r="D747" s="34">
        <v>28</v>
      </c>
      <c r="E747" s="34" t="s">
        <v>3</v>
      </c>
      <c r="F747" s="34" t="s">
        <v>4</v>
      </c>
      <c r="G747" s="34" t="s">
        <v>5</v>
      </c>
    </row>
    <row r="748" spans="1:7" x14ac:dyDescent="0.3">
      <c r="A748" s="34">
        <v>747</v>
      </c>
      <c r="B748" s="34">
        <v>15</v>
      </c>
      <c r="C748" s="34">
        <v>2511</v>
      </c>
      <c r="D748" s="34">
        <v>23</v>
      </c>
      <c r="E748" s="34" t="s">
        <v>6</v>
      </c>
      <c r="F748" s="34" t="s">
        <v>9</v>
      </c>
      <c r="G748" s="34" t="s">
        <v>5</v>
      </c>
    </row>
    <row r="749" spans="1:7" x14ac:dyDescent="0.3">
      <c r="A749" s="34">
        <v>748</v>
      </c>
      <c r="B749" s="34">
        <v>12</v>
      </c>
      <c r="C749" s="34">
        <v>1274</v>
      </c>
      <c r="D749" s="34">
        <v>37</v>
      </c>
      <c r="E749" s="34" t="s">
        <v>6</v>
      </c>
      <c r="F749" s="34" t="s">
        <v>4</v>
      </c>
      <c r="G749" s="34" t="s">
        <v>7</v>
      </c>
    </row>
    <row r="750" spans="1:7" x14ac:dyDescent="0.3">
      <c r="A750" s="34">
        <v>749</v>
      </c>
      <c r="B750" s="34">
        <v>21</v>
      </c>
      <c r="C750" s="34">
        <v>5248</v>
      </c>
      <c r="D750" s="34">
        <v>26</v>
      </c>
      <c r="E750" s="34" t="s">
        <v>3</v>
      </c>
      <c r="F750" s="34" t="s">
        <v>4</v>
      </c>
      <c r="G750" s="34" t="s">
        <v>5</v>
      </c>
    </row>
    <row r="751" spans="1:7" x14ac:dyDescent="0.3">
      <c r="A751" s="34">
        <v>750</v>
      </c>
      <c r="B751" s="34">
        <v>15</v>
      </c>
      <c r="C751" s="34">
        <v>3029</v>
      </c>
      <c r="D751" s="34">
        <v>33</v>
      </c>
      <c r="E751" s="34" t="s">
        <v>3</v>
      </c>
      <c r="F751" s="34" t="s">
        <v>4</v>
      </c>
      <c r="G751" s="34" t="s">
        <v>5</v>
      </c>
    </row>
    <row r="752" spans="1:7" x14ac:dyDescent="0.3">
      <c r="A752" s="34">
        <v>751</v>
      </c>
      <c r="B752" s="34">
        <v>6</v>
      </c>
      <c r="C752" s="34">
        <v>428</v>
      </c>
      <c r="D752" s="34">
        <v>49</v>
      </c>
      <c r="E752" s="34" t="s">
        <v>6</v>
      </c>
      <c r="F752" s="34" t="s">
        <v>4</v>
      </c>
      <c r="G752" s="34" t="s">
        <v>5</v>
      </c>
    </row>
    <row r="753" spans="1:7" x14ac:dyDescent="0.3">
      <c r="A753" s="34">
        <v>752</v>
      </c>
      <c r="B753" s="34">
        <v>18</v>
      </c>
      <c r="C753" s="34">
        <v>976</v>
      </c>
      <c r="D753" s="34">
        <v>23</v>
      </c>
      <c r="E753" s="34" t="s">
        <v>6</v>
      </c>
      <c r="F753" s="34" t="s">
        <v>4</v>
      </c>
      <c r="G753" s="34" t="s">
        <v>7</v>
      </c>
    </row>
    <row r="754" spans="1:7" x14ac:dyDescent="0.3">
      <c r="A754" s="34">
        <v>753</v>
      </c>
      <c r="B754" s="34">
        <v>12</v>
      </c>
      <c r="C754" s="34">
        <v>841</v>
      </c>
      <c r="D754" s="34">
        <v>23</v>
      </c>
      <c r="E754" s="34" t="s">
        <v>6</v>
      </c>
      <c r="F754" s="34" t="s">
        <v>9</v>
      </c>
      <c r="G754" s="34" t="s">
        <v>5</v>
      </c>
    </row>
    <row r="755" spans="1:7" x14ac:dyDescent="0.3">
      <c r="A755" s="34">
        <v>754</v>
      </c>
      <c r="B755" s="34">
        <v>30</v>
      </c>
      <c r="C755" s="34">
        <v>5771</v>
      </c>
      <c r="D755" s="34">
        <v>25</v>
      </c>
      <c r="E755" s="34" t="s">
        <v>6</v>
      </c>
      <c r="F755" s="34" t="s">
        <v>4</v>
      </c>
      <c r="G755" s="34" t="s">
        <v>5</v>
      </c>
    </row>
    <row r="756" spans="1:7" x14ac:dyDescent="0.3">
      <c r="A756" s="34">
        <v>755</v>
      </c>
      <c r="B756" s="34">
        <v>12</v>
      </c>
      <c r="C756" s="34">
        <v>1555</v>
      </c>
      <c r="D756" s="34">
        <v>55</v>
      </c>
      <c r="E756" s="34" t="s">
        <v>3</v>
      </c>
      <c r="F756" s="34" t="s">
        <v>8</v>
      </c>
      <c r="G756" s="34" t="s">
        <v>7</v>
      </c>
    </row>
    <row r="757" spans="1:7" x14ac:dyDescent="0.3">
      <c r="A757" s="34">
        <v>756</v>
      </c>
      <c r="B757" s="34">
        <v>24</v>
      </c>
      <c r="C757" s="34">
        <v>1285</v>
      </c>
      <c r="D757" s="34">
        <v>32</v>
      </c>
      <c r="E757" s="34" t="s">
        <v>6</v>
      </c>
      <c r="F757" s="34" t="s">
        <v>9</v>
      </c>
      <c r="G757" s="34" t="s">
        <v>7</v>
      </c>
    </row>
    <row r="758" spans="1:7" x14ac:dyDescent="0.3">
      <c r="A758" s="34">
        <v>757</v>
      </c>
      <c r="B758" s="34">
        <v>6</v>
      </c>
      <c r="C758" s="34">
        <v>1299</v>
      </c>
      <c r="D758" s="34">
        <v>74</v>
      </c>
      <c r="E758" s="34" t="s">
        <v>3</v>
      </c>
      <c r="F758" s="34" t="s">
        <v>4</v>
      </c>
      <c r="G758" s="34" t="s">
        <v>5</v>
      </c>
    </row>
    <row r="759" spans="1:7" x14ac:dyDescent="0.3">
      <c r="A759" s="34">
        <v>758</v>
      </c>
      <c r="B759" s="34">
        <v>15</v>
      </c>
      <c r="C759" s="34">
        <v>1271</v>
      </c>
      <c r="D759" s="34">
        <v>39</v>
      </c>
      <c r="E759" s="34" t="s">
        <v>3</v>
      </c>
      <c r="F759" s="34" t="s">
        <v>8</v>
      </c>
      <c r="G759" s="34" t="s">
        <v>7</v>
      </c>
    </row>
    <row r="760" spans="1:7" x14ac:dyDescent="0.3">
      <c r="A760" s="34">
        <v>759</v>
      </c>
      <c r="B760" s="34">
        <v>24</v>
      </c>
      <c r="C760" s="34">
        <v>1393</v>
      </c>
      <c r="D760" s="34">
        <v>31</v>
      </c>
      <c r="E760" s="34" t="s">
        <v>3</v>
      </c>
      <c r="F760" s="34" t="s">
        <v>4</v>
      </c>
      <c r="G760" s="34" t="s">
        <v>5</v>
      </c>
    </row>
    <row r="761" spans="1:7" x14ac:dyDescent="0.3">
      <c r="A761" s="34">
        <v>760</v>
      </c>
      <c r="B761" s="34">
        <v>12</v>
      </c>
      <c r="C761" s="34">
        <v>691</v>
      </c>
      <c r="D761" s="34">
        <v>35</v>
      </c>
      <c r="E761" s="34" t="s">
        <v>3</v>
      </c>
      <c r="F761" s="34" t="s">
        <v>4</v>
      </c>
      <c r="G761" s="34" t="s">
        <v>7</v>
      </c>
    </row>
    <row r="762" spans="1:7" x14ac:dyDescent="0.3">
      <c r="A762" s="34">
        <v>761</v>
      </c>
      <c r="B762" s="34">
        <v>15</v>
      </c>
      <c r="C762" s="34">
        <v>5045</v>
      </c>
      <c r="D762" s="34">
        <v>59</v>
      </c>
      <c r="E762" s="34" t="s">
        <v>6</v>
      </c>
      <c r="F762" s="34" t="s">
        <v>4</v>
      </c>
      <c r="G762" s="34" t="s">
        <v>5</v>
      </c>
    </row>
    <row r="763" spans="1:7" x14ac:dyDescent="0.3">
      <c r="A763" s="34">
        <v>762</v>
      </c>
      <c r="B763" s="34">
        <v>18</v>
      </c>
      <c r="C763" s="34">
        <v>2124</v>
      </c>
      <c r="D763" s="34">
        <v>24</v>
      </c>
      <c r="E763" s="34" t="s">
        <v>6</v>
      </c>
      <c r="F763" s="34" t="s">
        <v>9</v>
      </c>
      <c r="G763" s="34" t="s">
        <v>7</v>
      </c>
    </row>
    <row r="764" spans="1:7" x14ac:dyDescent="0.3">
      <c r="A764" s="34">
        <v>763</v>
      </c>
      <c r="B764" s="34">
        <v>12</v>
      </c>
      <c r="C764" s="34">
        <v>2214</v>
      </c>
      <c r="D764" s="34">
        <v>24</v>
      </c>
      <c r="E764" s="34" t="s">
        <v>3</v>
      </c>
      <c r="F764" s="34" t="s">
        <v>4</v>
      </c>
      <c r="G764" s="34" t="s">
        <v>5</v>
      </c>
    </row>
    <row r="765" spans="1:7" x14ac:dyDescent="0.3">
      <c r="A765" s="34">
        <v>764</v>
      </c>
      <c r="B765" s="34">
        <v>21</v>
      </c>
      <c r="C765" s="34">
        <v>12680</v>
      </c>
      <c r="D765" s="34">
        <v>30</v>
      </c>
      <c r="E765" s="34" t="s">
        <v>3</v>
      </c>
      <c r="F765" s="34" t="s">
        <v>8</v>
      </c>
      <c r="G765" s="34" t="s">
        <v>7</v>
      </c>
    </row>
    <row r="766" spans="1:7" x14ac:dyDescent="0.3">
      <c r="A766" s="34">
        <v>765</v>
      </c>
      <c r="B766" s="34">
        <v>24</v>
      </c>
      <c r="C766" s="34">
        <v>2463</v>
      </c>
      <c r="D766" s="34">
        <v>27</v>
      </c>
      <c r="E766" s="34" t="s">
        <v>11</v>
      </c>
      <c r="F766" s="34" t="s">
        <v>4</v>
      </c>
      <c r="G766" s="34" t="s">
        <v>5</v>
      </c>
    </row>
    <row r="767" spans="1:7" x14ac:dyDescent="0.3">
      <c r="A767" s="34">
        <v>766</v>
      </c>
      <c r="B767" s="34">
        <v>12</v>
      </c>
      <c r="C767" s="34">
        <v>1155</v>
      </c>
      <c r="D767" s="34">
        <v>40</v>
      </c>
      <c r="E767" s="34" t="s">
        <v>11</v>
      </c>
      <c r="F767" s="34" t="s">
        <v>4</v>
      </c>
      <c r="G767" s="34" t="s">
        <v>5</v>
      </c>
    </row>
    <row r="768" spans="1:7" x14ac:dyDescent="0.3">
      <c r="A768" s="34">
        <v>767</v>
      </c>
      <c r="B768" s="34">
        <v>30</v>
      </c>
      <c r="C768" s="34">
        <v>3108</v>
      </c>
      <c r="D768" s="34">
        <v>31</v>
      </c>
      <c r="E768" s="34" t="s">
        <v>10</v>
      </c>
      <c r="F768" s="34" t="s">
        <v>4</v>
      </c>
      <c r="G768" s="34" t="s">
        <v>7</v>
      </c>
    </row>
    <row r="769" spans="1:7" x14ac:dyDescent="0.3">
      <c r="A769" s="34">
        <v>768</v>
      </c>
      <c r="B769" s="34">
        <v>10</v>
      </c>
      <c r="C769" s="34">
        <v>2901</v>
      </c>
      <c r="D769" s="34">
        <v>31</v>
      </c>
      <c r="E769" s="34" t="s">
        <v>6</v>
      </c>
      <c r="F769" s="34" t="s">
        <v>9</v>
      </c>
      <c r="G769" s="34" t="s">
        <v>5</v>
      </c>
    </row>
    <row r="770" spans="1:7" x14ac:dyDescent="0.3">
      <c r="A770" s="34">
        <v>769</v>
      </c>
      <c r="B770" s="34">
        <v>12</v>
      </c>
      <c r="C770" s="34">
        <v>3617</v>
      </c>
      <c r="D770" s="34">
        <v>28</v>
      </c>
      <c r="E770" s="34" t="s">
        <v>3</v>
      </c>
      <c r="F770" s="34" t="s">
        <v>9</v>
      </c>
      <c r="G770" s="34" t="s">
        <v>5</v>
      </c>
    </row>
    <row r="771" spans="1:7" x14ac:dyDescent="0.3">
      <c r="A771" s="34">
        <v>770</v>
      </c>
      <c r="B771" s="34">
        <v>12</v>
      </c>
      <c r="C771" s="34">
        <v>1655</v>
      </c>
      <c r="D771" s="34">
        <v>63</v>
      </c>
      <c r="E771" s="34" t="s">
        <v>3</v>
      </c>
      <c r="F771" s="34" t="s">
        <v>4</v>
      </c>
      <c r="G771" s="34" t="s">
        <v>5</v>
      </c>
    </row>
    <row r="772" spans="1:7" x14ac:dyDescent="0.3">
      <c r="A772" s="34">
        <v>771</v>
      </c>
      <c r="B772" s="34">
        <v>24</v>
      </c>
      <c r="C772" s="34">
        <v>2812</v>
      </c>
      <c r="D772" s="34">
        <v>26</v>
      </c>
      <c r="E772" s="34" t="s">
        <v>6</v>
      </c>
      <c r="F772" s="34" t="s">
        <v>9</v>
      </c>
      <c r="G772" s="34" t="s">
        <v>5</v>
      </c>
    </row>
    <row r="773" spans="1:7" x14ac:dyDescent="0.3">
      <c r="A773" s="34">
        <v>772</v>
      </c>
      <c r="B773" s="34">
        <v>36</v>
      </c>
      <c r="C773" s="34">
        <v>8065</v>
      </c>
      <c r="D773" s="34">
        <v>25</v>
      </c>
      <c r="E773" s="34" t="s">
        <v>6</v>
      </c>
      <c r="F773" s="34" t="s">
        <v>4</v>
      </c>
      <c r="G773" s="34" t="s">
        <v>7</v>
      </c>
    </row>
    <row r="774" spans="1:7" x14ac:dyDescent="0.3">
      <c r="A774" s="34">
        <v>773</v>
      </c>
      <c r="B774" s="34">
        <v>21</v>
      </c>
      <c r="C774" s="34">
        <v>3275</v>
      </c>
      <c r="D774" s="34">
        <v>36</v>
      </c>
      <c r="E774" s="34" t="s">
        <v>3</v>
      </c>
      <c r="F774" s="34" t="s">
        <v>4</v>
      </c>
      <c r="G774" s="34" t="s">
        <v>5</v>
      </c>
    </row>
    <row r="775" spans="1:7" x14ac:dyDescent="0.3">
      <c r="A775" s="34">
        <v>774</v>
      </c>
      <c r="B775" s="34">
        <v>24</v>
      </c>
      <c r="C775" s="34">
        <v>2223</v>
      </c>
      <c r="D775" s="34">
        <v>52</v>
      </c>
      <c r="E775" s="34" t="s">
        <v>3</v>
      </c>
      <c r="F775" s="34" t="s">
        <v>4</v>
      </c>
      <c r="G775" s="34" t="s">
        <v>5</v>
      </c>
    </row>
    <row r="776" spans="1:7" x14ac:dyDescent="0.3">
      <c r="A776" s="34">
        <v>775</v>
      </c>
      <c r="B776" s="34">
        <v>12</v>
      </c>
      <c r="C776" s="34">
        <v>1480</v>
      </c>
      <c r="D776" s="34">
        <v>66</v>
      </c>
      <c r="E776" s="34" t="s">
        <v>3</v>
      </c>
      <c r="F776" s="34" t="s">
        <v>8</v>
      </c>
      <c r="G776" s="34" t="s">
        <v>5</v>
      </c>
    </row>
    <row r="777" spans="1:7" x14ac:dyDescent="0.3">
      <c r="A777" s="34">
        <v>776</v>
      </c>
      <c r="B777" s="34">
        <v>24</v>
      </c>
      <c r="C777" s="34">
        <v>1371</v>
      </c>
      <c r="D777" s="34">
        <v>25</v>
      </c>
      <c r="E777" s="34" t="s">
        <v>6</v>
      </c>
      <c r="F777" s="34" t="s">
        <v>9</v>
      </c>
      <c r="G777" s="34" t="s">
        <v>7</v>
      </c>
    </row>
    <row r="778" spans="1:7" x14ac:dyDescent="0.3">
      <c r="A778" s="34">
        <v>777</v>
      </c>
      <c r="B778" s="34">
        <v>36</v>
      </c>
      <c r="C778" s="34">
        <v>3535</v>
      </c>
      <c r="D778" s="34">
        <v>37</v>
      </c>
      <c r="E778" s="34" t="s">
        <v>3</v>
      </c>
      <c r="F778" s="34" t="s">
        <v>4</v>
      </c>
      <c r="G778" s="34" t="s">
        <v>5</v>
      </c>
    </row>
    <row r="779" spans="1:7" x14ac:dyDescent="0.3">
      <c r="A779" s="34">
        <v>778</v>
      </c>
      <c r="B779" s="34">
        <v>18</v>
      </c>
      <c r="C779" s="34">
        <v>3509</v>
      </c>
      <c r="D779" s="34">
        <v>25</v>
      </c>
      <c r="E779" s="34" t="s">
        <v>6</v>
      </c>
      <c r="F779" s="34" t="s">
        <v>4</v>
      </c>
      <c r="G779" s="34" t="s">
        <v>5</v>
      </c>
    </row>
    <row r="780" spans="1:7" x14ac:dyDescent="0.3">
      <c r="A780" s="34">
        <v>779</v>
      </c>
      <c r="B780" s="34">
        <v>36</v>
      </c>
      <c r="C780" s="34">
        <v>5711</v>
      </c>
      <c r="D780" s="34">
        <v>38</v>
      </c>
      <c r="E780" s="34" t="s">
        <v>3</v>
      </c>
      <c r="F780" s="34" t="s">
        <v>4</v>
      </c>
      <c r="G780" s="34" t="s">
        <v>5</v>
      </c>
    </row>
    <row r="781" spans="1:7" x14ac:dyDescent="0.3">
      <c r="A781" s="34">
        <v>780</v>
      </c>
      <c r="B781" s="34">
        <v>18</v>
      </c>
      <c r="C781" s="34">
        <v>3872</v>
      </c>
      <c r="D781" s="34">
        <v>67</v>
      </c>
      <c r="E781" s="34" t="s">
        <v>6</v>
      </c>
      <c r="F781" s="34" t="s">
        <v>4</v>
      </c>
      <c r="G781" s="34" t="s">
        <v>5</v>
      </c>
    </row>
    <row r="782" spans="1:7" x14ac:dyDescent="0.3">
      <c r="A782" s="34">
        <v>781</v>
      </c>
      <c r="B782" s="34">
        <v>39</v>
      </c>
      <c r="C782" s="34">
        <v>4933</v>
      </c>
      <c r="D782" s="34">
        <v>25</v>
      </c>
      <c r="E782" s="34" t="s">
        <v>3</v>
      </c>
      <c r="F782" s="34" t="s">
        <v>4</v>
      </c>
      <c r="G782" s="34" t="s">
        <v>7</v>
      </c>
    </row>
    <row r="783" spans="1:7" x14ac:dyDescent="0.3">
      <c r="A783" s="34">
        <v>782</v>
      </c>
      <c r="B783" s="34">
        <v>24</v>
      </c>
      <c r="C783" s="34">
        <v>1940</v>
      </c>
      <c r="D783" s="34">
        <v>60</v>
      </c>
      <c r="E783" s="34" t="s">
        <v>3</v>
      </c>
      <c r="F783" s="34" t="s">
        <v>4</v>
      </c>
      <c r="G783" s="34" t="s">
        <v>5</v>
      </c>
    </row>
    <row r="784" spans="1:7" x14ac:dyDescent="0.3">
      <c r="A784" s="34">
        <v>783</v>
      </c>
      <c r="B784" s="34">
        <v>12</v>
      </c>
      <c r="C784" s="34">
        <v>1410</v>
      </c>
      <c r="D784" s="34">
        <v>31</v>
      </c>
      <c r="E784" s="34" t="s">
        <v>3</v>
      </c>
      <c r="F784" s="34" t="s">
        <v>4</v>
      </c>
      <c r="G784" s="34" t="s">
        <v>5</v>
      </c>
    </row>
    <row r="785" spans="1:7" x14ac:dyDescent="0.3">
      <c r="A785" s="34">
        <v>784</v>
      </c>
      <c r="B785" s="34">
        <v>12</v>
      </c>
      <c r="C785" s="34">
        <v>836</v>
      </c>
      <c r="D785" s="34">
        <v>23</v>
      </c>
      <c r="E785" s="34" t="s">
        <v>6</v>
      </c>
      <c r="F785" s="34" t="s">
        <v>4</v>
      </c>
      <c r="G785" s="34" t="s">
        <v>7</v>
      </c>
    </row>
    <row r="786" spans="1:7" x14ac:dyDescent="0.3">
      <c r="A786" s="34">
        <v>785</v>
      </c>
      <c r="B786" s="34">
        <v>20</v>
      </c>
      <c r="C786" s="34">
        <v>6468</v>
      </c>
      <c r="D786" s="34">
        <v>60</v>
      </c>
      <c r="E786" s="34" t="s">
        <v>10</v>
      </c>
      <c r="F786" s="34" t="s">
        <v>4</v>
      </c>
      <c r="G786" s="34" t="s">
        <v>5</v>
      </c>
    </row>
    <row r="787" spans="1:7" x14ac:dyDescent="0.3">
      <c r="A787" s="34">
        <v>786</v>
      </c>
      <c r="B787" s="34">
        <v>18</v>
      </c>
      <c r="C787" s="34">
        <v>1941</v>
      </c>
      <c r="D787" s="34">
        <v>35</v>
      </c>
      <c r="E787" s="34" t="s">
        <v>3</v>
      </c>
      <c r="F787" s="34" t="s">
        <v>4</v>
      </c>
      <c r="G787" s="34" t="s">
        <v>5</v>
      </c>
    </row>
    <row r="788" spans="1:7" x14ac:dyDescent="0.3">
      <c r="A788" s="34">
        <v>787</v>
      </c>
      <c r="B788" s="34">
        <v>22</v>
      </c>
      <c r="C788" s="34">
        <v>2675</v>
      </c>
      <c r="D788" s="34">
        <v>40</v>
      </c>
      <c r="E788" s="34" t="s">
        <v>3</v>
      </c>
      <c r="F788" s="34" t="s">
        <v>4</v>
      </c>
      <c r="G788" s="34" t="s">
        <v>5</v>
      </c>
    </row>
    <row r="789" spans="1:7" x14ac:dyDescent="0.3">
      <c r="A789" s="34">
        <v>788</v>
      </c>
      <c r="B789" s="34">
        <v>48</v>
      </c>
      <c r="C789" s="34">
        <v>2751</v>
      </c>
      <c r="D789" s="34">
        <v>38</v>
      </c>
      <c r="E789" s="34" t="s">
        <v>3</v>
      </c>
      <c r="F789" s="34" t="s">
        <v>4</v>
      </c>
      <c r="G789" s="34" t="s">
        <v>5</v>
      </c>
    </row>
    <row r="790" spans="1:7" x14ac:dyDescent="0.3">
      <c r="A790" s="34">
        <v>789</v>
      </c>
      <c r="B790" s="34">
        <v>48</v>
      </c>
      <c r="C790" s="34">
        <v>6224</v>
      </c>
      <c r="D790" s="34">
        <v>50</v>
      </c>
      <c r="E790" s="34" t="s">
        <v>3</v>
      </c>
      <c r="F790" s="34" t="s">
        <v>8</v>
      </c>
      <c r="G790" s="34" t="s">
        <v>7</v>
      </c>
    </row>
    <row r="791" spans="1:7" x14ac:dyDescent="0.3">
      <c r="A791" s="34">
        <v>790</v>
      </c>
      <c r="B791" s="34">
        <v>40</v>
      </c>
      <c r="C791" s="34">
        <v>5998</v>
      </c>
      <c r="D791" s="34">
        <v>27</v>
      </c>
      <c r="E791" s="34" t="s">
        <v>3</v>
      </c>
      <c r="F791" s="34" t="s">
        <v>4</v>
      </c>
      <c r="G791" s="34" t="s">
        <v>7</v>
      </c>
    </row>
    <row r="792" spans="1:7" x14ac:dyDescent="0.3">
      <c r="A792" s="34">
        <v>791</v>
      </c>
      <c r="B792" s="34">
        <v>21</v>
      </c>
      <c r="C792" s="34">
        <v>1188</v>
      </c>
      <c r="D792" s="34">
        <v>39</v>
      </c>
      <c r="E792" s="34" t="s">
        <v>6</v>
      </c>
      <c r="F792" s="34" t="s">
        <v>4</v>
      </c>
      <c r="G792" s="34" t="s">
        <v>7</v>
      </c>
    </row>
    <row r="793" spans="1:7" x14ac:dyDescent="0.3">
      <c r="A793" s="34">
        <v>792</v>
      </c>
      <c r="B793" s="34">
        <v>24</v>
      </c>
      <c r="C793" s="34">
        <v>6313</v>
      </c>
      <c r="D793" s="34">
        <v>41</v>
      </c>
      <c r="E793" s="34" t="s">
        <v>3</v>
      </c>
      <c r="F793" s="34" t="s">
        <v>4</v>
      </c>
      <c r="G793" s="34" t="s">
        <v>5</v>
      </c>
    </row>
    <row r="794" spans="1:7" x14ac:dyDescent="0.3">
      <c r="A794" s="34">
        <v>793</v>
      </c>
      <c r="B794" s="34">
        <v>6</v>
      </c>
      <c r="C794" s="34">
        <v>1221</v>
      </c>
      <c r="D794" s="34">
        <v>27</v>
      </c>
      <c r="E794" s="34" t="s">
        <v>11</v>
      </c>
      <c r="F794" s="34" t="s">
        <v>4</v>
      </c>
      <c r="G794" s="34" t="s">
        <v>5</v>
      </c>
    </row>
    <row r="795" spans="1:7" x14ac:dyDescent="0.3">
      <c r="A795" s="34">
        <v>794</v>
      </c>
      <c r="B795" s="34">
        <v>24</v>
      </c>
      <c r="C795" s="34">
        <v>2892</v>
      </c>
      <c r="D795" s="34">
        <v>51</v>
      </c>
      <c r="E795" s="34" t="s">
        <v>10</v>
      </c>
      <c r="F795" s="34" t="s">
        <v>8</v>
      </c>
      <c r="G795" s="34" t="s">
        <v>5</v>
      </c>
    </row>
    <row r="796" spans="1:7" x14ac:dyDescent="0.3">
      <c r="A796" s="34">
        <v>795</v>
      </c>
      <c r="B796" s="34">
        <v>24</v>
      </c>
      <c r="C796" s="34">
        <v>3062</v>
      </c>
      <c r="D796" s="34">
        <v>32</v>
      </c>
      <c r="E796" s="34" t="s">
        <v>3</v>
      </c>
      <c r="F796" s="34" t="s">
        <v>9</v>
      </c>
      <c r="G796" s="34" t="s">
        <v>5</v>
      </c>
    </row>
    <row r="797" spans="1:7" x14ac:dyDescent="0.3">
      <c r="A797" s="34">
        <v>796</v>
      </c>
      <c r="B797" s="34">
        <v>9</v>
      </c>
      <c r="C797" s="34">
        <v>2301</v>
      </c>
      <c r="D797" s="34">
        <v>22</v>
      </c>
      <c r="E797" s="34" t="s">
        <v>6</v>
      </c>
      <c r="F797" s="34" t="s">
        <v>9</v>
      </c>
      <c r="G797" s="34" t="s">
        <v>5</v>
      </c>
    </row>
    <row r="798" spans="1:7" x14ac:dyDescent="0.3">
      <c r="A798" s="34">
        <v>797</v>
      </c>
      <c r="B798" s="34">
        <v>18</v>
      </c>
      <c r="C798" s="34">
        <v>7511</v>
      </c>
      <c r="D798" s="34">
        <v>51</v>
      </c>
      <c r="E798" s="34" t="s">
        <v>3</v>
      </c>
      <c r="F798" s="34" t="s">
        <v>8</v>
      </c>
      <c r="G798" s="34" t="s">
        <v>7</v>
      </c>
    </row>
    <row r="799" spans="1:7" x14ac:dyDescent="0.3">
      <c r="A799" s="34">
        <v>798</v>
      </c>
      <c r="B799" s="34">
        <v>12</v>
      </c>
      <c r="C799" s="34">
        <v>1258</v>
      </c>
      <c r="D799" s="34">
        <v>22</v>
      </c>
      <c r="E799" s="34" t="s">
        <v>6</v>
      </c>
      <c r="F799" s="34" t="s">
        <v>9</v>
      </c>
      <c r="G799" s="34" t="s">
        <v>5</v>
      </c>
    </row>
    <row r="800" spans="1:7" x14ac:dyDescent="0.3">
      <c r="A800" s="34">
        <v>799</v>
      </c>
      <c r="B800" s="34">
        <v>24</v>
      </c>
      <c r="C800" s="34">
        <v>717</v>
      </c>
      <c r="D800" s="34">
        <v>54</v>
      </c>
      <c r="E800" s="34" t="s">
        <v>11</v>
      </c>
      <c r="F800" s="34" t="s">
        <v>4</v>
      </c>
      <c r="G800" s="34" t="s">
        <v>5</v>
      </c>
    </row>
    <row r="801" spans="1:7" x14ac:dyDescent="0.3">
      <c r="A801" s="34">
        <v>800</v>
      </c>
      <c r="B801" s="34">
        <v>9</v>
      </c>
      <c r="C801" s="34">
        <v>1549</v>
      </c>
      <c r="D801" s="34">
        <v>35</v>
      </c>
      <c r="E801" s="34" t="s">
        <v>3</v>
      </c>
      <c r="F801" s="34" t="s">
        <v>4</v>
      </c>
      <c r="G801" s="34" t="s">
        <v>5</v>
      </c>
    </row>
    <row r="802" spans="1:7" x14ac:dyDescent="0.3">
      <c r="A802" s="34">
        <v>801</v>
      </c>
      <c r="B802" s="34">
        <v>24</v>
      </c>
      <c r="C802" s="34">
        <v>1597</v>
      </c>
      <c r="D802" s="34">
        <v>54</v>
      </c>
      <c r="E802" s="34" t="s">
        <v>3</v>
      </c>
      <c r="F802" s="34" t="s">
        <v>8</v>
      </c>
      <c r="G802" s="34" t="s">
        <v>5</v>
      </c>
    </row>
    <row r="803" spans="1:7" x14ac:dyDescent="0.3">
      <c r="A803" s="34">
        <v>802</v>
      </c>
      <c r="B803" s="34">
        <v>18</v>
      </c>
      <c r="C803" s="34">
        <v>1795</v>
      </c>
      <c r="D803" s="34">
        <v>48</v>
      </c>
      <c r="E803" s="34" t="s">
        <v>6</v>
      </c>
      <c r="F803" s="34" t="s">
        <v>9</v>
      </c>
      <c r="G803" s="34" t="s">
        <v>5</v>
      </c>
    </row>
    <row r="804" spans="1:7" x14ac:dyDescent="0.3">
      <c r="A804" s="34">
        <v>803</v>
      </c>
      <c r="B804" s="34">
        <v>20</v>
      </c>
      <c r="C804" s="34">
        <v>4272</v>
      </c>
      <c r="D804" s="34">
        <v>24</v>
      </c>
      <c r="E804" s="34" t="s">
        <v>6</v>
      </c>
      <c r="F804" s="34" t="s">
        <v>4</v>
      </c>
      <c r="G804" s="34" t="s">
        <v>5</v>
      </c>
    </row>
    <row r="805" spans="1:7" x14ac:dyDescent="0.3">
      <c r="A805" s="34">
        <v>804</v>
      </c>
      <c r="B805" s="34">
        <v>12</v>
      </c>
      <c r="C805" s="34">
        <v>976</v>
      </c>
      <c r="D805" s="34">
        <v>35</v>
      </c>
      <c r="E805" s="34" t="s">
        <v>3</v>
      </c>
      <c r="F805" s="34" t="s">
        <v>4</v>
      </c>
      <c r="G805" s="34" t="s">
        <v>5</v>
      </c>
    </row>
    <row r="806" spans="1:7" x14ac:dyDescent="0.3">
      <c r="A806" s="34">
        <v>805</v>
      </c>
      <c r="B806" s="34">
        <v>12</v>
      </c>
      <c r="C806" s="34">
        <v>7472</v>
      </c>
      <c r="D806" s="34">
        <v>24</v>
      </c>
      <c r="E806" s="34" t="s">
        <v>6</v>
      </c>
      <c r="F806" s="34" t="s">
        <v>9</v>
      </c>
      <c r="G806" s="34" t="s">
        <v>5</v>
      </c>
    </row>
    <row r="807" spans="1:7" x14ac:dyDescent="0.3">
      <c r="A807" s="34">
        <v>806</v>
      </c>
      <c r="B807" s="34">
        <v>36</v>
      </c>
      <c r="C807" s="34">
        <v>9271</v>
      </c>
      <c r="D807" s="34">
        <v>24</v>
      </c>
      <c r="E807" s="34" t="s">
        <v>3</v>
      </c>
      <c r="F807" s="34" t="s">
        <v>4</v>
      </c>
      <c r="G807" s="34" t="s">
        <v>7</v>
      </c>
    </row>
    <row r="808" spans="1:7" x14ac:dyDescent="0.3">
      <c r="A808" s="34">
        <v>807</v>
      </c>
      <c r="B808" s="34">
        <v>6</v>
      </c>
      <c r="C808" s="34">
        <v>590</v>
      </c>
      <c r="D808" s="34">
        <v>26</v>
      </c>
      <c r="E808" s="34" t="s">
        <v>11</v>
      </c>
      <c r="F808" s="34" t="s">
        <v>4</v>
      </c>
      <c r="G808" s="34" t="s">
        <v>5</v>
      </c>
    </row>
    <row r="809" spans="1:7" x14ac:dyDescent="0.3">
      <c r="A809" s="34">
        <v>808</v>
      </c>
      <c r="B809" s="34">
        <v>12</v>
      </c>
      <c r="C809" s="34">
        <v>930</v>
      </c>
      <c r="D809" s="34">
        <v>65</v>
      </c>
      <c r="E809" s="34" t="s">
        <v>3</v>
      </c>
      <c r="F809" s="34" t="s">
        <v>4</v>
      </c>
      <c r="G809" s="34" t="s">
        <v>5</v>
      </c>
    </row>
    <row r="810" spans="1:7" x14ac:dyDescent="0.3">
      <c r="A810" s="34">
        <v>809</v>
      </c>
      <c r="B810" s="34">
        <v>42</v>
      </c>
      <c r="C810" s="34">
        <v>9283</v>
      </c>
      <c r="D810" s="34">
        <v>55</v>
      </c>
      <c r="E810" s="34" t="s">
        <v>3</v>
      </c>
      <c r="F810" s="34" t="s">
        <v>8</v>
      </c>
      <c r="G810" s="34" t="s">
        <v>5</v>
      </c>
    </row>
    <row r="811" spans="1:7" x14ac:dyDescent="0.3">
      <c r="A811" s="34">
        <v>810</v>
      </c>
      <c r="B811" s="34">
        <v>15</v>
      </c>
      <c r="C811" s="34">
        <v>1778</v>
      </c>
      <c r="D811" s="34">
        <v>26</v>
      </c>
      <c r="E811" s="34" t="s">
        <v>6</v>
      </c>
      <c r="F811" s="34" t="s">
        <v>9</v>
      </c>
      <c r="G811" s="34" t="s">
        <v>7</v>
      </c>
    </row>
    <row r="812" spans="1:7" x14ac:dyDescent="0.3">
      <c r="A812" s="34">
        <v>811</v>
      </c>
      <c r="B812" s="34">
        <v>8</v>
      </c>
      <c r="C812" s="34">
        <v>907</v>
      </c>
      <c r="D812" s="34">
        <v>26</v>
      </c>
      <c r="E812" s="34" t="s">
        <v>11</v>
      </c>
      <c r="F812" s="34" t="s">
        <v>4</v>
      </c>
      <c r="G812" s="34" t="s">
        <v>5</v>
      </c>
    </row>
    <row r="813" spans="1:7" x14ac:dyDescent="0.3">
      <c r="A813" s="34">
        <v>812</v>
      </c>
      <c r="B813" s="34">
        <v>6</v>
      </c>
      <c r="C813" s="34">
        <v>484</v>
      </c>
      <c r="D813" s="34">
        <v>28</v>
      </c>
      <c r="E813" s="34" t="s">
        <v>11</v>
      </c>
      <c r="F813" s="34" t="s">
        <v>4</v>
      </c>
      <c r="G813" s="34" t="s">
        <v>5</v>
      </c>
    </row>
    <row r="814" spans="1:7" x14ac:dyDescent="0.3">
      <c r="A814" s="34">
        <v>813</v>
      </c>
      <c r="B814" s="34">
        <v>36</v>
      </c>
      <c r="C814" s="34">
        <v>9629</v>
      </c>
      <c r="D814" s="34">
        <v>24</v>
      </c>
      <c r="E814" s="34" t="s">
        <v>3</v>
      </c>
      <c r="F814" s="34" t="s">
        <v>4</v>
      </c>
      <c r="G814" s="34" t="s">
        <v>7</v>
      </c>
    </row>
    <row r="815" spans="1:7" x14ac:dyDescent="0.3">
      <c r="A815" s="34">
        <v>814</v>
      </c>
      <c r="B815" s="34">
        <v>48</v>
      </c>
      <c r="C815" s="34">
        <v>3051</v>
      </c>
      <c r="D815" s="34">
        <v>54</v>
      </c>
      <c r="E815" s="34" t="s">
        <v>3</v>
      </c>
      <c r="F815" s="34" t="s">
        <v>4</v>
      </c>
      <c r="G815" s="34" t="s">
        <v>7</v>
      </c>
    </row>
    <row r="816" spans="1:7" x14ac:dyDescent="0.3">
      <c r="A816" s="34">
        <v>815</v>
      </c>
      <c r="B816" s="34">
        <v>48</v>
      </c>
      <c r="C816" s="34">
        <v>3931</v>
      </c>
      <c r="D816" s="34">
        <v>46</v>
      </c>
      <c r="E816" s="34" t="s">
        <v>3</v>
      </c>
      <c r="F816" s="34" t="s">
        <v>8</v>
      </c>
      <c r="G816" s="34" t="s">
        <v>7</v>
      </c>
    </row>
    <row r="817" spans="1:7" x14ac:dyDescent="0.3">
      <c r="A817" s="34">
        <v>816</v>
      </c>
      <c r="B817" s="34">
        <v>36</v>
      </c>
      <c r="C817" s="34">
        <v>7432</v>
      </c>
      <c r="D817" s="34">
        <v>54</v>
      </c>
      <c r="E817" s="34" t="s">
        <v>6</v>
      </c>
      <c r="F817" s="34" t="s">
        <v>9</v>
      </c>
      <c r="G817" s="34" t="s">
        <v>5</v>
      </c>
    </row>
    <row r="818" spans="1:7" x14ac:dyDescent="0.3">
      <c r="A818" s="34">
        <v>817</v>
      </c>
      <c r="B818" s="34">
        <v>6</v>
      </c>
      <c r="C818" s="34">
        <v>1338</v>
      </c>
      <c r="D818" s="34">
        <v>62</v>
      </c>
      <c r="E818" s="34" t="s">
        <v>10</v>
      </c>
      <c r="F818" s="34" t="s">
        <v>4</v>
      </c>
      <c r="G818" s="34" t="s">
        <v>5</v>
      </c>
    </row>
    <row r="819" spans="1:7" x14ac:dyDescent="0.3">
      <c r="A819" s="34">
        <v>818</v>
      </c>
      <c r="B819" s="34">
        <v>6</v>
      </c>
      <c r="C819" s="34">
        <v>1554</v>
      </c>
      <c r="D819" s="34">
        <v>24</v>
      </c>
      <c r="E819" s="34" t="s">
        <v>6</v>
      </c>
      <c r="F819" s="34" t="s">
        <v>9</v>
      </c>
      <c r="G819" s="34" t="s">
        <v>5</v>
      </c>
    </row>
    <row r="820" spans="1:7" x14ac:dyDescent="0.3">
      <c r="A820" s="34">
        <v>819</v>
      </c>
      <c r="B820" s="34">
        <v>36</v>
      </c>
      <c r="C820" s="34">
        <v>15857</v>
      </c>
      <c r="D820" s="34">
        <v>43</v>
      </c>
      <c r="E820" s="34" t="s">
        <v>10</v>
      </c>
      <c r="F820" s="34" t="s">
        <v>4</v>
      </c>
      <c r="G820" s="34" t="s">
        <v>5</v>
      </c>
    </row>
    <row r="821" spans="1:7" x14ac:dyDescent="0.3">
      <c r="A821" s="34">
        <v>820</v>
      </c>
      <c r="B821" s="34">
        <v>18</v>
      </c>
      <c r="C821" s="34">
        <v>1345</v>
      </c>
      <c r="D821" s="34">
        <v>26</v>
      </c>
      <c r="E821" s="34" t="s">
        <v>11</v>
      </c>
      <c r="F821" s="34" t="s">
        <v>4</v>
      </c>
      <c r="G821" s="34" t="s">
        <v>7</v>
      </c>
    </row>
    <row r="822" spans="1:7" x14ac:dyDescent="0.3">
      <c r="A822" s="34">
        <v>821</v>
      </c>
      <c r="B822" s="34">
        <v>12</v>
      </c>
      <c r="C822" s="34">
        <v>1101</v>
      </c>
      <c r="D822" s="34">
        <v>27</v>
      </c>
      <c r="E822" s="34" t="s">
        <v>11</v>
      </c>
      <c r="F822" s="34" t="s">
        <v>4</v>
      </c>
      <c r="G822" s="34" t="s">
        <v>5</v>
      </c>
    </row>
    <row r="823" spans="1:7" x14ac:dyDescent="0.3">
      <c r="A823" s="34">
        <v>822</v>
      </c>
      <c r="B823" s="34">
        <v>12</v>
      </c>
      <c r="C823" s="34">
        <v>3016</v>
      </c>
      <c r="D823" s="34">
        <v>24</v>
      </c>
      <c r="E823" s="34" t="s">
        <v>11</v>
      </c>
      <c r="F823" s="34" t="s">
        <v>4</v>
      </c>
      <c r="G823" s="34" t="s">
        <v>5</v>
      </c>
    </row>
    <row r="824" spans="1:7" x14ac:dyDescent="0.3">
      <c r="A824" s="34">
        <v>823</v>
      </c>
      <c r="B824" s="34">
        <v>36</v>
      </c>
      <c r="C824" s="34">
        <v>2712</v>
      </c>
      <c r="D824" s="34">
        <v>41</v>
      </c>
      <c r="E824" s="34" t="s">
        <v>3</v>
      </c>
      <c r="F824" s="34" t="s">
        <v>4</v>
      </c>
      <c r="G824" s="34" t="s">
        <v>7</v>
      </c>
    </row>
    <row r="825" spans="1:7" x14ac:dyDescent="0.3">
      <c r="A825" s="34">
        <v>824</v>
      </c>
      <c r="B825" s="34">
        <v>8</v>
      </c>
      <c r="C825" s="34">
        <v>731</v>
      </c>
      <c r="D825" s="34">
        <v>47</v>
      </c>
      <c r="E825" s="34" t="s">
        <v>3</v>
      </c>
      <c r="F825" s="34" t="s">
        <v>4</v>
      </c>
      <c r="G825" s="34" t="s">
        <v>5</v>
      </c>
    </row>
    <row r="826" spans="1:7" x14ac:dyDescent="0.3">
      <c r="A826" s="34">
        <v>825</v>
      </c>
      <c r="B826" s="34">
        <v>18</v>
      </c>
      <c r="C826" s="34">
        <v>3780</v>
      </c>
      <c r="D826" s="34">
        <v>35</v>
      </c>
      <c r="E826" s="34" t="s">
        <v>10</v>
      </c>
      <c r="F826" s="34" t="s">
        <v>4</v>
      </c>
      <c r="G826" s="34" t="s">
        <v>5</v>
      </c>
    </row>
    <row r="827" spans="1:7" x14ac:dyDescent="0.3">
      <c r="A827" s="34">
        <v>826</v>
      </c>
      <c r="B827" s="34">
        <v>21</v>
      </c>
      <c r="C827" s="34">
        <v>1602</v>
      </c>
      <c r="D827" s="34">
        <v>30</v>
      </c>
      <c r="E827" s="34" t="s">
        <v>11</v>
      </c>
      <c r="F827" s="34" t="s">
        <v>4</v>
      </c>
      <c r="G827" s="34" t="s">
        <v>5</v>
      </c>
    </row>
    <row r="828" spans="1:7" x14ac:dyDescent="0.3">
      <c r="A828" s="34">
        <v>827</v>
      </c>
      <c r="B828" s="34">
        <v>18</v>
      </c>
      <c r="C828" s="34">
        <v>3966</v>
      </c>
      <c r="D828" s="34">
        <v>33</v>
      </c>
      <c r="E828" s="34" t="s">
        <v>6</v>
      </c>
      <c r="F828" s="34" t="s">
        <v>9</v>
      </c>
      <c r="G828" s="34" t="s">
        <v>7</v>
      </c>
    </row>
    <row r="829" spans="1:7" x14ac:dyDescent="0.3">
      <c r="A829" s="34">
        <v>828</v>
      </c>
      <c r="B829" s="34">
        <v>18</v>
      </c>
      <c r="C829" s="34">
        <v>4165</v>
      </c>
      <c r="D829" s="34">
        <v>36</v>
      </c>
      <c r="E829" s="34" t="s">
        <v>3</v>
      </c>
      <c r="F829" s="34" t="s">
        <v>4</v>
      </c>
      <c r="G829" s="34" t="s">
        <v>7</v>
      </c>
    </row>
    <row r="830" spans="1:7" x14ac:dyDescent="0.3">
      <c r="A830" s="34">
        <v>829</v>
      </c>
      <c r="B830" s="34">
        <v>36</v>
      </c>
      <c r="C830" s="34">
        <v>8335</v>
      </c>
      <c r="D830" s="34">
        <v>47</v>
      </c>
      <c r="E830" s="34" t="s">
        <v>3</v>
      </c>
      <c r="F830" s="34" t="s">
        <v>8</v>
      </c>
      <c r="G830" s="34" t="s">
        <v>7</v>
      </c>
    </row>
    <row r="831" spans="1:7" x14ac:dyDescent="0.3">
      <c r="A831" s="34">
        <v>830</v>
      </c>
      <c r="B831" s="34">
        <v>48</v>
      </c>
      <c r="C831" s="34">
        <v>6681</v>
      </c>
      <c r="D831" s="34">
        <v>38</v>
      </c>
      <c r="E831" s="34" t="s">
        <v>3</v>
      </c>
      <c r="F831" s="34" t="s">
        <v>8</v>
      </c>
      <c r="G831" s="34" t="s">
        <v>5</v>
      </c>
    </row>
    <row r="832" spans="1:7" x14ac:dyDescent="0.3">
      <c r="A832" s="34">
        <v>831</v>
      </c>
      <c r="B832" s="34">
        <v>24</v>
      </c>
      <c r="C832" s="34">
        <v>2375</v>
      </c>
      <c r="D832" s="34">
        <v>44</v>
      </c>
      <c r="E832" s="34" t="s">
        <v>3</v>
      </c>
      <c r="F832" s="34" t="s">
        <v>4</v>
      </c>
      <c r="G832" s="34" t="s">
        <v>5</v>
      </c>
    </row>
    <row r="833" spans="1:7" x14ac:dyDescent="0.3">
      <c r="A833" s="34">
        <v>832</v>
      </c>
      <c r="B833" s="34">
        <v>18</v>
      </c>
      <c r="C833" s="34">
        <v>1216</v>
      </c>
      <c r="D833" s="34">
        <v>23</v>
      </c>
      <c r="E833" s="34" t="s">
        <v>6</v>
      </c>
      <c r="F833" s="34" t="s">
        <v>9</v>
      </c>
      <c r="G833" s="34" t="s">
        <v>7</v>
      </c>
    </row>
    <row r="834" spans="1:7" x14ac:dyDescent="0.3">
      <c r="A834" s="34">
        <v>833</v>
      </c>
      <c r="B834" s="34">
        <v>45</v>
      </c>
      <c r="C834" s="34">
        <v>11816</v>
      </c>
      <c r="D834" s="34">
        <v>29</v>
      </c>
      <c r="E834" s="34" t="s">
        <v>3</v>
      </c>
      <c r="F834" s="34" t="s">
        <v>9</v>
      </c>
      <c r="G834" s="34" t="s">
        <v>7</v>
      </c>
    </row>
    <row r="835" spans="1:7" x14ac:dyDescent="0.3">
      <c r="A835" s="34">
        <v>834</v>
      </c>
      <c r="B835" s="34">
        <v>24</v>
      </c>
      <c r="C835" s="34">
        <v>5084</v>
      </c>
      <c r="D835" s="34">
        <v>42</v>
      </c>
      <c r="E835" s="34" t="s">
        <v>6</v>
      </c>
      <c r="F835" s="34" t="s">
        <v>4</v>
      </c>
      <c r="G835" s="34" t="s">
        <v>5</v>
      </c>
    </row>
    <row r="836" spans="1:7" x14ac:dyDescent="0.3">
      <c r="A836" s="34">
        <v>835</v>
      </c>
      <c r="B836" s="34">
        <v>15</v>
      </c>
      <c r="C836" s="34">
        <v>2327</v>
      </c>
      <c r="D836" s="34">
        <v>25</v>
      </c>
      <c r="E836" s="34" t="s">
        <v>6</v>
      </c>
      <c r="F836" s="34" t="s">
        <v>4</v>
      </c>
      <c r="G836" s="34" t="s">
        <v>7</v>
      </c>
    </row>
    <row r="837" spans="1:7" x14ac:dyDescent="0.3">
      <c r="A837" s="34">
        <v>836</v>
      </c>
      <c r="B837" s="34">
        <v>12</v>
      </c>
      <c r="C837" s="34">
        <v>1082</v>
      </c>
      <c r="D837" s="34">
        <v>48</v>
      </c>
      <c r="E837" s="34" t="s">
        <v>3</v>
      </c>
      <c r="F837" s="34" t="s">
        <v>4</v>
      </c>
      <c r="G837" s="34" t="s">
        <v>7</v>
      </c>
    </row>
    <row r="838" spans="1:7" x14ac:dyDescent="0.3">
      <c r="A838" s="34">
        <v>837</v>
      </c>
      <c r="B838" s="34">
        <v>12</v>
      </c>
      <c r="C838" s="34">
        <v>886</v>
      </c>
      <c r="D838" s="34">
        <v>21</v>
      </c>
      <c r="E838" s="34" t="s">
        <v>6</v>
      </c>
      <c r="F838" s="34" t="s">
        <v>4</v>
      </c>
      <c r="G838" s="34" t="s">
        <v>5</v>
      </c>
    </row>
    <row r="839" spans="1:7" x14ac:dyDescent="0.3">
      <c r="A839" s="34">
        <v>838</v>
      </c>
      <c r="B839" s="34">
        <v>4</v>
      </c>
      <c r="C839" s="34">
        <v>601</v>
      </c>
      <c r="D839" s="34">
        <v>23</v>
      </c>
      <c r="E839" s="34" t="s">
        <v>6</v>
      </c>
      <c r="F839" s="34" t="s">
        <v>9</v>
      </c>
      <c r="G839" s="34" t="s">
        <v>5</v>
      </c>
    </row>
    <row r="840" spans="1:7" x14ac:dyDescent="0.3">
      <c r="A840" s="34">
        <v>839</v>
      </c>
      <c r="B840" s="34">
        <v>24</v>
      </c>
      <c r="C840" s="34">
        <v>2957</v>
      </c>
      <c r="D840" s="34">
        <v>63</v>
      </c>
      <c r="E840" s="34" t="s">
        <v>3</v>
      </c>
      <c r="F840" s="34" t="s">
        <v>4</v>
      </c>
      <c r="G840" s="34" t="s">
        <v>5</v>
      </c>
    </row>
    <row r="841" spans="1:7" x14ac:dyDescent="0.3">
      <c r="A841" s="34">
        <v>840</v>
      </c>
      <c r="B841" s="34">
        <v>24</v>
      </c>
      <c r="C841" s="34">
        <v>2611</v>
      </c>
      <c r="D841" s="34">
        <v>46</v>
      </c>
      <c r="E841" s="34" t="s">
        <v>11</v>
      </c>
      <c r="F841" s="34" t="s">
        <v>4</v>
      </c>
      <c r="G841" s="34" t="s">
        <v>5</v>
      </c>
    </row>
    <row r="842" spans="1:7" x14ac:dyDescent="0.3">
      <c r="A842" s="34">
        <v>841</v>
      </c>
      <c r="B842" s="34">
        <v>36</v>
      </c>
      <c r="C842" s="34">
        <v>5179</v>
      </c>
      <c r="D842" s="34">
        <v>29</v>
      </c>
      <c r="E842" s="34" t="s">
        <v>3</v>
      </c>
      <c r="F842" s="34" t="s">
        <v>4</v>
      </c>
      <c r="G842" s="34" t="s">
        <v>7</v>
      </c>
    </row>
    <row r="843" spans="1:7" x14ac:dyDescent="0.3">
      <c r="A843" s="34">
        <v>842</v>
      </c>
      <c r="B843" s="34">
        <v>21</v>
      </c>
      <c r="C843" s="34">
        <v>2993</v>
      </c>
      <c r="D843" s="34">
        <v>28</v>
      </c>
      <c r="E843" s="34" t="s">
        <v>3</v>
      </c>
      <c r="F843" s="34" t="s">
        <v>4</v>
      </c>
      <c r="G843" s="34" t="s">
        <v>5</v>
      </c>
    </row>
    <row r="844" spans="1:7" x14ac:dyDescent="0.3">
      <c r="A844" s="34">
        <v>843</v>
      </c>
      <c r="B844" s="34">
        <v>18</v>
      </c>
      <c r="C844" s="34">
        <v>1943</v>
      </c>
      <c r="D844" s="34">
        <v>23</v>
      </c>
      <c r="E844" s="34" t="s">
        <v>6</v>
      </c>
      <c r="F844" s="34" t="s">
        <v>4</v>
      </c>
      <c r="G844" s="34" t="s">
        <v>7</v>
      </c>
    </row>
    <row r="845" spans="1:7" x14ac:dyDescent="0.3">
      <c r="A845" s="34">
        <v>844</v>
      </c>
      <c r="B845" s="34">
        <v>24</v>
      </c>
      <c r="C845" s="34">
        <v>1559</v>
      </c>
      <c r="D845" s="34">
        <v>50</v>
      </c>
      <c r="E845" s="34" t="s">
        <v>3</v>
      </c>
      <c r="F845" s="34" t="s">
        <v>4</v>
      </c>
      <c r="G845" s="34" t="s">
        <v>5</v>
      </c>
    </row>
    <row r="846" spans="1:7" x14ac:dyDescent="0.3">
      <c r="A846" s="34">
        <v>845</v>
      </c>
      <c r="B846" s="34">
        <v>18</v>
      </c>
      <c r="C846" s="34">
        <v>3422</v>
      </c>
      <c r="D846" s="34">
        <v>47</v>
      </c>
      <c r="E846" s="34" t="s">
        <v>3</v>
      </c>
      <c r="F846" s="34" t="s">
        <v>4</v>
      </c>
      <c r="G846" s="34" t="s">
        <v>5</v>
      </c>
    </row>
    <row r="847" spans="1:7" x14ac:dyDescent="0.3">
      <c r="A847" s="34">
        <v>846</v>
      </c>
      <c r="B847" s="34">
        <v>21</v>
      </c>
      <c r="C847" s="34">
        <v>3976</v>
      </c>
      <c r="D847" s="34">
        <v>35</v>
      </c>
      <c r="E847" s="34" t="s">
        <v>3</v>
      </c>
      <c r="F847" s="34" t="s">
        <v>4</v>
      </c>
      <c r="G847" s="34" t="s">
        <v>5</v>
      </c>
    </row>
    <row r="848" spans="1:7" x14ac:dyDescent="0.3">
      <c r="A848" s="34">
        <v>847</v>
      </c>
      <c r="B848" s="34">
        <v>18</v>
      </c>
      <c r="C848" s="34">
        <v>6761</v>
      </c>
      <c r="D848" s="34">
        <v>68</v>
      </c>
      <c r="E848" s="34" t="s">
        <v>3</v>
      </c>
      <c r="F848" s="34" t="s">
        <v>9</v>
      </c>
      <c r="G848" s="34" t="s">
        <v>7</v>
      </c>
    </row>
    <row r="849" spans="1:7" x14ac:dyDescent="0.3">
      <c r="A849" s="34">
        <v>848</v>
      </c>
      <c r="B849" s="34">
        <v>24</v>
      </c>
      <c r="C849" s="34">
        <v>1249</v>
      </c>
      <c r="D849" s="34">
        <v>28</v>
      </c>
      <c r="E849" s="34" t="s">
        <v>11</v>
      </c>
      <c r="F849" s="34" t="s">
        <v>4</v>
      </c>
      <c r="G849" s="34" t="s">
        <v>5</v>
      </c>
    </row>
    <row r="850" spans="1:7" x14ac:dyDescent="0.3">
      <c r="A850" s="34">
        <v>849</v>
      </c>
      <c r="B850" s="34">
        <v>9</v>
      </c>
      <c r="C850" s="34">
        <v>1364</v>
      </c>
      <c r="D850" s="34">
        <v>59</v>
      </c>
      <c r="E850" s="34" t="s">
        <v>3</v>
      </c>
      <c r="F850" s="34" t="s">
        <v>4</v>
      </c>
      <c r="G850" s="34" t="s">
        <v>5</v>
      </c>
    </row>
    <row r="851" spans="1:7" x14ac:dyDescent="0.3">
      <c r="A851" s="34">
        <v>850</v>
      </c>
      <c r="B851" s="34">
        <v>12</v>
      </c>
      <c r="C851" s="34">
        <v>709</v>
      </c>
      <c r="D851" s="34">
        <v>57</v>
      </c>
      <c r="E851" s="34" t="s">
        <v>3</v>
      </c>
      <c r="F851" s="34" t="s">
        <v>4</v>
      </c>
      <c r="G851" s="34" t="s">
        <v>7</v>
      </c>
    </row>
    <row r="852" spans="1:7" x14ac:dyDescent="0.3">
      <c r="A852" s="34">
        <v>851</v>
      </c>
      <c r="B852" s="34">
        <v>20</v>
      </c>
      <c r="C852" s="34">
        <v>2235</v>
      </c>
      <c r="D852" s="34">
        <v>33</v>
      </c>
      <c r="E852" s="34" t="s">
        <v>11</v>
      </c>
      <c r="F852" s="34" t="s">
        <v>9</v>
      </c>
      <c r="G852" s="34" t="s">
        <v>7</v>
      </c>
    </row>
    <row r="853" spans="1:7" x14ac:dyDescent="0.3">
      <c r="A853" s="34">
        <v>852</v>
      </c>
      <c r="B853" s="34">
        <v>24</v>
      </c>
      <c r="C853" s="34">
        <v>4042</v>
      </c>
      <c r="D853" s="34">
        <v>43</v>
      </c>
      <c r="E853" s="34" t="s">
        <v>3</v>
      </c>
      <c r="F853" s="34" t="s">
        <v>4</v>
      </c>
      <c r="G853" s="34" t="s">
        <v>5</v>
      </c>
    </row>
    <row r="854" spans="1:7" x14ac:dyDescent="0.3">
      <c r="A854" s="34">
        <v>853</v>
      </c>
      <c r="B854" s="34">
        <v>15</v>
      </c>
      <c r="C854" s="34">
        <v>1471</v>
      </c>
      <c r="D854" s="34">
        <v>35</v>
      </c>
      <c r="E854" s="34" t="s">
        <v>3</v>
      </c>
      <c r="F854" s="34" t="s">
        <v>8</v>
      </c>
      <c r="G854" s="34" t="s">
        <v>5</v>
      </c>
    </row>
    <row r="855" spans="1:7" x14ac:dyDescent="0.3">
      <c r="A855" s="34">
        <v>854</v>
      </c>
      <c r="B855" s="34">
        <v>18</v>
      </c>
      <c r="C855" s="34">
        <v>1442</v>
      </c>
      <c r="D855" s="34">
        <v>32</v>
      </c>
      <c r="E855" s="34" t="s">
        <v>3</v>
      </c>
      <c r="F855" s="34" t="s">
        <v>8</v>
      </c>
      <c r="G855" s="34" t="s">
        <v>7</v>
      </c>
    </row>
    <row r="856" spans="1:7" x14ac:dyDescent="0.3">
      <c r="A856" s="34">
        <v>855</v>
      </c>
      <c r="B856" s="34">
        <v>36</v>
      </c>
      <c r="C856" s="34">
        <v>10875</v>
      </c>
      <c r="D856" s="34">
        <v>45</v>
      </c>
      <c r="E856" s="34" t="s">
        <v>3</v>
      </c>
      <c r="F856" s="34" t="s">
        <v>4</v>
      </c>
      <c r="G856" s="34" t="s">
        <v>5</v>
      </c>
    </row>
    <row r="857" spans="1:7" x14ac:dyDescent="0.3">
      <c r="A857" s="34">
        <v>856</v>
      </c>
      <c r="B857" s="34">
        <v>24</v>
      </c>
      <c r="C857" s="34">
        <v>1474</v>
      </c>
      <c r="D857" s="34">
        <v>33</v>
      </c>
      <c r="E857" s="34" t="s">
        <v>11</v>
      </c>
      <c r="F857" s="34" t="s">
        <v>4</v>
      </c>
      <c r="G857" s="34" t="s">
        <v>5</v>
      </c>
    </row>
    <row r="858" spans="1:7" x14ac:dyDescent="0.3">
      <c r="A858" s="34">
        <v>857</v>
      </c>
      <c r="B858" s="34">
        <v>10</v>
      </c>
      <c r="C858" s="34">
        <v>894</v>
      </c>
      <c r="D858" s="34">
        <v>40</v>
      </c>
      <c r="E858" s="34" t="s">
        <v>6</v>
      </c>
      <c r="F858" s="34" t="s">
        <v>4</v>
      </c>
      <c r="G858" s="34" t="s">
        <v>5</v>
      </c>
    </row>
    <row r="859" spans="1:7" x14ac:dyDescent="0.3">
      <c r="A859" s="34">
        <v>858</v>
      </c>
      <c r="B859" s="34">
        <v>15</v>
      </c>
      <c r="C859" s="34">
        <v>3343</v>
      </c>
      <c r="D859" s="34">
        <v>28</v>
      </c>
      <c r="E859" s="34" t="s">
        <v>3</v>
      </c>
      <c r="F859" s="34" t="s">
        <v>8</v>
      </c>
      <c r="G859" s="34" t="s">
        <v>5</v>
      </c>
    </row>
    <row r="860" spans="1:7" x14ac:dyDescent="0.3">
      <c r="A860" s="34">
        <v>859</v>
      </c>
      <c r="B860" s="34">
        <v>15</v>
      </c>
      <c r="C860" s="34">
        <v>3959</v>
      </c>
      <c r="D860" s="34">
        <v>29</v>
      </c>
      <c r="E860" s="34" t="s">
        <v>6</v>
      </c>
      <c r="F860" s="34" t="s">
        <v>4</v>
      </c>
      <c r="G860" s="34" t="s">
        <v>7</v>
      </c>
    </row>
    <row r="861" spans="1:7" x14ac:dyDescent="0.3">
      <c r="A861" s="34">
        <v>860</v>
      </c>
      <c r="B861" s="34">
        <v>9</v>
      </c>
      <c r="C861" s="34">
        <v>3577</v>
      </c>
      <c r="D861" s="34">
        <v>26</v>
      </c>
      <c r="E861" s="34" t="s">
        <v>3</v>
      </c>
      <c r="F861" s="34" t="s">
        <v>9</v>
      </c>
      <c r="G861" s="34" t="s">
        <v>5</v>
      </c>
    </row>
    <row r="862" spans="1:7" x14ac:dyDescent="0.3">
      <c r="A862" s="34">
        <v>861</v>
      </c>
      <c r="B862" s="34">
        <v>24</v>
      </c>
      <c r="C862" s="34">
        <v>5804</v>
      </c>
      <c r="D862" s="34">
        <v>27</v>
      </c>
      <c r="E862" s="34" t="s">
        <v>3</v>
      </c>
      <c r="F862" s="34" t="s">
        <v>4</v>
      </c>
      <c r="G862" s="34" t="s">
        <v>5</v>
      </c>
    </row>
    <row r="863" spans="1:7" x14ac:dyDescent="0.3">
      <c r="A863" s="34">
        <v>862</v>
      </c>
      <c r="B863" s="34">
        <v>18</v>
      </c>
      <c r="C863" s="34">
        <v>2169</v>
      </c>
      <c r="D863" s="34">
        <v>28</v>
      </c>
      <c r="E863" s="34" t="s">
        <v>11</v>
      </c>
      <c r="F863" s="34" t="s">
        <v>4</v>
      </c>
      <c r="G863" s="34" t="s">
        <v>7</v>
      </c>
    </row>
    <row r="864" spans="1:7" x14ac:dyDescent="0.3">
      <c r="A864" s="34">
        <v>863</v>
      </c>
      <c r="B864" s="34">
        <v>24</v>
      </c>
      <c r="C864" s="34">
        <v>2439</v>
      </c>
      <c r="D864" s="34">
        <v>35</v>
      </c>
      <c r="E864" s="34" t="s">
        <v>6</v>
      </c>
      <c r="F864" s="34" t="s">
        <v>4</v>
      </c>
      <c r="G864" s="34" t="s">
        <v>7</v>
      </c>
    </row>
    <row r="865" spans="1:7" x14ac:dyDescent="0.3">
      <c r="A865" s="34">
        <v>864</v>
      </c>
      <c r="B865" s="34">
        <v>27</v>
      </c>
      <c r="C865" s="34">
        <v>4526</v>
      </c>
      <c r="D865" s="34">
        <v>32</v>
      </c>
      <c r="E865" s="34" t="s">
        <v>3</v>
      </c>
      <c r="F865" s="34" t="s">
        <v>4</v>
      </c>
      <c r="G865" s="34" t="s">
        <v>5</v>
      </c>
    </row>
    <row r="866" spans="1:7" x14ac:dyDescent="0.3">
      <c r="A866" s="34">
        <v>865</v>
      </c>
      <c r="B866" s="34">
        <v>10</v>
      </c>
      <c r="C866" s="34">
        <v>2210</v>
      </c>
      <c r="D866" s="34">
        <v>25</v>
      </c>
      <c r="E866" s="34" t="s">
        <v>3</v>
      </c>
      <c r="F866" s="34" t="s">
        <v>9</v>
      </c>
      <c r="G866" s="34" t="s">
        <v>7</v>
      </c>
    </row>
    <row r="867" spans="1:7" x14ac:dyDescent="0.3">
      <c r="A867" s="34">
        <v>866</v>
      </c>
      <c r="B867" s="34">
        <v>15</v>
      </c>
      <c r="C867" s="34">
        <v>2221</v>
      </c>
      <c r="D867" s="34">
        <v>20</v>
      </c>
      <c r="E867" s="34" t="s">
        <v>6</v>
      </c>
      <c r="F867" s="34" t="s">
        <v>9</v>
      </c>
      <c r="G867" s="34" t="s">
        <v>5</v>
      </c>
    </row>
    <row r="868" spans="1:7" x14ac:dyDescent="0.3">
      <c r="A868" s="34">
        <v>867</v>
      </c>
      <c r="B868" s="34">
        <v>18</v>
      </c>
      <c r="C868" s="34">
        <v>2389</v>
      </c>
      <c r="D868" s="34">
        <v>27</v>
      </c>
      <c r="E868" s="34" t="s">
        <v>6</v>
      </c>
      <c r="F868" s="34" t="s">
        <v>4</v>
      </c>
      <c r="G868" s="34" t="s">
        <v>5</v>
      </c>
    </row>
    <row r="869" spans="1:7" x14ac:dyDescent="0.3">
      <c r="A869" s="34">
        <v>868</v>
      </c>
      <c r="B869" s="34">
        <v>12</v>
      </c>
      <c r="C869" s="34">
        <v>3331</v>
      </c>
      <c r="D869" s="34">
        <v>42</v>
      </c>
      <c r="E869" s="34" t="s">
        <v>3</v>
      </c>
      <c r="F869" s="34" t="s">
        <v>4</v>
      </c>
      <c r="G869" s="34" t="s">
        <v>5</v>
      </c>
    </row>
    <row r="870" spans="1:7" x14ac:dyDescent="0.3">
      <c r="A870" s="34">
        <v>869</v>
      </c>
      <c r="B870" s="34">
        <v>36</v>
      </c>
      <c r="C870" s="34">
        <v>7409</v>
      </c>
      <c r="D870" s="34">
        <v>37</v>
      </c>
      <c r="E870" s="34" t="s">
        <v>3</v>
      </c>
      <c r="F870" s="34" t="s">
        <v>4</v>
      </c>
      <c r="G870" s="34" t="s">
        <v>5</v>
      </c>
    </row>
    <row r="871" spans="1:7" x14ac:dyDescent="0.3">
      <c r="A871" s="34">
        <v>870</v>
      </c>
      <c r="B871" s="34">
        <v>12</v>
      </c>
      <c r="C871" s="34">
        <v>652</v>
      </c>
      <c r="D871" s="34">
        <v>24</v>
      </c>
      <c r="E871" s="34" t="s">
        <v>6</v>
      </c>
      <c r="F871" s="34" t="s">
        <v>9</v>
      </c>
      <c r="G871" s="34" t="s">
        <v>5</v>
      </c>
    </row>
    <row r="872" spans="1:7" x14ac:dyDescent="0.3">
      <c r="A872" s="34">
        <v>871</v>
      </c>
      <c r="B872" s="34">
        <v>36</v>
      </c>
      <c r="C872" s="34">
        <v>7678</v>
      </c>
      <c r="D872" s="34">
        <v>40</v>
      </c>
      <c r="E872" s="34" t="s">
        <v>6</v>
      </c>
      <c r="F872" s="34" t="s">
        <v>4</v>
      </c>
      <c r="G872" s="34" t="s">
        <v>5</v>
      </c>
    </row>
    <row r="873" spans="1:7" x14ac:dyDescent="0.3">
      <c r="A873" s="34">
        <v>872</v>
      </c>
      <c r="B873" s="34">
        <v>6</v>
      </c>
      <c r="C873" s="34">
        <v>1343</v>
      </c>
      <c r="D873" s="34">
        <v>46</v>
      </c>
      <c r="E873" s="34" t="s">
        <v>3</v>
      </c>
      <c r="F873" s="34" t="s">
        <v>4</v>
      </c>
      <c r="G873" s="34" t="s">
        <v>5</v>
      </c>
    </row>
    <row r="874" spans="1:7" x14ac:dyDescent="0.3">
      <c r="A874" s="34">
        <v>873</v>
      </c>
      <c r="B874" s="34">
        <v>24</v>
      </c>
      <c r="C874" s="34">
        <v>1382</v>
      </c>
      <c r="D874" s="34">
        <v>26</v>
      </c>
      <c r="E874" s="34" t="s">
        <v>3</v>
      </c>
      <c r="F874" s="34" t="s">
        <v>4</v>
      </c>
      <c r="G874" s="34" t="s">
        <v>5</v>
      </c>
    </row>
    <row r="875" spans="1:7" x14ac:dyDescent="0.3">
      <c r="A875" s="34">
        <v>874</v>
      </c>
      <c r="B875" s="34">
        <v>15</v>
      </c>
      <c r="C875" s="34">
        <v>874</v>
      </c>
      <c r="D875" s="34">
        <v>24</v>
      </c>
      <c r="E875" s="34" t="s">
        <v>6</v>
      </c>
      <c r="F875" s="34" t="s">
        <v>4</v>
      </c>
      <c r="G875" s="34" t="s">
        <v>5</v>
      </c>
    </row>
    <row r="876" spans="1:7" x14ac:dyDescent="0.3">
      <c r="A876" s="34">
        <v>875</v>
      </c>
      <c r="B876" s="34">
        <v>12</v>
      </c>
      <c r="C876" s="34">
        <v>3590</v>
      </c>
      <c r="D876" s="34">
        <v>29</v>
      </c>
      <c r="E876" s="34" t="s">
        <v>3</v>
      </c>
      <c r="F876" s="34" t="s">
        <v>4</v>
      </c>
      <c r="G876" s="34" t="s">
        <v>5</v>
      </c>
    </row>
    <row r="877" spans="1:7" x14ac:dyDescent="0.3">
      <c r="A877" s="34">
        <v>876</v>
      </c>
      <c r="B877" s="34">
        <v>11</v>
      </c>
      <c r="C877" s="34">
        <v>1322</v>
      </c>
      <c r="D877" s="34">
        <v>40</v>
      </c>
      <c r="E877" s="34" t="s">
        <v>6</v>
      </c>
      <c r="F877" s="34" t="s">
        <v>4</v>
      </c>
      <c r="G877" s="34" t="s">
        <v>5</v>
      </c>
    </row>
    <row r="878" spans="1:7" x14ac:dyDescent="0.3">
      <c r="A878" s="34">
        <v>877</v>
      </c>
      <c r="B878" s="34">
        <v>18</v>
      </c>
      <c r="C878" s="34">
        <v>1940</v>
      </c>
      <c r="D878" s="34">
        <v>36</v>
      </c>
      <c r="E878" s="34" t="s">
        <v>3</v>
      </c>
      <c r="F878" s="34" t="s">
        <v>8</v>
      </c>
      <c r="G878" s="34" t="s">
        <v>5</v>
      </c>
    </row>
    <row r="879" spans="1:7" x14ac:dyDescent="0.3">
      <c r="A879" s="34">
        <v>878</v>
      </c>
      <c r="B879" s="34">
        <v>36</v>
      </c>
      <c r="C879" s="34">
        <v>3595</v>
      </c>
      <c r="D879" s="34">
        <v>28</v>
      </c>
      <c r="E879" s="34" t="s">
        <v>3</v>
      </c>
      <c r="F879" s="34" t="s">
        <v>4</v>
      </c>
      <c r="G879" s="34" t="s">
        <v>5</v>
      </c>
    </row>
    <row r="880" spans="1:7" x14ac:dyDescent="0.3">
      <c r="A880" s="34">
        <v>879</v>
      </c>
      <c r="B880" s="34">
        <v>9</v>
      </c>
      <c r="C880" s="34">
        <v>1422</v>
      </c>
      <c r="D880" s="34">
        <v>27</v>
      </c>
      <c r="E880" s="34" t="s">
        <v>3</v>
      </c>
      <c r="F880" s="34" t="s">
        <v>8</v>
      </c>
      <c r="G880" s="34" t="s">
        <v>7</v>
      </c>
    </row>
    <row r="881" spans="1:7" x14ac:dyDescent="0.3">
      <c r="A881" s="34">
        <v>880</v>
      </c>
      <c r="B881" s="34">
        <v>30</v>
      </c>
      <c r="C881" s="34">
        <v>6742</v>
      </c>
      <c r="D881" s="34">
        <v>36</v>
      </c>
      <c r="E881" s="34" t="s">
        <v>3</v>
      </c>
      <c r="F881" s="34" t="s">
        <v>4</v>
      </c>
      <c r="G881" s="34" t="s">
        <v>5</v>
      </c>
    </row>
    <row r="882" spans="1:7" x14ac:dyDescent="0.3">
      <c r="A882" s="34">
        <v>881</v>
      </c>
      <c r="B882" s="34">
        <v>24</v>
      </c>
      <c r="C882" s="34">
        <v>7814</v>
      </c>
      <c r="D882" s="34">
        <v>38</v>
      </c>
      <c r="E882" s="34" t="s">
        <v>3</v>
      </c>
      <c r="F882" s="34" t="s">
        <v>4</v>
      </c>
      <c r="G882" s="34" t="s">
        <v>5</v>
      </c>
    </row>
    <row r="883" spans="1:7" x14ac:dyDescent="0.3">
      <c r="A883" s="34">
        <v>882</v>
      </c>
      <c r="B883" s="34">
        <v>24</v>
      </c>
      <c r="C883" s="34">
        <v>9277</v>
      </c>
      <c r="D883" s="34">
        <v>48</v>
      </c>
      <c r="E883" s="34" t="s">
        <v>10</v>
      </c>
      <c r="F883" s="34" t="s">
        <v>8</v>
      </c>
      <c r="G883" s="34" t="s">
        <v>5</v>
      </c>
    </row>
    <row r="884" spans="1:7" x14ac:dyDescent="0.3">
      <c r="A884" s="34">
        <v>883</v>
      </c>
      <c r="B884" s="34">
        <v>30</v>
      </c>
      <c r="C884" s="34">
        <v>2181</v>
      </c>
      <c r="D884" s="34">
        <v>36</v>
      </c>
      <c r="E884" s="34" t="s">
        <v>3</v>
      </c>
      <c r="F884" s="34" t="s">
        <v>4</v>
      </c>
      <c r="G884" s="34" t="s">
        <v>5</v>
      </c>
    </row>
    <row r="885" spans="1:7" x14ac:dyDescent="0.3">
      <c r="A885" s="34">
        <v>884</v>
      </c>
      <c r="B885" s="34">
        <v>18</v>
      </c>
      <c r="C885" s="34">
        <v>1098</v>
      </c>
      <c r="D885" s="34">
        <v>65</v>
      </c>
      <c r="E885" s="34" t="s">
        <v>6</v>
      </c>
      <c r="F885" s="34" t="s">
        <v>4</v>
      </c>
      <c r="G885" s="34" t="s">
        <v>5</v>
      </c>
    </row>
    <row r="886" spans="1:7" x14ac:dyDescent="0.3">
      <c r="A886" s="34">
        <v>885</v>
      </c>
      <c r="B886" s="34">
        <v>24</v>
      </c>
      <c r="C886" s="34">
        <v>4057</v>
      </c>
      <c r="D886" s="34">
        <v>43</v>
      </c>
      <c r="E886" s="34" t="s">
        <v>10</v>
      </c>
      <c r="F886" s="34" t="s">
        <v>4</v>
      </c>
      <c r="G886" s="34" t="s">
        <v>7</v>
      </c>
    </row>
    <row r="887" spans="1:7" x14ac:dyDescent="0.3">
      <c r="A887" s="34">
        <v>886</v>
      </c>
      <c r="B887" s="34">
        <v>12</v>
      </c>
      <c r="C887" s="34">
        <v>795</v>
      </c>
      <c r="D887" s="34">
        <v>53</v>
      </c>
      <c r="E887" s="34" t="s">
        <v>6</v>
      </c>
      <c r="F887" s="34" t="s">
        <v>4</v>
      </c>
      <c r="G887" s="34" t="s">
        <v>7</v>
      </c>
    </row>
    <row r="888" spans="1:7" x14ac:dyDescent="0.3">
      <c r="A888" s="34">
        <v>887</v>
      </c>
      <c r="B888" s="34">
        <v>24</v>
      </c>
      <c r="C888" s="34">
        <v>2825</v>
      </c>
      <c r="D888" s="34">
        <v>34</v>
      </c>
      <c r="E888" s="34" t="s">
        <v>3</v>
      </c>
      <c r="F888" s="34" t="s">
        <v>4</v>
      </c>
      <c r="G888" s="34" t="s">
        <v>5</v>
      </c>
    </row>
    <row r="889" spans="1:7" x14ac:dyDescent="0.3">
      <c r="A889" s="34">
        <v>888</v>
      </c>
      <c r="B889" s="34">
        <v>48</v>
      </c>
      <c r="C889" s="34">
        <v>15672</v>
      </c>
      <c r="D889" s="34">
        <v>23</v>
      </c>
      <c r="E889" s="34" t="s">
        <v>3</v>
      </c>
      <c r="F889" s="34" t="s">
        <v>4</v>
      </c>
      <c r="G889" s="34" t="s">
        <v>7</v>
      </c>
    </row>
    <row r="890" spans="1:7" x14ac:dyDescent="0.3">
      <c r="A890" s="34">
        <v>889</v>
      </c>
      <c r="B890" s="34">
        <v>36</v>
      </c>
      <c r="C890" s="34">
        <v>6614</v>
      </c>
      <c r="D890" s="34">
        <v>34</v>
      </c>
      <c r="E890" s="34" t="s">
        <v>3</v>
      </c>
      <c r="F890" s="34" t="s">
        <v>4</v>
      </c>
      <c r="G890" s="34" t="s">
        <v>5</v>
      </c>
    </row>
    <row r="891" spans="1:7" x14ac:dyDescent="0.3">
      <c r="A891" s="34">
        <v>890</v>
      </c>
      <c r="B891" s="34">
        <v>28</v>
      </c>
      <c r="C891" s="34">
        <v>7824</v>
      </c>
      <c r="D891" s="34">
        <v>40</v>
      </c>
      <c r="E891" s="34" t="s">
        <v>3</v>
      </c>
      <c r="F891" s="34" t="s">
        <v>9</v>
      </c>
      <c r="G891" s="34" t="s">
        <v>5</v>
      </c>
    </row>
    <row r="892" spans="1:7" x14ac:dyDescent="0.3">
      <c r="A892" s="34">
        <v>891</v>
      </c>
      <c r="B892" s="34">
        <v>27</v>
      </c>
      <c r="C892" s="34">
        <v>2442</v>
      </c>
      <c r="D892" s="34">
        <v>43</v>
      </c>
      <c r="E892" s="34" t="s">
        <v>3</v>
      </c>
      <c r="F892" s="34" t="s">
        <v>4</v>
      </c>
      <c r="G892" s="34" t="s">
        <v>5</v>
      </c>
    </row>
    <row r="893" spans="1:7" x14ac:dyDescent="0.3">
      <c r="A893" s="34">
        <v>892</v>
      </c>
      <c r="B893" s="34">
        <v>15</v>
      </c>
      <c r="C893" s="34">
        <v>1829</v>
      </c>
      <c r="D893" s="34">
        <v>46</v>
      </c>
      <c r="E893" s="34" t="s">
        <v>3</v>
      </c>
      <c r="F893" s="34" t="s">
        <v>4</v>
      </c>
      <c r="G893" s="34" t="s">
        <v>5</v>
      </c>
    </row>
    <row r="894" spans="1:7" x14ac:dyDescent="0.3">
      <c r="A894" s="34">
        <v>893</v>
      </c>
      <c r="B894" s="34">
        <v>12</v>
      </c>
      <c r="C894" s="34">
        <v>2171</v>
      </c>
      <c r="D894" s="34">
        <v>38</v>
      </c>
      <c r="E894" s="34" t="s">
        <v>3</v>
      </c>
      <c r="F894" s="34" t="s">
        <v>4</v>
      </c>
      <c r="G894" s="34" t="s">
        <v>5</v>
      </c>
    </row>
    <row r="895" spans="1:7" x14ac:dyDescent="0.3">
      <c r="A895" s="34">
        <v>894</v>
      </c>
      <c r="B895" s="34">
        <v>36</v>
      </c>
      <c r="C895" s="34">
        <v>5800</v>
      </c>
      <c r="D895" s="34">
        <v>34</v>
      </c>
      <c r="E895" s="34" t="s">
        <v>3</v>
      </c>
      <c r="F895" s="34" t="s">
        <v>4</v>
      </c>
      <c r="G895" s="34" t="s">
        <v>5</v>
      </c>
    </row>
    <row r="896" spans="1:7" x14ac:dyDescent="0.3">
      <c r="A896" s="34">
        <v>895</v>
      </c>
      <c r="B896" s="34">
        <v>18</v>
      </c>
      <c r="C896" s="34">
        <v>1169</v>
      </c>
      <c r="D896" s="34">
        <v>29</v>
      </c>
      <c r="E896" s="34" t="s">
        <v>3</v>
      </c>
      <c r="F896" s="34" t="s">
        <v>4</v>
      </c>
      <c r="G896" s="34" t="s">
        <v>5</v>
      </c>
    </row>
    <row r="897" spans="1:7" x14ac:dyDescent="0.3">
      <c r="A897" s="34">
        <v>896</v>
      </c>
      <c r="B897" s="34">
        <v>36</v>
      </c>
      <c r="C897" s="34">
        <v>8947</v>
      </c>
      <c r="D897" s="34">
        <v>31</v>
      </c>
      <c r="E897" s="34" t="s">
        <v>3</v>
      </c>
      <c r="F897" s="34" t="s">
        <v>4</v>
      </c>
      <c r="G897" s="34" t="s">
        <v>5</v>
      </c>
    </row>
    <row r="898" spans="1:7" x14ac:dyDescent="0.3">
      <c r="A898" s="34">
        <v>897</v>
      </c>
      <c r="B898" s="34">
        <v>21</v>
      </c>
      <c r="C898" s="34">
        <v>2606</v>
      </c>
      <c r="D898" s="34">
        <v>28</v>
      </c>
      <c r="E898" s="34" t="s">
        <v>6</v>
      </c>
      <c r="F898" s="34" t="s">
        <v>9</v>
      </c>
      <c r="G898" s="34" t="s">
        <v>5</v>
      </c>
    </row>
    <row r="899" spans="1:7" x14ac:dyDescent="0.3">
      <c r="A899" s="34">
        <v>898</v>
      </c>
      <c r="B899" s="34">
        <v>12</v>
      </c>
      <c r="C899" s="34">
        <v>1592</v>
      </c>
      <c r="D899" s="34">
        <v>35</v>
      </c>
      <c r="E899" s="34" t="s">
        <v>6</v>
      </c>
      <c r="F899" s="34" t="s">
        <v>4</v>
      </c>
      <c r="G899" s="34" t="s">
        <v>5</v>
      </c>
    </row>
    <row r="900" spans="1:7" x14ac:dyDescent="0.3">
      <c r="A900" s="34">
        <v>899</v>
      </c>
      <c r="B900" s="34">
        <v>15</v>
      </c>
      <c r="C900" s="34">
        <v>2186</v>
      </c>
      <c r="D900" s="34">
        <v>33</v>
      </c>
      <c r="E900" s="34" t="s">
        <v>6</v>
      </c>
      <c r="F900" s="34" t="s">
        <v>9</v>
      </c>
      <c r="G900" s="34" t="s">
        <v>5</v>
      </c>
    </row>
    <row r="901" spans="1:7" x14ac:dyDescent="0.3">
      <c r="A901" s="34">
        <v>900</v>
      </c>
      <c r="B901" s="34">
        <v>18</v>
      </c>
      <c r="C901" s="34">
        <v>4153</v>
      </c>
      <c r="D901" s="34">
        <v>42</v>
      </c>
      <c r="E901" s="34" t="s">
        <v>3</v>
      </c>
      <c r="F901" s="34" t="s">
        <v>4</v>
      </c>
      <c r="G901" s="34" t="s">
        <v>7</v>
      </c>
    </row>
    <row r="902" spans="1:7" x14ac:dyDescent="0.3">
      <c r="A902" s="34">
        <v>901</v>
      </c>
      <c r="B902" s="34">
        <v>16</v>
      </c>
      <c r="C902" s="34">
        <v>2625</v>
      </c>
      <c r="D902" s="34">
        <v>43</v>
      </c>
      <c r="E902" s="34" t="s">
        <v>3</v>
      </c>
      <c r="F902" s="34" t="s">
        <v>9</v>
      </c>
      <c r="G902" s="34" t="s">
        <v>7</v>
      </c>
    </row>
    <row r="903" spans="1:7" x14ac:dyDescent="0.3">
      <c r="A903" s="34">
        <v>902</v>
      </c>
      <c r="B903" s="34">
        <v>20</v>
      </c>
      <c r="C903" s="34">
        <v>3485</v>
      </c>
      <c r="D903" s="34">
        <v>44</v>
      </c>
      <c r="E903" s="34" t="s">
        <v>10</v>
      </c>
      <c r="F903" s="34" t="s">
        <v>4</v>
      </c>
      <c r="G903" s="34" t="s">
        <v>5</v>
      </c>
    </row>
    <row r="904" spans="1:7" x14ac:dyDescent="0.3">
      <c r="A904" s="34">
        <v>903</v>
      </c>
      <c r="B904" s="34">
        <v>36</v>
      </c>
      <c r="C904" s="34">
        <v>10477</v>
      </c>
      <c r="D904" s="34">
        <v>42</v>
      </c>
      <c r="E904" s="34" t="s">
        <v>3</v>
      </c>
      <c r="F904" s="34" t="s">
        <v>8</v>
      </c>
      <c r="G904" s="34" t="s">
        <v>5</v>
      </c>
    </row>
    <row r="905" spans="1:7" x14ac:dyDescent="0.3">
      <c r="A905" s="34">
        <v>904</v>
      </c>
      <c r="B905" s="34">
        <v>15</v>
      </c>
      <c r="C905" s="34">
        <v>1386</v>
      </c>
      <c r="D905" s="34">
        <v>40</v>
      </c>
      <c r="E905" s="34" t="s">
        <v>11</v>
      </c>
      <c r="F905" s="34" t="s">
        <v>9</v>
      </c>
      <c r="G905" s="34" t="s">
        <v>5</v>
      </c>
    </row>
    <row r="906" spans="1:7" x14ac:dyDescent="0.3">
      <c r="A906" s="34">
        <v>905</v>
      </c>
      <c r="B906" s="34">
        <v>24</v>
      </c>
      <c r="C906" s="34">
        <v>1278</v>
      </c>
      <c r="D906" s="34">
        <v>36</v>
      </c>
      <c r="E906" s="34" t="s">
        <v>3</v>
      </c>
      <c r="F906" s="34" t="s">
        <v>4</v>
      </c>
      <c r="G906" s="34" t="s">
        <v>5</v>
      </c>
    </row>
    <row r="907" spans="1:7" x14ac:dyDescent="0.3">
      <c r="A907" s="34">
        <v>906</v>
      </c>
      <c r="B907" s="34">
        <v>12</v>
      </c>
      <c r="C907" s="34">
        <v>1107</v>
      </c>
      <c r="D907" s="34">
        <v>20</v>
      </c>
      <c r="E907" s="34" t="s">
        <v>3</v>
      </c>
      <c r="F907" s="34" t="s">
        <v>9</v>
      </c>
      <c r="G907" s="34" t="s">
        <v>5</v>
      </c>
    </row>
    <row r="908" spans="1:7" x14ac:dyDescent="0.3">
      <c r="A908" s="34">
        <v>907</v>
      </c>
      <c r="B908" s="34">
        <v>21</v>
      </c>
      <c r="C908" s="34">
        <v>3763</v>
      </c>
      <c r="D908" s="34">
        <v>24</v>
      </c>
      <c r="E908" s="34" t="s">
        <v>3</v>
      </c>
      <c r="F908" s="34" t="s">
        <v>4</v>
      </c>
      <c r="G908" s="34" t="s">
        <v>5</v>
      </c>
    </row>
    <row r="909" spans="1:7" x14ac:dyDescent="0.3">
      <c r="A909" s="34">
        <v>908</v>
      </c>
      <c r="B909" s="34">
        <v>36</v>
      </c>
      <c r="C909" s="34">
        <v>3711</v>
      </c>
      <c r="D909" s="34">
        <v>27</v>
      </c>
      <c r="E909" s="34" t="s">
        <v>11</v>
      </c>
      <c r="F909" s="34" t="s">
        <v>4</v>
      </c>
      <c r="G909" s="34" t="s">
        <v>5</v>
      </c>
    </row>
    <row r="910" spans="1:7" x14ac:dyDescent="0.3">
      <c r="A910" s="34">
        <v>909</v>
      </c>
      <c r="B910" s="34">
        <v>15</v>
      </c>
      <c r="C910" s="34">
        <v>3594</v>
      </c>
      <c r="D910" s="34">
        <v>46</v>
      </c>
      <c r="E910" s="34" t="s">
        <v>6</v>
      </c>
      <c r="F910" s="34" t="s">
        <v>4</v>
      </c>
      <c r="G910" s="34" t="s">
        <v>5</v>
      </c>
    </row>
    <row r="911" spans="1:7" x14ac:dyDescent="0.3">
      <c r="A911" s="34">
        <v>910</v>
      </c>
      <c r="B911" s="34">
        <v>9</v>
      </c>
      <c r="C911" s="34">
        <v>3195</v>
      </c>
      <c r="D911" s="34">
        <v>33</v>
      </c>
      <c r="E911" s="34" t="s">
        <v>6</v>
      </c>
      <c r="F911" s="34" t="s">
        <v>4</v>
      </c>
      <c r="G911" s="34" t="s">
        <v>5</v>
      </c>
    </row>
    <row r="912" spans="1:7" x14ac:dyDescent="0.3">
      <c r="A912" s="34">
        <v>911</v>
      </c>
      <c r="B912" s="34">
        <v>36</v>
      </c>
      <c r="C912" s="34">
        <v>4454</v>
      </c>
      <c r="D912" s="34">
        <v>34</v>
      </c>
      <c r="E912" s="34" t="s">
        <v>6</v>
      </c>
      <c r="F912" s="34" t="s">
        <v>4</v>
      </c>
      <c r="G912" s="34" t="s">
        <v>5</v>
      </c>
    </row>
    <row r="913" spans="1:7" x14ac:dyDescent="0.3">
      <c r="A913" s="34">
        <v>912</v>
      </c>
      <c r="B913" s="34">
        <v>24</v>
      </c>
      <c r="C913" s="34">
        <v>4736</v>
      </c>
      <c r="D913" s="34">
        <v>25</v>
      </c>
      <c r="E913" s="34" t="s">
        <v>6</v>
      </c>
      <c r="F913" s="34" t="s">
        <v>4</v>
      </c>
      <c r="G913" s="34" t="s">
        <v>7</v>
      </c>
    </row>
    <row r="914" spans="1:7" x14ac:dyDescent="0.3">
      <c r="A914" s="34">
        <v>913</v>
      </c>
      <c r="B914" s="34">
        <v>30</v>
      </c>
      <c r="C914" s="34">
        <v>2991</v>
      </c>
      <c r="D914" s="34">
        <v>25</v>
      </c>
      <c r="E914" s="34" t="s">
        <v>6</v>
      </c>
      <c r="F914" s="34" t="s">
        <v>4</v>
      </c>
      <c r="G914" s="34" t="s">
        <v>5</v>
      </c>
    </row>
    <row r="915" spans="1:7" x14ac:dyDescent="0.3">
      <c r="A915" s="34">
        <v>914</v>
      </c>
      <c r="B915" s="34">
        <v>11</v>
      </c>
      <c r="C915" s="34">
        <v>2142</v>
      </c>
      <c r="D915" s="34">
        <v>28</v>
      </c>
      <c r="E915" s="34" t="s">
        <v>10</v>
      </c>
      <c r="F915" s="34" t="s">
        <v>4</v>
      </c>
      <c r="G915" s="34" t="s">
        <v>5</v>
      </c>
    </row>
    <row r="916" spans="1:7" x14ac:dyDescent="0.3">
      <c r="A916" s="34">
        <v>915</v>
      </c>
      <c r="B916" s="34">
        <v>24</v>
      </c>
      <c r="C916" s="34">
        <v>3161</v>
      </c>
      <c r="D916" s="34">
        <v>31</v>
      </c>
      <c r="E916" s="34" t="s">
        <v>3</v>
      </c>
      <c r="F916" s="34" t="s">
        <v>9</v>
      </c>
      <c r="G916" s="34" t="s">
        <v>7</v>
      </c>
    </row>
    <row r="917" spans="1:7" x14ac:dyDescent="0.3">
      <c r="A917" s="34">
        <v>916</v>
      </c>
      <c r="B917" s="34">
        <v>48</v>
      </c>
      <c r="C917" s="34">
        <v>18424</v>
      </c>
      <c r="D917" s="34">
        <v>32</v>
      </c>
      <c r="E917" s="34" t="s">
        <v>6</v>
      </c>
      <c r="F917" s="34" t="s">
        <v>4</v>
      </c>
      <c r="G917" s="34" t="s">
        <v>7</v>
      </c>
    </row>
    <row r="918" spans="1:7" x14ac:dyDescent="0.3">
      <c r="A918" s="34">
        <v>917</v>
      </c>
      <c r="B918" s="34">
        <v>10</v>
      </c>
      <c r="C918" s="34">
        <v>2848</v>
      </c>
      <c r="D918" s="34">
        <v>32</v>
      </c>
      <c r="E918" s="34" t="s">
        <v>3</v>
      </c>
      <c r="F918" s="34" t="s">
        <v>4</v>
      </c>
      <c r="G918" s="34" t="s">
        <v>5</v>
      </c>
    </row>
    <row r="919" spans="1:7" x14ac:dyDescent="0.3">
      <c r="A919" s="34">
        <v>918</v>
      </c>
      <c r="B919" s="34">
        <v>6</v>
      </c>
      <c r="C919" s="34">
        <v>14896</v>
      </c>
      <c r="D919" s="34">
        <v>68</v>
      </c>
      <c r="E919" s="34" t="s">
        <v>3</v>
      </c>
      <c r="F919" s="34" t="s">
        <v>4</v>
      </c>
      <c r="G919" s="34" t="s">
        <v>7</v>
      </c>
    </row>
    <row r="920" spans="1:7" x14ac:dyDescent="0.3">
      <c r="A920" s="34">
        <v>919</v>
      </c>
      <c r="B920" s="34">
        <v>24</v>
      </c>
      <c r="C920" s="34">
        <v>2359</v>
      </c>
      <c r="D920" s="34">
        <v>33</v>
      </c>
      <c r="E920" s="34" t="s">
        <v>10</v>
      </c>
      <c r="F920" s="34" t="s">
        <v>4</v>
      </c>
      <c r="G920" s="34" t="s">
        <v>7</v>
      </c>
    </row>
    <row r="921" spans="1:7" x14ac:dyDescent="0.3">
      <c r="A921" s="34">
        <v>920</v>
      </c>
      <c r="B921" s="34">
        <v>24</v>
      </c>
      <c r="C921" s="34">
        <v>3345</v>
      </c>
      <c r="D921" s="34">
        <v>39</v>
      </c>
      <c r="E921" s="34" t="s">
        <v>3</v>
      </c>
      <c r="F921" s="34" t="s">
        <v>9</v>
      </c>
      <c r="G921" s="34" t="s">
        <v>7</v>
      </c>
    </row>
    <row r="922" spans="1:7" x14ac:dyDescent="0.3">
      <c r="A922" s="34">
        <v>921</v>
      </c>
      <c r="B922" s="34">
        <v>18</v>
      </c>
      <c r="C922" s="34">
        <v>1817</v>
      </c>
      <c r="D922" s="34">
        <v>28</v>
      </c>
      <c r="E922" s="34" t="s">
        <v>6</v>
      </c>
      <c r="F922" s="34" t="s">
        <v>4</v>
      </c>
      <c r="G922" s="34" t="s">
        <v>5</v>
      </c>
    </row>
    <row r="923" spans="1:7" x14ac:dyDescent="0.3">
      <c r="A923" s="34">
        <v>922</v>
      </c>
      <c r="B923" s="34">
        <v>48</v>
      </c>
      <c r="C923" s="34">
        <v>12749</v>
      </c>
      <c r="D923" s="34">
        <v>37</v>
      </c>
      <c r="E923" s="34" t="s">
        <v>3</v>
      </c>
      <c r="F923" s="34" t="s">
        <v>4</v>
      </c>
      <c r="G923" s="34" t="s">
        <v>5</v>
      </c>
    </row>
    <row r="924" spans="1:7" x14ac:dyDescent="0.3">
      <c r="A924" s="34">
        <v>923</v>
      </c>
      <c r="B924" s="34">
        <v>9</v>
      </c>
      <c r="C924" s="34">
        <v>1366</v>
      </c>
      <c r="D924" s="34">
        <v>22</v>
      </c>
      <c r="E924" s="34" t="s">
        <v>6</v>
      </c>
      <c r="F924" s="34" t="s">
        <v>9</v>
      </c>
      <c r="G924" s="34" t="s">
        <v>7</v>
      </c>
    </row>
    <row r="925" spans="1:7" x14ac:dyDescent="0.3">
      <c r="A925" s="34">
        <v>924</v>
      </c>
      <c r="B925" s="34">
        <v>12</v>
      </c>
      <c r="C925" s="34">
        <v>2002</v>
      </c>
      <c r="D925" s="34">
        <v>30</v>
      </c>
      <c r="E925" s="34" t="s">
        <v>3</v>
      </c>
      <c r="F925" s="34" t="s">
        <v>9</v>
      </c>
      <c r="G925" s="34" t="s">
        <v>5</v>
      </c>
    </row>
    <row r="926" spans="1:7" x14ac:dyDescent="0.3">
      <c r="A926" s="34">
        <v>925</v>
      </c>
      <c r="B926" s="34">
        <v>24</v>
      </c>
      <c r="C926" s="34">
        <v>6872</v>
      </c>
      <c r="D926" s="34">
        <v>55</v>
      </c>
      <c r="E926" s="34" t="s">
        <v>10</v>
      </c>
      <c r="F926" s="34" t="s">
        <v>4</v>
      </c>
      <c r="G926" s="34" t="s">
        <v>7</v>
      </c>
    </row>
    <row r="927" spans="1:7" x14ac:dyDescent="0.3">
      <c r="A927" s="34">
        <v>926</v>
      </c>
      <c r="B927" s="34">
        <v>12</v>
      </c>
      <c r="C927" s="34">
        <v>697</v>
      </c>
      <c r="D927" s="34">
        <v>46</v>
      </c>
      <c r="E927" s="34" t="s">
        <v>3</v>
      </c>
      <c r="F927" s="34" t="s">
        <v>4</v>
      </c>
      <c r="G927" s="34" t="s">
        <v>7</v>
      </c>
    </row>
    <row r="928" spans="1:7" x14ac:dyDescent="0.3">
      <c r="A928" s="34">
        <v>927</v>
      </c>
      <c r="B928" s="34">
        <v>18</v>
      </c>
      <c r="C928" s="34">
        <v>1049</v>
      </c>
      <c r="D928" s="34">
        <v>21</v>
      </c>
      <c r="E928" s="34" t="s">
        <v>6</v>
      </c>
      <c r="F928" s="34" t="s">
        <v>9</v>
      </c>
      <c r="G928" s="34" t="s">
        <v>5</v>
      </c>
    </row>
    <row r="929" spans="1:7" x14ac:dyDescent="0.3">
      <c r="A929" s="34">
        <v>928</v>
      </c>
      <c r="B929" s="34">
        <v>48</v>
      </c>
      <c r="C929" s="34">
        <v>10297</v>
      </c>
      <c r="D929" s="34">
        <v>39</v>
      </c>
      <c r="E929" s="34" t="s">
        <v>3</v>
      </c>
      <c r="F929" s="34" t="s">
        <v>8</v>
      </c>
      <c r="G929" s="34" t="s">
        <v>7</v>
      </c>
    </row>
    <row r="930" spans="1:7" x14ac:dyDescent="0.3">
      <c r="A930" s="34">
        <v>929</v>
      </c>
      <c r="B930" s="34">
        <v>30</v>
      </c>
      <c r="C930" s="34">
        <v>1867</v>
      </c>
      <c r="D930" s="34">
        <v>58</v>
      </c>
      <c r="E930" s="34" t="s">
        <v>3</v>
      </c>
      <c r="F930" s="34" t="s">
        <v>4</v>
      </c>
      <c r="G930" s="34" t="s">
        <v>5</v>
      </c>
    </row>
    <row r="931" spans="1:7" x14ac:dyDescent="0.3">
      <c r="A931" s="34">
        <v>930</v>
      </c>
      <c r="B931" s="34">
        <v>12</v>
      </c>
      <c r="C931" s="34">
        <v>1344</v>
      </c>
      <c r="D931" s="34">
        <v>43</v>
      </c>
      <c r="E931" s="34" t="s">
        <v>3</v>
      </c>
      <c r="F931" s="34" t="s">
        <v>4</v>
      </c>
      <c r="G931" s="34" t="s">
        <v>5</v>
      </c>
    </row>
    <row r="932" spans="1:7" x14ac:dyDescent="0.3">
      <c r="A932" s="34">
        <v>931</v>
      </c>
      <c r="B932" s="34">
        <v>24</v>
      </c>
      <c r="C932" s="34">
        <v>1747</v>
      </c>
      <c r="D932" s="34">
        <v>24</v>
      </c>
      <c r="E932" s="34" t="s">
        <v>3</v>
      </c>
      <c r="F932" s="34" t="s">
        <v>4</v>
      </c>
      <c r="G932" s="34" t="s">
        <v>5</v>
      </c>
    </row>
    <row r="933" spans="1:7" x14ac:dyDescent="0.3">
      <c r="A933" s="34">
        <v>932</v>
      </c>
      <c r="B933" s="34">
        <v>9</v>
      </c>
      <c r="C933" s="34">
        <v>1670</v>
      </c>
      <c r="D933" s="34">
        <v>22</v>
      </c>
      <c r="E933" s="34" t="s">
        <v>6</v>
      </c>
      <c r="F933" s="34" t="s">
        <v>4</v>
      </c>
      <c r="G933" s="34" t="s">
        <v>7</v>
      </c>
    </row>
    <row r="934" spans="1:7" x14ac:dyDescent="0.3">
      <c r="A934" s="34">
        <v>933</v>
      </c>
      <c r="B934" s="34">
        <v>9</v>
      </c>
      <c r="C934" s="34">
        <v>1224</v>
      </c>
      <c r="D934" s="34">
        <v>30</v>
      </c>
      <c r="E934" s="34" t="s">
        <v>3</v>
      </c>
      <c r="F934" s="34" t="s">
        <v>4</v>
      </c>
      <c r="G934" s="34" t="s">
        <v>5</v>
      </c>
    </row>
    <row r="935" spans="1:7" x14ac:dyDescent="0.3">
      <c r="A935" s="34">
        <v>934</v>
      </c>
      <c r="B935" s="34">
        <v>12</v>
      </c>
      <c r="C935" s="34">
        <v>522</v>
      </c>
      <c r="D935" s="34">
        <v>42</v>
      </c>
      <c r="E935" s="34" t="s">
        <v>3</v>
      </c>
      <c r="F935" s="34" t="s">
        <v>4</v>
      </c>
      <c r="G935" s="34" t="s">
        <v>5</v>
      </c>
    </row>
    <row r="936" spans="1:7" x14ac:dyDescent="0.3">
      <c r="A936" s="34">
        <v>935</v>
      </c>
      <c r="B936" s="34">
        <v>12</v>
      </c>
      <c r="C936" s="34">
        <v>1498</v>
      </c>
      <c r="D936" s="34">
        <v>23</v>
      </c>
      <c r="E936" s="34" t="s">
        <v>6</v>
      </c>
      <c r="F936" s="34" t="s">
        <v>4</v>
      </c>
      <c r="G936" s="34" t="s">
        <v>5</v>
      </c>
    </row>
    <row r="937" spans="1:7" x14ac:dyDescent="0.3">
      <c r="A937" s="34">
        <v>936</v>
      </c>
      <c r="B937" s="34">
        <v>30</v>
      </c>
      <c r="C937" s="34">
        <v>1919</v>
      </c>
      <c r="D937" s="34">
        <v>30</v>
      </c>
      <c r="E937" s="34" t="s">
        <v>3</v>
      </c>
      <c r="F937" s="34" t="s">
        <v>4</v>
      </c>
      <c r="G937" s="34" t="s">
        <v>7</v>
      </c>
    </row>
    <row r="938" spans="1:7" x14ac:dyDescent="0.3">
      <c r="A938" s="34">
        <v>937</v>
      </c>
      <c r="B938" s="34">
        <v>9</v>
      </c>
      <c r="C938" s="34">
        <v>745</v>
      </c>
      <c r="D938" s="34">
        <v>28</v>
      </c>
      <c r="E938" s="34" t="s">
        <v>6</v>
      </c>
      <c r="F938" s="34" t="s">
        <v>4</v>
      </c>
      <c r="G938" s="34" t="s">
        <v>7</v>
      </c>
    </row>
    <row r="939" spans="1:7" x14ac:dyDescent="0.3">
      <c r="A939" s="34">
        <v>938</v>
      </c>
      <c r="B939" s="34">
        <v>6</v>
      </c>
      <c r="C939" s="34">
        <v>2063</v>
      </c>
      <c r="D939" s="34">
        <v>30</v>
      </c>
      <c r="E939" s="34" t="s">
        <v>11</v>
      </c>
      <c r="F939" s="34" t="s">
        <v>9</v>
      </c>
      <c r="G939" s="34" t="s">
        <v>5</v>
      </c>
    </row>
    <row r="940" spans="1:7" x14ac:dyDescent="0.3">
      <c r="A940" s="34">
        <v>939</v>
      </c>
      <c r="B940" s="34">
        <v>60</v>
      </c>
      <c r="C940" s="34">
        <v>6288</v>
      </c>
      <c r="D940" s="34">
        <v>42</v>
      </c>
      <c r="E940" s="34" t="s">
        <v>3</v>
      </c>
      <c r="F940" s="34" t="s">
        <v>8</v>
      </c>
      <c r="G940" s="34" t="s">
        <v>7</v>
      </c>
    </row>
    <row r="941" spans="1:7" x14ac:dyDescent="0.3">
      <c r="A941" s="34">
        <v>940</v>
      </c>
      <c r="B941" s="34">
        <v>24</v>
      </c>
      <c r="C941" s="34">
        <v>6842</v>
      </c>
      <c r="D941" s="34">
        <v>46</v>
      </c>
      <c r="E941" s="34" t="s">
        <v>3</v>
      </c>
      <c r="F941" s="34" t="s">
        <v>4</v>
      </c>
      <c r="G941" s="34" t="s">
        <v>5</v>
      </c>
    </row>
    <row r="942" spans="1:7" x14ac:dyDescent="0.3">
      <c r="A942" s="34">
        <v>941</v>
      </c>
      <c r="B942" s="34">
        <v>12</v>
      </c>
      <c r="C942" s="34">
        <v>3527</v>
      </c>
      <c r="D942" s="34">
        <v>45</v>
      </c>
      <c r="E942" s="34" t="s">
        <v>3</v>
      </c>
      <c r="F942" s="34" t="s">
        <v>4</v>
      </c>
      <c r="G942" s="34" t="s">
        <v>5</v>
      </c>
    </row>
    <row r="943" spans="1:7" x14ac:dyDescent="0.3">
      <c r="A943" s="34">
        <v>942</v>
      </c>
      <c r="B943" s="34">
        <v>10</v>
      </c>
      <c r="C943" s="34">
        <v>1546</v>
      </c>
      <c r="D943" s="34">
        <v>31</v>
      </c>
      <c r="E943" s="34" t="s">
        <v>3</v>
      </c>
      <c r="F943" s="34" t="s">
        <v>4</v>
      </c>
      <c r="G943" s="34" t="s">
        <v>5</v>
      </c>
    </row>
    <row r="944" spans="1:7" x14ac:dyDescent="0.3">
      <c r="A944" s="34">
        <v>943</v>
      </c>
      <c r="B944" s="34">
        <v>24</v>
      </c>
      <c r="C944" s="34">
        <v>929</v>
      </c>
      <c r="D944" s="34">
        <v>31</v>
      </c>
      <c r="E944" s="34" t="s">
        <v>3</v>
      </c>
      <c r="F944" s="34" t="s">
        <v>4</v>
      </c>
      <c r="G944" s="34" t="s">
        <v>5</v>
      </c>
    </row>
    <row r="945" spans="1:7" x14ac:dyDescent="0.3">
      <c r="A945" s="34">
        <v>944</v>
      </c>
      <c r="B945" s="34">
        <v>4</v>
      </c>
      <c r="C945" s="34">
        <v>1455</v>
      </c>
      <c r="D945" s="34">
        <v>42</v>
      </c>
      <c r="E945" s="34" t="s">
        <v>3</v>
      </c>
      <c r="F945" s="34" t="s">
        <v>4</v>
      </c>
      <c r="G945" s="34" t="s">
        <v>5</v>
      </c>
    </row>
    <row r="946" spans="1:7" x14ac:dyDescent="0.3">
      <c r="A946" s="34">
        <v>945</v>
      </c>
      <c r="B946" s="34">
        <v>15</v>
      </c>
      <c r="C946" s="34">
        <v>1845</v>
      </c>
      <c r="D946" s="34">
        <v>46</v>
      </c>
      <c r="E946" s="34" t="s">
        <v>6</v>
      </c>
      <c r="F946" s="34" t="s">
        <v>9</v>
      </c>
      <c r="G946" s="34" t="s">
        <v>5</v>
      </c>
    </row>
    <row r="947" spans="1:7" x14ac:dyDescent="0.3">
      <c r="A947" s="34">
        <v>946</v>
      </c>
      <c r="B947" s="34">
        <v>48</v>
      </c>
      <c r="C947" s="34">
        <v>8358</v>
      </c>
      <c r="D947" s="34">
        <v>30</v>
      </c>
      <c r="E947" s="34" t="s">
        <v>6</v>
      </c>
      <c r="F947" s="34" t="s">
        <v>4</v>
      </c>
      <c r="G947" s="34" t="s">
        <v>5</v>
      </c>
    </row>
    <row r="948" spans="1:7" x14ac:dyDescent="0.3">
      <c r="A948" s="34">
        <v>947</v>
      </c>
      <c r="B948" s="34">
        <v>24</v>
      </c>
      <c r="C948" s="34">
        <v>3349</v>
      </c>
      <c r="D948" s="34">
        <v>30</v>
      </c>
      <c r="E948" s="34" t="s">
        <v>3</v>
      </c>
      <c r="F948" s="34" t="s">
        <v>8</v>
      </c>
      <c r="G948" s="34" t="s">
        <v>7</v>
      </c>
    </row>
    <row r="949" spans="1:7" x14ac:dyDescent="0.3">
      <c r="A949" s="34">
        <v>948</v>
      </c>
      <c r="B949" s="34">
        <v>12</v>
      </c>
      <c r="C949" s="34">
        <v>2859</v>
      </c>
      <c r="D949" s="34">
        <v>38</v>
      </c>
      <c r="E949" s="34" t="s">
        <v>3</v>
      </c>
      <c r="F949" s="34" t="s">
        <v>4</v>
      </c>
      <c r="G949" s="34" t="s">
        <v>5</v>
      </c>
    </row>
    <row r="950" spans="1:7" x14ac:dyDescent="0.3">
      <c r="A950" s="34">
        <v>949</v>
      </c>
      <c r="B950" s="34">
        <v>18</v>
      </c>
      <c r="C950" s="34">
        <v>1533</v>
      </c>
      <c r="D950" s="34">
        <v>43</v>
      </c>
      <c r="E950" s="34" t="s">
        <v>11</v>
      </c>
      <c r="F950" s="34" t="s">
        <v>4</v>
      </c>
      <c r="G950" s="34" t="s">
        <v>7</v>
      </c>
    </row>
    <row r="951" spans="1:7" x14ac:dyDescent="0.3">
      <c r="A951" s="34">
        <v>950</v>
      </c>
      <c r="B951" s="34">
        <v>24</v>
      </c>
      <c r="C951" s="34">
        <v>3621</v>
      </c>
      <c r="D951" s="34">
        <v>31</v>
      </c>
      <c r="E951" s="34" t="s">
        <v>3</v>
      </c>
      <c r="F951" s="34" t="s">
        <v>4</v>
      </c>
      <c r="G951" s="34" t="s">
        <v>7</v>
      </c>
    </row>
    <row r="952" spans="1:7" x14ac:dyDescent="0.3">
      <c r="A952" s="34">
        <v>951</v>
      </c>
      <c r="B952" s="34">
        <v>18</v>
      </c>
      <c r="C952" s="34">
        <v>3590</v>
      </c>
      <c r="D952" s="34">
        <v>40</v>
      </c>
      <c r="E952" s="34" t="s">
        <v>11</v>
      </c>
      <c r="F952" s="34" t="s">
        <v>4</v>
      </c>
      <c r="G952" s="34" t="s">
        <v>5</v>
      </c>
    </row>
    <row r="953" spans="1:7" x14ac:dyDescent="0.3">
      <c r="A953" s="34">
        <v>952</v>
      </c>
      <c r="B953" s="34">
        <v>36</v>
      </c>
      <c r="C953" s="34">
        <v>2145</v>
      </c>
      <c r="D953" s="34">
        <v>24</v>
      </c>
      <c r="E953" s="34" t="s">
        <v>3</v>
      </c>
      <c r="F953" s="34" t="s">
        <v>4</v>
      </c>
      <c r="G953" s="34" t="s">
        <v>7</v>
      </c>
    </row>
    <row r="954" spans="1:7" x14ac:dyDescent="0.3">
      <c r="A954" s="34">
        <v>953</v>
      </c>
      <c r="B954" s="34">
        <v>24</v>
      </c>
      <c r="C954" s="34">
        <v>4113</v>
      </c>
      <c r="D954" s="34">
        <v>28</v>
      </c>
      <c r="E954" s="34" t="s">
        <v>6</v>
      </c>
      <c r="F954" s="34" t="s">
        <v>9</v>
      </c>
      <c r="G954" s="34" t="s">
        <v>7</v>
      </c>
    </row>
    <row r="955" spans="1:7" x14ac:dyDescent="0.3">
      <c r="A955" s="34">
        <v>954</v>
      </c>
      <c r="B955" s="34">
        <v>36</v>
      </c>
      <c r="C955" s="34">
        <v>10974</v>
      </c>
      <c r="D955" s="34">
        <v>26</v>
      </c>
      <c r="E955" s="34" t="s">
        <v>6</v>
      </c>
      <c r="F955" s="34" t="s">
        <v>4</v>
      </c>
      <c r="G955" s="34" t="s">
        <v>7</v>
      </c>
    </row>
    <row r="956" spans="1:7" x14ac:dyDescent="0.3">
      <c r="A956" s="34">
        <v>955</v>
      </c>
      <c r="B956" s="34">
        <v>12</v>
      </c>
      <c r="C956" s="34">
        <v>1893</v>
      </c>
      <c r="D956" s="34">
        <v>29</v>
      </c>
      <c r="E956" s="34" t="s">
        <v>6</v>
      </c>
      <c r="F956" s="34" t="s">
        <v>4</v>
      </c>
      <c r="G956" s="34" t="s">
        <v>5</v>
      </c>
    </row>
    <row r="957" spans="1:7" x14ac:dyDescent="0.3">
      <c r="A957" s="34">
        <v>956</v>
      </c>
      <c r="B957" s="34">
        <v>24</v>
      </c>
      <c r="C957" s="34">
        <v>1231</v>
      </c>
      <c r="D957" s="34">
        <v>57</v>
      </c>
      <c r="E957" s="34" t="s">
        <v>6</v>
      </c>
      <c r="F957" s="34" t="s">
        <v>9</v>
      </c>
      <c r="G957" s="34" t="s">
        <v>5</v>
      </c>
    </row>
    <row r="958" spans="1:7" x14ac:dyDescent="0.3">
      <c r="A958" s="34">
        <v>957</v>
      </c>
      <c r="B958" s="34">
        <v>30</v>
      </c>
      <c r="C958" s="34">
        <v>3656</v>
      </c>
      <c r="D958" s="34">
        <v>49</v>
      </c>
      <c r="E958" s="34" t="s">
        <v>3</v>
      </c>
      <c r="F958" s="34" t="s">
        <v>4</v>
      </c>
      <c r="G958" s="34" t="s">
        <v>5</v>
      </c>
    </row>
    <row r="959" spans="1:7" x14ac:dyDescent="0.3">
      <c r="A959" s="34">
        <v>958</v>
      </c>
      <c r="B959" s="34">
        <v>9</v>
      </c>
      <c r="C959" s="34">
        <v>1154</v>
      </c>
      <c r="D959" s="34">
        <v>37</v>
      </c>
      <c r="E959" s="34" t="s">
        <v>3</v>
      </c>
      <c r="F959" s="34" t="s">
        <v>4</v>
      </c>
      <c r="G959" s="34" t="s">
        <v>5</v>
      </c>
    </row>
    <row r="960" spans="1:7" x14ac:dyDescent="0.3">
      <c r="A960" s="34">
        <v>959</v>
      </c>
      <c r="B960" s="34">
        <v>28</v>
      </c>
      <c r="C960" s="34">
        <v>4006</v>
      </c>
      <c r="D960" s="34">
        <v>45</v>
      </c>
      <c r="E960" s="34" t="s">
        <v>3</v>
      </c>
      <c r="F960" s="34" t="s">
        <v>4</v>
      </c>
      <c r="G960" s="34" t="s">
        <v>7</v>
      </c>
    </row>
    <row r="961" spans="1:7" x14ac:dyDescent="0.3">
      <c r="A961" s="34">
        <v>960</v>
      </c>
      <c r="B961" s="34">
        <v>24</v>
      </c>
      <c r="C961" s="34">
        <v>3069</v>
      </c>
      <c r="D961" s="34">
        <v>30</v>
      </c>
      <c r="E961" s="34" t="s">
        <v>3</v>
      </c>
      <c r="F961" s="34" t="s">
        <v>8</v>
      </c>
      <c r="G961" s="34" t="s">
        <v>5</v>
      </c>
    </row>
    <row r="962" spans="1:7" x14ac:dyDescent="0.3">
      <c r="A962" s="34">
        <v>961</v>
      </c>
      <c r="B962" s="34">
        <v>6</v>
      </c>
      <c r="C962" s="34">
        <v>1740</v>
      </c>
      <c r="D962" s="34">
        <v>30</v>
      </c>
      <c r="E962" s="34" t="s">
        <v>11</v>
      </c>
      <c r="F962" s="34" t="s">
        <v>9</v>
      </c>
      <c r="G962" s="34" t="s">
        <v>5</v>
      </c>
    </row>
    <row r="963" spans="1:7" x14ac:dyDescent="0.3">
      <c r="A963" s="34">
        <v>962</v>
      </c>
      <c r="B963" s="34">
        <v>21</v>
      </c>
      <c r="C963" s="34">
        <v>2353</v>
      </c>
      <c r="D963" s="34">
        <v>47</v>
      </c>
      <c r="E963" s="34" t="s">
        <v>10</v>
      </c>
      <c r="F963" s="34" t="s">
        <v>4</v>
      </c>
      <c r="G963" s="34" t="s">
        <v>5</v>
      </c>
    </row>
    <row r="964" spans="1:7" x14ac:dyDescent="0.3">
      <c r="A964" s="34">
        <v>963</v>
      </c>
      <c r="B964" s="34">
        <v>15</v>
      </c>
      <c r="C964" s="34">
        <v>3556</v>
      </c>
      <c r="D964" s="34">
        <v>29</v>
      </c>
      <c r="E964" s="34" t="s">
        <v>3</v>
      </c>
      <c r="F964" s="34" t="s">
        <v>4</v>
      </c>
      <c r="G964" s="34" t="s">
        <v>5</v>
      </c>
    </row>
    <row r="965" spans="1:7" x14ac:dyDescent="0.3">
      <c r="A965" s="34">
        <v>964</v>
      </c>
      <c r="B965" s="34">
        <v>24</v>
      </c>
      <c r="C965" s="34">
        <v>2397</v>
      </c>
      <c r="D965" s="34">
        <v>35</v>
      </c>
      <c r="E965" s="34" t="s">
        <v>3</v>
      </c>
      <c r="F965" s="34" t="s">
        <v>4</v>
      </c>
      <c r="G965" s="34" t="s">
        <v>7</v>
      </c>
    </row>
    <row r="966" spans="1:7" x14ac:dyDescent="0.3">
      <c r="A966" s="34">
        <v>965</v>
      </c>
      <c r="B966" s="34">
        <v>6</v>
      </c>
      <c r="C966" s="34">
        <v>454</v>
      </c>
      <c r="D966" s="34">
        <v>22</v>
      </c>
      <c r="E966" s="34" t="s">
        <v>11</v>
      </c>
      <c r="F966" s="34" t="s">
        <v>4</v>
      </c>
      <c r="G966" s="34" t="s">
        <v>5</v>
      </c>
    </row>
    <row r="967" spans="1:7" x14ac:dyDescent="0.3">
      <c r="A967" s="34">
        <v>966</v>
      </c>
      <c r="B967" s="34">
        <v>30</v>
      </c>
      <c r="C967" s="34">
        <v>1715</v>
      </c>
      <c r="D967" s="34">
        <v>26</v>
      </c>
      <c r="E967" s="34" t="s">
        <v>6</v>
      </c>
      <c r="F967" s="34" t="s">
        <v>4</v>
      </c>
      <c r="G967" s="34" t="s">
        <v>5</v>
      </c>
    </row>
    <row r="968" spans="1:7" x14ac:dyDescent="0.3">
      <c r="A968" s="34">
        <v>967</v>
      </c>
      <c r="B968" s="34">
        <v>27</v>
      </c>
      <c r="C968" s="34">
        <v>2520</v>
      </c>
      <c r="D968" s="34">
        <v>23</v>
      </c>
      <c r="E968" s="34" t="s">
        <v>3</v>
      </c>
      <c r="F968" s="34" t="s">
        <v>4</v>
      </c>
      <c r="G968" s="34" t="s">
        <v>7</v>
      </c>
    </row>
    <row r="969" spans="1:7" x14ac:dyDescent="0.3">
      <c r="A969" s="34">
        <v>968</v>
      </c>
      <c r="B969" s="34">
        <v>15</v>
      </c>
      <c r="C969" s="34">
        <v>3568</v>
      </c>
      <c r="D969" s="34">
        <v>54</v>
      </c>
      <c r="E969" s="34" t="s">
        <v>6</v>
      </c>
      <c r="F969" s="34" t="s">
        <v>9</v>
      </c>
      <c r="G969" s="34" t="s">
        <v>5</v>
      </c>
    </row>
    <row r="970" spans="1:7" x14ac:dyDescent="0.3">
      <c r="A970" s="34">
        <v>969</v>
      </c>
      <c r="B970" s="34">
        <v>42</v>
      </c>
      <c r="C970" s="34">
        <v>7166</v>
      </c>
      <c r="D970" s="34">
        <v>29</v>
      </c>
      <c r="E970" s="34" t="s">
        <v>11</v>
      </c>
      <c r="F970" s="34" t="s">
        <v>9</v>
      </c>
      <c r="G970" s="34" t="s">
        <v>5</v>
      </c>
    </row>
    <row r="971" spans="1:7" x14ac:dyDescent="0.3">
      <c r="A971" s="34">
        <v>970</v>
      </c>
      <c r="B971" s="34">
        <v>11</v>
      </c>
      <c r="C971" s="34">
        <v>3939</v>
      </c>
      <c r="D971" s="34">
        <v>40</v>
      </c>
      <c r="E971" s="34" t="s">
        <v>3</v>
      </c>
      <c r="F971" s="34" t="s">
        <v>4</v>
      </c>
      <c r="G971" s="34" t="s">
        <v>5</v>
      </c>
    </row>
    <row r="972" spans="1:7" x14ac:dyDescent="0.3">
      <c r="A972" s="34">
        <v>971</v>
      </c>
      <c r="B972" s="34">
        <v>15</v>
      </c>
      <c r="C972" s="34">
        <v>1514</v>
      </c>
      <c r="D972" s="34">
        <v>22</v>
      </c>
      <c r="E972" s="34" t="s">
        <v>3</v>
      </c>
      <c r="F972" s="34" t="s">
        <v>4</v>
      </c>
      <c r="G972" s="34" t="s">
        <v>5</v>
      </c>
    </row>
    <row r="973" spans="1:7" x14ac:dyDescent="0.3">
      <c r="A973" s="34">
        <v>972</v>
      </c>
      <c r="B973" s="34">
        <v>24</v>
      </c>
      <c r="C973" s="34">
        <v>7393</v>
      </c>
      <c r="D973" s="34">
        <v>43</v>
      </c>
      <c r="E973" s="34" t="s">
        <v>3</v>
      </c>
      <c r="F973" s="34" t="s">
        <v>4</v>
      </c>
      <c r="G973" s="34" t="s">
        <v>5</v>
      </c>
    </row>
    <row r="974" spans="1:7" x14ac:dyDescent="0.3">
      <c r="A974" s="34">
        <v>973</v>
      </c>
      <c r="B974" s="34">
        <v>24</v>
      </c>
      <c r="C974" s="34">
        <v>1193</v>
      </c>
      <c r="D974" s="34">
        <v>29</v>
      </c>
      <c r="E974" s="34" t="s">
        <v>6</v>
      </c>
      <c r="F974" s="34" t="s">
        <v>9</v>
      </c>
      <c r="G974" s="34" t="s">
        <v>7</v>
      </c>
    </row>
    <row r="975" spans="1:7" x14ac:dyDescent="0.3">
      <c r="A975" s="34">
        <v>974</v>
      </c>
      <c r="B975" s="34">
        <v>60</v>
      </c>
      <c r="C975" s="34">
        <v>7297</v>
      </c>
      <c r="D975" s="34">
        <v>36</v>
      </c>
      <c r="E975" s="34" t="s">
        <v>3</v>
      </c>
      <c r="F975" s="34" t="s">
        <v>9</v>
      </c>
      <c r="G975" s="34" t="s">
        <v>7</v>
      </c>
    </row>
    <row r="976" spans="1:7" x14ac:dyDescent="0.3">
      <c r="A976" s="34">
        <v>975</v>
      </c>
      <c r="B976" s="34">
        <v>30</v>
      </c>
      <c r="C976" s="34">
        <v>2831</v>
      </c>
      <c r="D976" s="34">
        <v>33</v>
      </c>
      <c r="E976" s="34" t="s">
        <v>6</v>
      </c>
      <c r="F976" s="34" t="s">
        <v>4</v>
      </c>
      <c r="G976" s="34" t="s">
        <v>5</v>
      </c>
    </row>
    <row r="977" spans="1:7" x14ac:dyDescent="0.3">
      <c r="A977" s="34">
        <v>976</v>
      </c>
      <c r="B977" s="34">
        <v>24</v>
      </c>
      <c r="C977" s="34">
        <v>1258</v>
      </c>
      <c r="D977" s="34">
        <v>57</v>
      </c>
      <c r="E977" s="34" t="s">
        <v>6</v>
      </c>
      <c r="F977" s="34" t="s">
        <v>4</v>
      </c>
      <c r="G977" s="34" t="s">
        <v>5</v>
      </c>
    </row>
    <row r="978" spans="1:7" x14ac:dyDescent="0.3">
      <c r="A978" s="34">
        <v>977</v>
      </c>
      <c r="B978" s="34">
        <v>6</v>
      </c>
      <c r="C978" s="34">
        <v>753</v>
      </c>
      <c r="D978" s="34">
        <v>64</v>
      </c>
      <c r="E978" s="34" t="s">
        <v>6</v>
      </c>
      <c r="F978" s="34" t="s">
        <v>4</v>
      </c>
      <c r="G978" s="34" t="s">
        <v>5</v>
      </c>
    </row>
    <row r="979" spans="1:7" x14ac:dyDescent="0.3">
      <c r="A979" s="34">
        <v>978</v>
      </c>
      <c r="B979" s="34">
        <v>18</v>
      </c>
      <c r="C979" s="34">
        <v>2427</v>
      </c>
      <c r="D979" s="34">
        <v>42</v>
      </c>
      <c r="E979" s="34" t="s">
        <v>3</v>
      </c>
      <c r="F979" s="34" t="s">
        <v>4</v>
      </c>
      <c r="G979" s="34" t="s">
        <v>5</v>
      </c>
    </row>
    <row r="980" spans="1:7" x14ac:dyDescent="0.3">
      <c r="A980" s="34">
        <v>979</v>
      </c>
      <c r="B980" s="34">
        <v>24</v>
      </c>
      <c r="C980" s="34">
        <v>2538</v>
      </c>
      <c r="D980" s="34">
        <v>47</v>
      </c>
      <c r="E980" s="34" t="s">
        <v>3</v>
      </c>
      <c r="F980" s="34" t="s">
        <v>4</v>
      </c>
      <c r="G980" s="34" t="s">
        <v>7</v>
      </c>
    </row>
    <row r="981" spans="1:7" x14ac:dyDescent="0.3">
      <c r="A981" s="34">
        <v>980</v>
      </c>
      <c r="B981" s="34">
        <v>15</v>
      </c>
      <c r="C981" s="34">
        <v>1264</v>
      </c>
      <c r="D981" s="34">
        <v>25</v>
      </c>
      <c r="E981" s="34" t="s">
        <v>11</v>
      </c>
      <c r="F981" s="34" t="s">
        <v>9</v>
      </c>
      <c r="G981" s="34" t="s">
        <v>7</v>
      </c>
    </row>
    <row r="982" spans="1:7" x14ac:dyDescent="0.3">
      <c r="A982" s="34">
        <v>981</v>
      </c>
      <c r="B982" s="34">
        <v>30</v>
      </c>
      <c r="C982" s="34">
        <v>8386</v>
      </c>
      <c r="D982" s="34">
        <v>49</v>
      </c>
      <c r="E982" s="34" t="s">
        <v>3</v>
      </c>
      <c r="F982" s="34" t="s">
        <v>4</v>
      </c>
      <c r="G982" s="34" t="s">
        <v>7</v>
      </c>
    </row>
    <row r="983" spans="1:7" x14ac:dyDescent="0.3">
      <c r="A983" s="34">
        <v>982</v>
      </c>
      <c r="B983" s="34">
        <v>48</v>
      </c>
      <c r="C983" s="34">
        <v>4844</v>
      </c>
      <c r="D983" s="34">
        <v>33</v>
      </c>
      <c r="E983" s="34" t="s">
        <v>3</v>
      </c>
      <c r="F983" s="34" t="s">
        <v>9</v>
      </c>
      <c r="G983" s="34" t="s">
        <v>7</v>
      </c>
    </row>
    <row r="984" spans="1:7" x14ac:dyDescent="0.3">
      <c r="A984" s="34">
        <v>983</v>
      </c>
      <c r="B984" s="34">
        <v>21</v>
      </c>
      <c r="C984" s="34">
        <v>2923</v>
      </c>
      <c r="D984" s="34">
        <v>28</v>
      </c>
      <c r="E984" s="34" t="s">
        <v>6</v>
      </c>
      <c r="F984" s="34" t="s">
        <v>4</v>
      </c>
      <c r="G984" s="34" t="s">
        <v>5</v>
      </c>
    </row>
    <row r="985" spans="1:7" x14ac:dyDescent="0.3">
      <c r="A985" s="34">
        <v>984</v>
      </c>
      <c r="B985" s="34">
        <v>36</v>
      </c>
      <c r="C985" s="34">
        <v>8229</v>
      </c>
      <c r="D985" s="34">
        <v>26</v>
      </c>
      <c r="E985" s="34" t="s">
        <v>3</v>
      </c>
      <c r="F985" s="34" t="s">
        <v>4</v>
      </c>
      <c r="G985" s="34" t="s">
        <v>7</v>
      </c>
    </row>
    <row r="986" spans="1:7" x14ac:dyDescent="0.3">
      <c r="A986" s="34">
        <v>985</v>
      </c>
      <c r="B986" s="34">
        <v>24</v>
      </c>
      <c r="C986" s="34">
        <v>2028</v>
      </c>
      <c r="D986" s="34">
        <v>30</v>
      </c>
      <c r="E986" s="34" t="s">
        <v>3</v>
      </c>
      <c r="F986" s="34" t="s">
        <v>4</v>
      </c>
      <c r="G986" s="34" t="s">
        <v>5</v>
      </c>
    </row>
    <row r="987" spans="1:7" x14ac:dyDescent="0.3">
      <c r="A987" s="34">
        <v>986</v>
      </c>
      <c r="B987" s="34">
        <v>15</v>
      </c>
      <c r="C987" s="34">
        <v>1433</v>
      </c>
      <c r="D987" s="34">
        <v>25</v>
      </c>
      <c r="E987" s="34" t="s">
        <v>6</v>
      </c>
      <c r="F987" s="34" t="s">
        <v>9</v>
      </c>
      <c r="G987" s="34" t="s">
        <v>5</v>
      </c>
    </row>
    <row r="988" spans="1:7" x14ac:dyDescent="0.3">
      <c r="A988" s="34">
        <v>987</v>
      </c>
      <c r="B988" s="34">
        <v>42</v>
      </c>
      <c r="C988" s="34">
        <v>6289</v>
      </c>
      <c r="D988" s="34">
        <v>33</v>
      </c>
      <c r="E988" s="34" t="s">
        <v>10</v>
      </c>
      <c r="F988" s="34" t="s">
        <v>4</v>
      </c>
      <c r="G988" s="34" t="s">
        <v>5</v>
      </c>
    </row>
    <row r="989" spans="1:7" x14ac:dyDescent="0.3">
      <c r="A989" s="34">
        <v>988</v>
      </c>
      <c r="B989" s="34">
        <v>13</v>
      </c>
      <c r="C989" s="34">
        <v>1409</v>
      </c>
      <c r="D989" s="34">
        <v>64</v>
      </c>
      <c r="E989" s="34" t="s">
        <v>6</v>
      </c>
      <c r="F989" s="34" t="s">
        <v>4</v>
      </c>
      <c r="G989" s="34" t="s">
        <v>5</v>
      </c>
    </row>
    <row r="990" spans="1:7" x14ac:dyDescent="0.3">
      <c r="A990" s="34">
        <v>989</v>
      </c>
      <c r="B990" s="34">
        <v>24</v>
      </c>
      <c r="C990" s="34">
        <v>6579</v>
      </c>
      <c r="D990" s="34">
        <v>29</v>
      </c>
      <c r="E990" s="34" t="s">
        <v>3</v>
      </c>
      <c r="F990" s="34" t="s">
        <v>8</v>
      </c>
      <c r="G990" s="34" t="s">
        <v>5</v>
      </c>
    </row>
    <row r="991" spans="1:7" x14ac:dyDescent="0.3">
      <c r="A991" s="34">
        <v>990</v>
      </c>
      <c r="B991" s="34">
        <v>24</v>
      </c>
      <c r="C991" s="34">
        <v>1743</v>
      </c>
      <c r="D991" s="34">
        <v>48</v>
      </c>
      <c r="E991" s="34" t="s">
        <v>3</v>
      </c>
      <c r="F991" s="34" t="s">
        <v>4</v>
      </c>
      <c r="G991" s="34" t="s">
        <v>5</v>
      </c>
    </row>
    <row r="992" spans="1:7" x14ac:dyDescent="0.3">
      <c r="A992" s="34">
        <v>991</v>
      </c>
      <c r="B992" s="34">
        <v>12</v>
      </c>
      <c r="C992" s="34">
        <v>3565</v>
      </c>
      <c r="D992" s="34">
        <v>37</v>
      </c>
      <c r="E992" s="34" t="s">
        <v>3</v>
      </c>
      <c r="F992" s="34" t="s">
        <v>4</v>
      </c>
      <c r="G992" s="34" t="s">
        <v>5</v>
      </c>
    </row>
    <row r="993" spans="1:7" x14ac:dyDescent="0.3">
      <c r="A993" s="34">
        <v>992</v>
      </c>
      <c r="B993" s="34">
        <v>15</v>
      </c>
      <c r="C993" s="34">
        <v>1569</v>
      </c>
      <c r="D993" s="34">
        <v>34</v>
      </c>
      <c r="E993" s="34" t="s">
        <v>3</v>
      </c>
      <c r="F993" s="34" t="s">
        <v>4</v>
      </c>
      <c r="G993" s="34" t="s">
        <v>5</v>
      </c>
    </row>
    <row r="994" spans="1:7" x14ac:dyDescent="0.3">
      <c r="A994" s="34">
        <v>993</v>
      </c>
      <c r="B994" s="34">
        <v>18</v>
      </c>
      <c r="C994" s="34">
        <v>1936</v>
      </c>
      <c r="D994" s="34">
        <v>23</v>
      </c>
      <c r="E994" s="34" t="s">
        <v>11</v>
      </c>
      <c r="F994" s="34" t="s">
        <v>9</v>
      </c>
      <c r="G994" s="34" t="s">
        <v>5</v>
      </c>
    </row>
    <row r="995" spans="1:7" x14ac:dyDescent="0.3">
      <c r="A995" s="34">
        <v>994</v>
      </c>
      <c r="B995" s="34">
        <v>36</v>
      </c>
      <c r="C995" s="34">
        <v>3959</v>
      </c>
      <c r="D995" s="34">
        <v>30</v>
      </c>
      <c r="E995" s="34" t="s">
        <v>3</v>
      </c>
      <c r="F995" s="34" t="s">
        <v>4</v>
      </c>
      <c r="G995" s="34" t="s">
        <v>5</v>
      </c>
    </row>
    <row r="996" spans="1:7" x14ac:dyDescent="0.3">
      <c r="A996" s="34">
        <v>995</v>
      </c>
      <c r="B996" s="34">
        <v>12</v>
      </c>
      <c r="C996" s="34">
        <v>2390</v>
      </c>
      <c r="D996" s="34">
        <v>50</v>
      </c>
      <c r="E996" s="34" t="s">
        <v>3</v>
      </c>
      <c r="F996" s="34" t="s">
        <v>4</v>
      </c>
      <c r="G996" s="34" t="s">
        <v>5</v>
      </c>
    </row>
    <row r="997" spans="1:7" x14ac:dyDescent="0.3">
      <c r="A997" s="34">
        <v>996</v>
      </c>
      <c r="B997" s="34">
        <v>12</v>
      </c>
      <c r="C997" s="34">
        <v>1736</v>
      </c>
      <c r="D997" s="34">
        <v>31</v>
      </c>
      <c r="E997" s="34" t="s">
        <v>6</v>
      </c>
      <c r="F997" s="34" t="s">
        <v>4</v>
      </c>
      <c r="G997" s="34" t="s">
        <v>5</v>
      </c>
    </row>
    <row r="998" spans="1:7" x14ac:dyDescent="0.3">
      <c r="A998" s="34">
        <v>997</v>
      </c>
      <c r="B998" s="34">
        <v>30</v>
      </c>
      <c r="C998" s="34">
        <v>3857</v>
      </c>
      <c r="D998" s="34">
        <v>40</v>
      </c>
      <c r="E998" s="34" t="s">
        <v>10</v>
      </c>
      <c r="F998" s="34" t="s">
        <v>4</v>
      </c>
      <c r="G998" s="34" t="s">
        <v>5</v>
      </c>
    </row>
    <row r="999" spans="1:7" x14ac:dyDescent="0.3">
      <c r="A999" s="34">
        <v>998</v>
      </c>
      <c r="B999" s="34">
        <v>12</v>
      </c>
      <c r="C999" s="34">
        <v>804</v>
      </c>
      <c r="D999" s="34">
        <v>38</v>
      </c>
      <c r="E999" s="34" t="s">
        <v>3</v>
      </c>
      <c r="F999" s="34" t="s">
        <v>4</v>
      </c>
      <c r="G999" s="34" t="s">
        <v>5</v>
      </c>
    </row>
    <row r="1000" spans="1:7" x14ac:dyDescent="0.3">
      <c r="A1000" s="34">
        <v>999</v>
      </c>
      <c r="B1000" s="34">
        <v>45</v>
      </c>
      <c r="C1000" s="34">
        <v>1845</v>
      </c>
      <c r="D1000" s="34">
        <v>23</v>
      </c>
      <c r="E1000" s="34" t="s">
        <v>3</v>
      </c>
      <c r="F1000" s="34" t="s">
        <v>8</v>
      </c>
      <c r="G1000" s="34" t="s">
        <v>7</v>
      </c>
    </row>
    <row r="1001" spans="1:7" x14ac:dyDescent="0.3">
      <c r="A1001" s="35">
        <v>1000</v>
      </c>
      <c r="B1001" s="35">
        <v>45</v>
      </c>
      <c r="C1001" s="35">
        <v>4576</v>
      </c>
      <c r="D1001" s="35">
        <v>27</v>
      </c>
      <c r="E1001" s="35" t="s">
        <v>3</v>
      </c>
      <c r="F1001" s="35" t="s">
        <v>4</v>
      </c>
      <c r="G1001" s="35" t="s">
        <v>5</v>
      </c>
    </row>
  </sheetData>
  <autoFilter ref="A1:G1001" xr:uid="{BB8B5C16-0A2D-4CA1-9A0C-BA5156244AA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E97D-E941-4111-8BAA-D8BD5B63D1EB}">
  <dimension ref="A1:I500"/>
  <sheetViews>
    <sheetView workbookViewId="0">
      <selection activeCell="L8" sqref="L8"/>
    </sheetView>
  </sheetViews>
  <sheetFormatPr defaultRowHeight="14.4" x14ac:dyDescent="0.3"/>
  <cols>
    <col min="1" max="1" width="10.109375" customWidth="1"/>
    <col min="3" max="3" width="9.88671875" customWidth="1"/>
    <col min="4" max="4" width="18.33203125" customWidth="1"/>
    <col min="5" max="5" width="15.6640625" customWidth="1"/>
    <col min="6" max="6" width="13.5546875" customWidth="1"/>
    <col min="7" max="7" width="18" customWidth="1"/>
    <col min="8" max="8" width="15.6640625" customWidth="1"/>
    <col min="9" max="9" width="9.6640625" customWidth="1"/>
  </cols>
  <sheetData>
    <row r="1" spans="1:9" x14ac:dyDescent="0.3">
      <c r="A1" s="37" t="s">
        <v>13</v>
      </c>
      <c r="B1" s="36" t="s">
        <v>12</v>
      </c>
      <c r="C1" s="37" t="s">
        <v>2</v>
      </c>
      <c r="D1" s="37" t="s">
        <v>63</v>
      </c>
      <c r="E1" s="37" t="s">
        <v>126</v>
      </c>
      <c r="F1" s="37" t="s">
        <v>0</v>
      </c>
      <c r="G1" s="37" t="s">
        <v>127</v>
      </c>
      <c r="H1" s="37" t="s">
        <v>1</v>
      </c>
      <c r="I1" s="41" t="s">
        <v>26</v>
      </c>
    </row>
    <row r="2" spans="1:9" x14ac:dyDescent="0.3">
      <c r="A2" s="34">
        <v>1</v>
      </c>
      <c r="B2" s="34">
        <v>249</v>
      </c>
      <c r="C2" s="34" t="s">
        <v>5</v>
      </c>
      <c r="D2" s="34">
        <v>24</v>
      </c>
      <c r="E2" s="34">
        <v>1925</v>
      </c>
      <c r="F2" s="34">
        <v>26</v>
      </c>
      <c r="G2" s="34" t="s">
        <v>3</v>
      </c>
      <c r="H2" s="34" t="s">
        <v>4</v>
      </c>
      <c r="I2" s="39">
        <v>9.9328329480330435E-4</v>
      </c>
    </row>
    <row r="3" spans="1:9" x14ac:dyDescent="0.3">
      <c r="A3" s="34">
        <v>2</v>
      </c>
      <c r="B3" s="34">
        <v>774</v>
      </c>
      <c r="C3" s="34" t="s">
        <v>5</v>
      </c>
      <c r="D3" s="34">
        <v>24</v>
      </c>
      <c r="E3" s="34">
        <v>2223</v>
      </c>
      <c r="F3" s="34">
        <v>52</v>
      </c>
      <c r="G3" s="34" t="s">
        <v>3</v>
      </c>
      <c r="H3" s="34" t="s">
        <v>4</v>
      </c>
      <c r="I3" s="39">
        <v>6.2152713539174176E-3</v>
      </c>
    </row>
    <row r="4" spans="1:9" x14ac:dyDescent="0.3">
      <c r="A4" s="34">
        <v>3</v>
      </c>
      <c r="B4" s="34">
        <v>894</v>
      </c>
      <c r="C4" s="34" t="s">
        <v>5</v>
      </c>
      <c r="D4" s="34">
        <v>36</v>
      </c>
      <c r="E4" s="34">
        <v>5800</v>
      </c>
      <c r="F4" s="34">
        <v>34</v>
      </c>
      <c r="G4" s="34" t="s">
        <v>3</v>
      </c>
      <c r="H4" s="34" t="s">
        <v>4</v>
      </c>
      <c r="I4" s="39">
        <v>7.8588443596389057E-3</v>
      </c>
    </row>
    <row r="5" spans="1:9" x14ac:dyDescent="0.3">
      <c r="A5" s="34">
        <v>4</v>
      </c>
      <c r="B5" s="34">
        <v>124</v>
      </c>
      <c r="C5" s="34" t="s">
        <v>5</v>
      </c>
      <c r="D5" s="34">
        <v>10</v>
      </c>
      <c r="E5" s="34">
        <v>781</v>
      </c>
      <c r="F5" s="34">
        <v>63</v>
      </c>
      <c r="G5" s="34" t="s">
        <v>3</v>
      </c>
      <c r="H5" s="34" t="s">
        <v>8</v>
      </c>
      <c r="I5" s="39">
        <v>8.4110638441057262E-3</v>
      </c>
    </row>
    <row r="6" spans="1:9" x14ac:dyDescent="0.3">
      <c r="A6" s="34">
        <v>5</v>
      </c>
      <c r="B6" s="34">
        <v>887</v>
      </c>
      <c r="C6" s="34" t="s">
        <v>5</v>
      </c>
      <c r="D6" s="34">
        <v>24</v>
      </c>
      <c r="E6" s="34">
        <v>2825</v>
      </c>
      <c r="F6" s="34">
        <v>34</v>
      </c>
      <c r="G6" s="34" t="s">
        <v>3</v>
      </c>
      <c r="H6" s="34" t="s">
        <v>4</v>
      </c>
      <c r="I6" s="39">
        <v>2.0488356423824738E-2</v>
      </c>
    </row>
    <row r="7" spans="1:9" x14ac:dyDescent="0.3">
      <c r="A7" s="34">
        <v>6</v>
      </c>
      <c r="B7" s="34">
        <v>265</v>
      </c>
      <c r="C7" s="34" t="s">
        <v>5</v>
      </c>
      <c r="D7" s="34">
        <v>10</v>
      </c>
      <c r="E7" s="34">
        <v>1231</v>
      </c>
      <c r="F7" s="34">
        <v>32</v>
      </c>
      <c r="G7" s="34" t="s">
        <v>3</v>
      </c>
      <c r="H7" s="34" t="s">
        <v>4</v>
      </c>
      <c r="I7" s="39">
        <v>2.6310723797519642E-2</v>
      </c>
    </row>
    <row r="8" spans="1:9" x14ac:dyDescent="0.3">
      <c r="A8" s="34">
        <v>7</v>
      </c>
      <c r="B8" s="34">
        <v>907</v>
      </c>
      <c r="C8" s="34" t="s">
        <v>5</v>
      </c>
      <c r="D8" s="34">
        <v>21</v>
      </c>
      <c r="E8" s="34">
        <v>3763</v>
      </c>
      <c r="F8" s="34">
        <v>24</v>
      </c>
      <c r="G8" s="34" t="s">
        <v>3</v>
      </c>
      <c r="H8" s="34" t="s">
        <v>4</v>
      </c>
      <c r="I8" s="39">
        <v>2.6703653381397463E-2</v>
      </c>
    </row>
    <row r="9" spans="1:9" x14ac:dyDescent="0.3">
      <c r="A9" s="34">
        <v>8</v>
      </c>
      <c r="B9" s="34">
        <v>811</v>
      </c>
      <c r="C9" s="34" t="s">
        <v>5</v>
      </c>
      <c r="D9" s="34">
        <v>8</v>
      </c>
      <c r="E9" s="34">
        <v>907</v>
      </c>
      <c r="F9" s="34">
        <v>26</v>
      </c>
      <c r="G9" s="34" t="s">
        <v>11</v>
      </c>
      <c r="H9" s="34" t="s">
        <v>4</v>
      </c>
      <c r="I9" s="39">
        <v>3.3348587860338119E-2</v>
      </c>
    </row>
    <row r="10" spans="1:9" x14ac:dyDescent="0.3">
      <c r="A10" s="34">
        <v>9</v>
      </c>
      <c r="B10" s="34">
        <v>831</v>
      </c>
      <c r="C10" s="34" t="s">
        <v>5</v>
      </c>
      <c r="D10" s="34">
        <v>24</v>
      </c>
      <c r="E10" s="34">
        <v>2375</v>
      </c>
      <c r="F10" s="34">
        <v>44</v>
      </c>
      <c r="G10" s="34" t="s">
        <v>3</v>
      </c>
      <c r="H10" s="34" t="s">
        <v>4</v>
      </c>
      <c r="I10" s="39">
        <v>3.7695701142996807E-2</v>
      </c>
    </row>
    <row r="11" spans="1:9" x14ac:dyDescent="0.3">
      <c r="A11" s="34">
        <v>10</v>
      </c>
      <c r="B11" s="34">
        <v>34</v>
      </c>
      <c r="C11" s="34" t="s">
        <v>5</v>
      </c>
      <c r="D11" s="34">
        <v>12</v>
      </c>
      <c r="E11" s="34">
        <v>1264</v>
      </c>
      <c r="F11" s="34">
        <v>57</v>
      </c>
      <c r="G11" s="34" t="s">
        <v>3</v>
      </c>
      <c r="H11" s="34" t="s">
        <v>9</v>
      </c>
      <c r="I11" s="39">
        <v>3.8763829308295583E-2</v>
      </c>
    </row>
    <row r="12" spans="1:9" x14ac:dyDescent="0.3">
      <c r="A12" s="34">
        <v>11</v>
      </c>
      <c r="B12" s="34">
        <v>587</v>
      </c>
      <c r="C12" s="34" t="s">
        <v>5</v>
      </c>
      <c r="D12" s="34">
        <v>9</v>
      </c>
      <c r="E12" s="34">
        <v>2799</v>
      </c>
      <c r="F12" s="34">
        <v>36</v>
      </c>
      <c r="G12" s="34" t="s">
        <v>3</v>
      </c>
      <c r="H12" s="34" t="s">
        <v>9</v>
      </c>
      <c r="I12" s="39">
        <v>3.9225189296477558E-2</v>
      </c>
    </row>
    <row r="13" spans="1:9" x14ac:dyDescent="0.3">
      <c r="A13" s="34">
        <v>12</v>
      </c>
      <c r="B13" s="34">
        <v>561</v>
      </c>
      <c r="C13" s="34" t="s">
        <v>5</v>
      </c>
      <c r="D13" s="34">
        <v>24</v>
      </c>
      <c r="E13" s="34">
        <v>2964</v>
      </c>
      <c r="F13" s="34">
        <v>49</v>
      </c>
      <c r="G13" s="34" t="s">
        <v>3</v>
      </c>
      <c r="H13" s="34" t="s">
        <v>8</v>
      </c>
      <c r="I13" s="39">
        <v>4.1061041978278534E-2</v>
      </c>
    </row>
    <row r="14" spans="1:9" x14ac:dyDescent="0.3">
      <c r="A14" s="34">
        <v>13</v>
      </c>
      <c r="B14" s="34">
        <v>934</v>
      </c>
      <c r="C14" s="34" t="s">
        <v>5</v>
      </c>
      <c r="D14" s="34">
        <v>12</v>
      </c>
      <c r="E14" s="34">
        <v>522</v>
      </c>
      <c r="F14" s="34">
        <v>42</v>
      </c>
      <c r="G14" s="34" t="s">
        <v>3</v>
      </c>
      <c r="H14" s="34" t="s">
        <v>4</v>
      </c>
      <c r="I14" s="39">
        <v>4.2844130705263828E-2</v>
      </c>
    </row>
    <row r="15" spans="1:9" x14ac:dyDescent="0.3">
      <c r="A15" s="34">
        <v>14</v>
      </c>
      <c r="B15" s="34">
        <v>515</v>
      </c>
      <c r="C15" s="34" t="s">
        <v>5</v>
      </c>
      <c r="D15" s="34">
        <v>24</v>
      </c>
      <c r="E15" s="34">
        <v>2255</v>
      </c>
      <c r="F15" s="34">
        <v>54</v>
      </c>
      <c r="G15" s="34" t="s">
        <v>3</v>
      </c>
      <c r="H15" s="34" t="s">
        <v>4</v>
      </c>
      <c r="I15" s="39">
        <v>5.1872416744806693E-2</v>
      </c>
    </row>
    <row r="16" spans="1:9" x14ac:dyDescent="0.3">
      <c r="A16" s="34">
        <v>15</v>
      </c>
      <c r="B16" s="34">
        <v>8</v>
      </c>
      <c r="C16" s="34" t="s">
        <v>5</v>
      </c>
      <c r="D16" s="34">
        <v>36</v>
      </c>
      <c r="E16" s="34">
        <v>6948</v>
      </c>
      <c r="F16" s="34">
        <v>35</v>
      </c>
      <c r="G16" s="34" t="s">
        <v>3</v>
      </c>
      <c r="H16" s="34" t="s">
        <v>9</v>
      </c>
      <c r="I16" s="39">
        <v>5.5809913377511067E-2</v>
      </c>
    </row>
    <row r="17" spans="1:9" x14ac:dyDescent="0.3">
      <c r="A17" s="34">
        <v>16</v>
      </c>
      <c r="B17" s="34">
        <v>610</v>
      </c>
      <c r="C17" s="34" t="s">
        <v>5</v>
      </c>
      <c r="D17" s="34">
        <v>15</v>
      </c>
      <c r="E17" s="34">
        <v>1300</v>
      </c>
      <c r="F17" s="34">
        <v>45</v>
      </c>
      <c r="G17" s="34" t="s">
        <v>3</v>
      </c>
      <c r="H17" s="34" t="s">
        <v>8</v>
      </c>
      <c r="I17" s="39">
        <v>5.6283625583790298E-2</v>
      </c>
    </row>
    <row r="18" spans="1:9" x14ac:dyDescent="0.3">
      <c r="A18" s="34">
        <v>17</v>
      </c>
      <c r="B18" s="34">
        <v>40</v>
      </c>
      <c r="C18" s="34" t="s">
        <v>5</v>
      </c>
      <c r="D18" s="34">
        <v>9</v>
      </c>
      <c r="E18" s="34">
        <v>458</v>
      </c>
      <c r="F18" s="34">
        <v>24</v>
      </c>
      <c r="G18" s="34" t="s">
        <v>3</v>
      </c>
      <c r="H18" s="34" t="s">
        <v>4</v>
      </c>
      <c r="I18" s="39">
        <v>5.6473092575384132E-2</v>
      </c>
    </row>
    <row r="19" spans="1:9" x14ac:dyDescent="0.3">
      <c r="A19" s="34">
        <v>18</v>
      </c>
      <c r="B19" s="34">
        <v>324</v>
      </c>
      <c r="C19" s="34" t="s">
        <v>5</v>
      </c>
      <c r="D19" s="34">
        <v>18</v>
      </c>
      <c r="E19" s="34">
        <v>2659</v>
      </c>
      <c r="F19" s="34">
        <v>28</v>
      </c>
      <c r="G19" s="34" t="s">
        <v>3</v>
      </c>
      <c r="H19" s="34" t="s">
        <v>4</v>
      </c>
      <c r="I19" s="39">
        <v>5.8683704808062842E-2</v>
      </c>
    </row>
    <row r="20" spans="1:9" x14ac:dyDescent="0.3">
      <c r="A20" s="34">
        <v>19</v>
      </c>
      <c r="B20" s="34">
        <v>158</v>
      </c>
      <c r="C20" s="34" t="s">
        <v>5</v>
      </c>
      <c r="D20" s="34">
        <v>12</v>
      </c>
      <c r="E20" s="34">
        <v>339</v>
      </c>
      <c r="F20" s="34">
        <v>45</v>
      </c>
      <c r="G20" s="34" t="s">
        <v>11</v>
      </c>
      <c r="H20" s="34" t="s">
        <v>4</v>
      </c>
      <c r="I20" s="39">
        <v>5.946007657705088E-2</v>
      </c>
    </row>
    <row r="21" spans="1:9" x14ac:dyDescent="0.3">
      <c r="A21" s="34">
        <v>20</v>
      </c>
      <c r="B21" s="34">
        <v>208</v>
      </c>
      <c r="C21" s="34" t="s">
        <v>5</v>
      </c>
      <c r="D21" s="34">
        <v>12</v>
      </c>
      <c r="E21" s="34">
        <v>1424</v>
      </c>
      <c r="F21" s="34">
        <v>26</v>
      </c>
      <c r="G21" s="34" t="s">
        <v>3</v>
      </c>
      <c r="H21" s="34" t="s">
        <v>4</v>
      </c>
      <c r="I21" s="39">
        <v>6.100474094357311E-2</v>
      </c>
    </row>
    <row r="22" spans="1:9" x14ac:dyDescent="0.3">
      <c r="A22" s="34">
        <v>21</v>
      </c>
      <c r="B22" s="34">
        <v>699</v>
      </c>
      <c r="C22" s="34" t="s">
        <v>5</v>
      </c>
      <c r="D22" s="34">
        <v>18</v>
      </c>
      <c r="E22" s="34">
        <v>1800</v>
      </c>
      <c r="F22" s="34">
        <v>24</v>
      </c>
      <c r="G22" s="34" t="s">
        <v>3</v>
      </c>
      <c r="H22" s="34" t="s">
        <v>4</v>
      </c>
      <c r="I22" s="39">
        <v>6.3215805381056089E-2</v>
      </c>
    </row>
    <row r="23" spans="1:9" x14ac:dyDescent="0.3">
      <c r="A23" s="34">
        <v>22</v>
      </c>
      <c r="B23" s="34">
        <v>246</v>
      </c>
      <c r="C23" s="34" t="s">
        <v>5</v>
      </c>
      <c r="D23" s="34">
        <v>24</v>
      </c>
      <c r="E23" s="34">
        <v>1258</v>
      </c>
      <c r="F23" s="34">
        <v>25</v>
      </c>
      <c r="G23" s="34" t="s">
        <v>3</v>
      </c>
      <c r="H23" s="34" t="s">
        <v>4</v>
      </c>
      <c r="I23" s="39">
        <v>6.4573086108176359E-2</v>
      </c>
    </row>
    <row r="24" spans="1:9" x14ac:dyDescent="0.3">
      <c r="A24" s="34">
        <v>23</v>
      </c>
      <c r="B24" s="34">
        <v>801</v>
      </c>
      <c r="C24" s="34" t="s">
        <v>5</v>
      </c>
      <c r="D24" s="34">
        <v>24</v>
      </c>
      <c r="E24" s="34">
        <v>1597</v>
      </c>
      <c r="F24" s="34">
        <v>54</v>
      </c>
      <c r="G24" s="34" t="s">
        <v>3</v>
      </c>
      <c r="H24" s="34" t="s">
        <v>8</v>
      </c>
      <c r="I24" s="39">
        <v>7.0733311877070104E-2</v>
      </c>
    </row>
    <row r="25" spans="1:9" x14ac:dyDescent="0.3">
      <c r="A25" s="34">
        <v>24</v>
      </c>
      <c r="B25" s="34">
        <v>914</v>
      </c>
      <c r="C25" s="34" t="s">
        <v>5</v>
      </c>
      <c r="D25" s="34">
        <v>11</v>
      </c>
      <c r="E25" s="34">
        <v>2142</v>
      </c>
      <c r="F25" s="34">
        <v>28</v>
      </c>
      <c r="G25" s="34" t="s">
        <v>10</v>
      </c>
      <c r="H25" s="34" t="s">
        <v>4</v>
      </c>
      <c r="I25" s="39">
        <v>7.1569640137200019E-2</v>
      </c>
    </row>
    <row r="26" spans="1:9" x14ac:dyDescent="0.3">
      <c r="A26" s="34">
        <v>25</v>
      </c>
      <c r="B26" s="34">
        <v>519</v>
      </c>
      <c r="C26" s="34" t="s">
        <v>5</v>
      </c>
      <c r="D26" s="34">
        <v>6</v>
      </c>
      <c r="E26" s="34">
        <v>1203</v>
      </c>
      <c r="F26" s="34">
        <v>43</v>
      </c>
      <c r="G26" s="34" t="s">
        <v>3</v>
      </c>
      <c r="H26" s="34" t="s">
        <v>4</v>
      </c>
      <c r="I26" s="39">
        <v>7.2645322573346882E-2</v>
      </c>
    </row>
    <row r="27" spans="1:9" x14ac:dyDescent="0.3">
      <c r="A27" s="34">
        <v>26</v>
      </c>
      <c r="B27" s="34">
        <v>217</v>
      </c>
      <c r="C27" s="34" t="s">
        <v>5</v>
      </c>
      <c r="D27" s="34">
        <v>18</v>
      </c>
      <c r="E27" s="34">
        <v>3104</v>
      </c>
      <c r="F27" s="34">
        <v>31</v>
      </c>
      <c r="G27" s="34" t="s">
        <v>3</v>
      </c>
      <c r="H27" s="34" t="s">
        <v>4</v>
      </c>
      <c r="I27" s="39">
        <v>7.4619568690130533E-2</v>
      </c>
    </row>
    <row r="28" spans="1:9" x14ac:dyDescent="0.3">
      <c r="A28" s="34">
        <v>27</v>
      </c>
      <c r="B28" s="34">
        <v>892</v>
      </c>
      <c r="C28" s="34" t="s">
        <v>5</v>
      </c>
      <c r="D28" s="34">
        <v>15</v>
      </c>
      <c r="E28" s="34">
        <v>1829</v>
      </c>
      <c r="F28" s="34">
        <v>46</v>
      </c>
      <c r="G28" s="34" t="s">
        <v>3</v>
      </c>
      <c r="H28" s="34" t="s">
        <v>4</v>
      </c>
      <c r="I28" s="39">
        <v>7.6397074319524694E-2</v>
      </c>
    </row>
    <row r="29" spans="1:9" x14ac:dyDescent="0.3">
      <c r="A29" s="34">
        <v>28</v>
      </c>
      <c r="B29" s="34">
        <v>609</v>
      </c>
      <c r="C29" s="34" t="s">
        <v>5</v>
      </c>
      <c r="D29" s="34">
        <v>18</v>
      </c>
      <c r="E29" s="34">
        <v>2051</v>
      </c>
      <c r="F29" s="34">
        <v>33</v>
      </c>
      <c r="G29" s="34" t="s">
        <v>3</v>
      </c>
      <c r="H29" s="34" t="s">
        <v>4</v>
      </c>
      <c r="I29" s="39">
        <v>7.7318439142803452E-2</v>
      </c>
    </row>
    <row r="30" spans="1:9" x14ac:dyDescent="0.3">
      <c r="A30" s="34">
        <v>29</v>
      </c>
      <c r="B30" s="34">
        <v>548</v>
      </c>
      <c r="C30" s="34" t="s">
        <v>5</v>
      </c>
      <c r="D30" s="34">
        <v>24</v>
      </c>
      <c r="E30" s="34">
        <v>1552</v>
      </c>
      <c r="F30" s="34">
        <v>32</v>
      </c>
      <c r="G30" s="34" t="s">
        <v>3</v>
      </c>
      <c r="H30" s="34" t="s">
        <v>4</v>
      </c>
      <c r="I30" s="39">
        <v>7.8203181850407311E-2</v>
      </c>
    </row>
    <row r="31" spans="1:9" x14ac:dyDescent="0.3">
      <c r="A31" s="34">
        <v>30</v>
      </c>
      <c r="B31" s="34">
        <v>719</v>
      </c>
      <c r="C31" s="34" t="s">
        <v>5</v>
      </c>
      <c r="D31" s="34">
        <v>24</v>
      </c>
      <c r="E31" s="34">
        <v>3148</v>
      </c>
      <c r="F31" s="34">
        <v>31</v>
      </c>
      <c r="G31" s="34" t="s">
        <v>3</v>
      </c>
      <c r="H31" s="34" t="s">
        <v>4</v>
      </c>
      <c r="I31" s="39">
        <v>7.8808729803020339E-2</v>
      </c>
    </row>
    <row r="32" spans="1:9" x14ac:dyDescent="0.3">
      <c r="A32" s="34">
        <v>31</v>
      </c>
      <c r="B32" s="34">
        <v>679</v>
      </c>
      <c r="C32" s="34" t="s">
        <v>5</v>
      </c>
      <c r="D32" s="34">
        <v>24</v>
      </c>
      <c r="E32" s="34">
        <v>2384</v>
      </c>
      <c r="F32" s="34">
        <v>64</v>
      </c>
      <c r="G32" s="34" t="s">
        <v>3</v>
      </c>
      <c r="H32" s="34" t="s">
        <v>9</v>
      </c>
      <c r="I32" s="39">
        <v>7.922372965531288E-2</v>
      </c>
    </row>
    <row r="33" spans="1:9" x14ac:dyDescent="0.3">
      <c r="A33" s="34">
        <v>32</v>
      </c>
      <c r="B33" s="34">
        <v>32</v>
      </c>
      <c r="C33" s="34" t="s">
        <v>5</v>
      </c>
      <c r="D33" s="34">
        <v>24</v>
      </c>
      <c r="E33" s="34">
        <v>4020</v>
      </c>
      <c r="F33" s="34">
        <v>27</v>
      </c>
      <c r="G33" s="34" t="s">
        <v>3</v>
      </c>
      <c r="H33" s="34" t="s">
        <v>4</v>
      </c>
      <c r="I33" s="39">
        <v>7.936417552919095E-2</v>
      </c>
    </row>
    <row r="34" spans="1:9" x14ac:dyDescent="0.3">
      <c r="A34" s="34">
        <v>33</v>
      </c>
      <c r="B34" s="34">
        <v>340</v>
      </c>
      <c r="C34" s="34" t="s">
        <v>5</v>
      </c>
      <c r="D34" s="34">
        <v>10</v>
      </c>
      <c r="E34" s="34">
        <v>1521</v>
      </c>
      <c r="F34" s="34">
        <v>31</v>
      </c>
      <c r="G34" s="34" t="s">
        <v>10</v>
      </c>
      <c r="H34" s="34" t="s">
        <v>4</v>
      </c>
      <c r="I34" s="39">
        <v>8.314757609632939E-2</v>
      </c>
    </row>
    <row r="35" spans="1:9" x14ac:dyDescent="0.3">
      <c r="A35" s="34">
        <v>34</v>
      </c>
      <c r="B35" s="34">
        <v>785</v>
      </c>
      <c r="C35" s="34" t="s">
        <v>5</v>
      </c>
      <c r="D35" s="34">
        <v>20</v>
      </c>
      <c r="E35" s="34">
        <v>6468</v>
      </c>
      <c r="F35" s="34">
        <v>60</v>
      </c>
      <c r="G35" s="34" t="s">
        <v>10</v>
      </c>
      <c r="H35" s="34" t="s">
        <v>4</v>
      </c>
      <c r="I35" s="39">
        <v>8.433144138902704E-2</v>
      </c>
    </row>
    <row r="36" spans="1:9" x14ac:dyDescent="0.3">
      <c r="A36" s="34">
        <v>35</v>
      </c>
      <c r="B36" s="34">
        <v>454</v>
      </c>
      <c r="C36" s="34" t="s">
        <v>5</v>
      </c>
      <c r="D36" s="34">
        <v>24</v>
      </c>
      <c r="E36" s="34">
        <v>2670</v>
      </c>
      <c r="F36" s="34">
        <v>35</v>
      </c>
      <c r="G36" s="34" t="s">
        <v>3</v>
      </c>
      <c r="H36" s="34" t="s">
        <v>4</v>
      </c>
      <c r="I36" s="39">
        <v>8.6114816735679778E-2</v>
      </c>
    </row>
    <row r="37" spans="1:9" x14ac:dyDescent="0.3">
      <c r="A37" s="34">
        <v>36</v>
      </c>
      <c r="B37" s="34">
        <v>285</v>
      </c>
      <c r="C37" s="34" t="s">
        <v>5</v>
      </c>
      <c r="D37" s="34">
        <v>24</v>
      </c>
      <c r="E37" s="34">
        <v>3878</v>
      </c>
      <c r="F37" s="34">
        <v>37</v>
      </c>
      <c r="G37" s="34" t="s">
        <v>10</v>
      </c>
      <c r="H37" s="34" t="s">
        <v>4</v>
      </c>
      <c r="I37" s="39">
        <v>8.6548992709661987E-2</v>
      </c>
    </row>
    <row r="38" spans="1:9" x14ac:dyDescent="0.3">
      <c r="A38" s="34">
        <v>37</v>
      </c>
      <c r="B38" s="34">
        <v>108</v>
      </c>
      <c r="C38" s="34" t="s">
        <v>5</v>
      </c>
      <c r="D38" s="34">
        <v>12</v>
      </c>
      <c r="E38" s="34">
        <v>6078</v>
      </c>
      <c r="F38" s="34">
        <v>32</v>
      </c>
      <c r="G38" s="34" t="s">
        <v>3</v>
      </c>
      <c r="H38" s="34" t="s">
        <v>4</v>
      </c>
      <c r="I38" s="39">
        <v>9.4317938409830604E-2</v>
      </c>
    </row>
    <row r="39" spans="1:9" x14ac:dyDescent="0.3">
      <c r="A39" s="34">
        <v>38</v>
      </c>
      <c r="B39" s="34">
        <v>160</v>
      </c>
      <c r="C39" s="34" t="s">
        <v>5</v>
      </c>
      <c r="D39" s="34">
        <v>6</v>
      </c>
      <c r="E39" s="34">
        <v>1898</v>
      </c>
      <c r="F39" s="34">
        <v>34</v>
      </c>
      <c r="G39" s="34" t="s">
        <v>3</v>
      </c>
      <c r="H39" s="34" t="s">
        <v>4</v>
      </c>
      <c r="I39" s="39">
        <v>9.5307724382853842E-2</v>
      </c>
    </row>
    <row r="40" spans="1:9" x14ac:dyDescent="0.3">
      <c r="A40" s="34">
        <v>39</v>
      </c>
      <c r="B40" s="34">
        <v>393</v>
      </c>
      <c r="C40" s="34" t="s">
        <v>5</v>
      </c>
      <c r="D40" s="34">
        <v>36</v>
      </c>
      <c r="E40" s="34">
        <v>3249</v>
      </c>
      <c r="F40" s="34">
        <v>39</v>
      </c>
      <c r="G40" s="34" t="s">
        <v>3</v>
      </c>
      <c r="H40" s="34" t="s">
        <v>8</v>
      </c>
      <c r="I40" s="39">
        <v>9.7479493212389579E-2</v>
      </c>
    </row>
    <row r="41" spans="1:9" x14ac:dyDescent="0.3">
      <c r="A41" s="34">
        <v>40</v>
      </c>
      <c r="B41" s="34">
        <v>378</v>
      </c>
      <c r="C41" s="34" t="s">
        <v>5</v>
      </c>
      <c r="D41" s="34">
        <v>7</v>
      </c>
      <c r="E41" s="34">
        <v>846</v>
      </c>
      <c r="F41" s="34">
        <v>36</v>
      </c>
      <c r="G41" s="34" t="s">
        <v>3</v>
      </c>
      <c r="H41" s="34" t="s">
        <v>8</v>
      </c>
      <c r="I41" s="39">
        <v>9.7645143398591316E-2</v>
      </c>
    </row>
    <row r="42" spans="1:9" x14ac:dyDescent="0.3">
      <c r="A42" s="34">
        <v>41</v>
      </c>
      <c r="B42" s="34">
        <v>477</v>
      </c>
      <c r="C42" s="34" t="s">
        <v>5</v>
      </c>
      <c r="D42" s="34">
        <v>39</v>
      </c>
      <c r="E42" s="34">
        <v>2569</v>
      </c>
      <c r="F42" s="34">
        <v>24</v>
      </c>
      <c r="G42" s="34" t="s">
        <v>3</v>
      </c>
      <c r="H42" s="34" t="s">
        <v>4</v>
      </c>
      <c r="I42" s="39">
        <v>0.10160148889742482</v>
      </c>
    </row>
    <row r="43" spans="1:9" x14ac:dyDescent="0.3">
      <c r="A43" s="34">
        <v>42</v>
      </c>
      <c r="B43" s="34">
        <v>994</v>
      </c>
      <c r="C43" s="34" t="s">
        <v>5</v>
      </c>
      <c r="D43" s="34">
        <v>36</v>
      </c>
      <c r="E43" s="34">
        <v>3959</v>
      </c>
      <c r="F43" s="34">
        <v>30</v>
      </c>
      <c r="G43" s="34" t="s">
        <v>3</v>
      </c>
      <c r="H43" s="34" t="s">
        <v>4</v>
      </c>
      <c r="I43" s="39">
        <v>0.10229338789737796</v>
      </c>
    </row>
    <row r="44" spans="1:9" x14ac:dyDescent="0.3">
      <c r="A44" s="34">
        <v>43</v>
      </c>
      <c r="B44" s="34">
        <v>126</v>
      </c>
      <c r="C44" s="34" t="s">
        <v>5</v>
      </c>
      <c r="D44" s="34">
        <v>12</v>
      </c>
      <c r="E44" s="34">
        <v>2121</v>
      </c>
      <c r="F44" s="34">
        <v>30</v>
      </c>
      <c r="G44" s="34" t="s">
        <v>3</v>
      </c>
      <c r="H44" s="34" t="s">
        <v>4</v>
      </c>
      <c r="I44" s="39">
        <v>0.10913083588064798</v>
      </c>
    </row>
    <row r="45" spans="1:9" x14ac:dyDescent="0.3">
      <c r="A45" s="34">
        <v>44</v>
      </c>
      <c r="B45" s="34">
        <v>24</v>
      </c>
      <c r="C45" s="34" t="s">
        <v>5</v>
      </c>
      <c r="D45" s="34">
        <v>12</v>
      </c>
      <c r="E45" s="34">
        <v>1804</v>
      </c>
      <c r="F45" s="34">
        <v>44</v>
      </c>
      <c r="G45" s="34" t="s">
        <v>3</v>
      </c>
      <c r="H45" s="34" t="s">
        <v>4</v>
      </c>
      <c r="I45" s="39">
        <v>0.11462040465974899</v>
      </c>
    </row>
    <row r="46" spans="1:9" x14ac:dyDescent="0.3">
      <c r="A46" s="34">
        <v>45</v>
      </c>
      <c r="B46" s="34">
        <v>443</v>
      </c>
      <c r="C46" s="34" t="s">
        <v>5</v>
      </c>
      <c r="D46" s="34">
        <v>20</v>
      </c>
      <c r="E46" s="34">
        <v>2629</v>
      </c>
      <c r="F46" s="34">
        <v>29</v>
      </c>
      <c r="G46" s="34" t="s">
        <v>3</v>
      </c>
      <c r="H46" s="34" t="s">
        <v>4</v>
      </c>
      <c r="I46" s="39">
        <v>0.11487793207901975</v>
      </c>
    </row>
    <row r="47" spans="1:9" x14ac:dyDescent="0.3">
      <c r="A47" s="34">
        <v>46</v>
      </c>
      <c r="B47" s="34">
        <v>700</v>
      </c>
      <c r="C47" s="34" t="s">
        <v>5</v>
      </c>
      <c r="D47" s="34">
        <v>15</v>
      </c>
      <c r="E47" s="34">
        <v>1905</v>
      </c>
      <c r="F47" s="34">
        <v>40</v>
      </c>
      <c r="G47" s="34" t="s">
        <v>3</v>
      </c>
      <c r="H47" s="34" t="s">
        <v>9</v>
      </c>
      <c r="I47" s="39">
        <v>0.1149200820526296</v>
      </c>
    </row>
    <row r="48" spans="1:9" x14ac:dyDescent="0.3">
      <c r="A48" s="34">
        <v>47</v>
      </c>
      <c r="B48" s="34">
        <v>503</v>
      </c>
      <c r="C48" s="34" t="s">
        <v>5</v>
      </c>
      <c r="D48" s="34">
        <v>9</v>
      </c>
      <c r="E48" s="34">
        <v>1126</v>
      </c>
      <c r="F48" s="34">
        <v>49</v>
      </c>
      <c r="G48" s="34" t="s">
        <v>10</v>
      </c>
      <c r="H48" s="34" t="s">
        <v>4</v>
      </c>
      <c r="I48" s="39">
        <v>0.11495627174835321</v>
      </c>
    </row>
    <row r="49" spans="1:9" x14ac:dyDescent="0.3">
      <c r="A49" s="34">
        <v>48</v>
      </c>
      <c r="B49" s="34">
        <v>283</v>
      </c>
      <c r="C49" s="34" t="s">
        <v>5</v>
      </c>
      <c r="D49" s="34">
        <v>18</v>
      </c>
      <c r="E49" s="34">
        <v>1445</v>
      </c>
      <c r="F49" s="34">
        <v>49</v>
      </c>
      <c r="G49" s="34" t="s">
        <v>3</v>
      </c>
      <c r="H49" s="34" t="s">
        <v>4</v>
      </c>
      <c r="I49" s="39">
        <v>0.11726084868990128</v>
      </c>
    </row>
    <row r="50" spans="1:9" x14ac:dyDescent="0.3">
      <c r="A50" s="34">
        <v>49</v>
      </c>
      <c r="B50" s="34">
        <v>23</v>
      </c>
      <c r="C50" s="34" t="s">
        <v>5</v>
      </c>
      <c r="D50" s="34">
        <v>10</v>
      </c>
      <c r="E50" s="34">
        <v>2241</v>
      </c>
      <c r="F50" s="34">
        <v>48</v>
      </c>
      <c r="G50" s="34" t="s">
        <v>3</v>
      </c>
      <c r="H50" s="34" t="s">
        <v>9</v>
      </c>
      <c r="I50" s="39">
        <v>0.1189439589165785</v>
      </c>
    </row>
    <row r="51" spans="1:9" x14ac:dyDescent="0.3">
      <c r="A51" s="34">
        <v>50</v>
      </c>
      <c r="B51" s="34">
        <v>479</v>
      </c>
      <c r="C51" s="34" t="s">
        <v>5</v>
      </c>
      <c r="D51" s="34">
        <v>12</v>
      </c>
      <c r="E51" s="34">
        <v>1037</v>
      </c>
      <c r="F51" s="34">
        <v>39</v>
      </c>
      <c r="G51" s="34" t="s">
        <v>3</v>
      </c>
      <c r="H51" s="34" t="s">
        <v>4</v>
      </c>
      <c r="I51" s="39">
        <v>0.11924718804196532</v>
      </c>
    </row>
    <row r="52" spans="1:9" x14ac:dyDescent="0.3">
      <c r="A52" s="34">
        <v>51</v>
      </c>
      <c r="B52" s="34">
        <v>263</v>
      </c>
      <c r="C52" s="34" t="s">
        <v>5</v>
      </c>
      <c r="D52" s="34">
        <v>18</v>
      </c>
      <c r="E52" s="34">
        <v>5302</v>
      </c>
      <c r="F52" s="34">
        <v>36</v>
      </c>
      <c r="G52" s="34" t="s">
        <v>3</v>
      </c>
      <c r="H52" s="34" t="s">
        <v>8</v>
      </c>
      <c r="I52" s="39">
        <v>0.12181436640146548</v>
      </c>
    </row>
    <row r="53" spans="1:9" x14ac:dyDescent="0.3">
      <c r="A53" s="34">
        <v>52</v>
      </c>
      <c r="B53" s="34">
        <v>374</v>
      </c>
      <c r="C53" s="34" t="s">
        <v>5</v>
      </c>
      <c r="D53" s="34">
        <v>60</v>
      </c>
      <c r="E53" s="34">
        <v>13756</v>
      </c>
      <c r="F53" s="34">
        <v>63</v>
      </c>
      <c r="G53" s="34" t="s">
        <v>3</v>
      </c>
      <c r="H53" s="34" t="s">
        <v>8</v>
      </c>
      <c r="I53" s="39">
        <v>0.12349499854539026</v>
      </c>
    </row>
    <row r="54" spans="1:9" x14ac:dyDescent="0.3">
      <c r="A54" s="34">
        <v>53</v>
      </c>
      <c r="B54" s="34">
        <v>157</v>
      </c>
      <c r="C54" s="34" t="s">
        <v>5</v>
      </c>
      <c r="D54" s="34">
        <v>9</v>
      </c>
      <c r="E54" s="34">
        <v>1288</v>
      </c>
      <c r="F54" s="34">
        <v>48</v>
      </c>
      <c r="G54" s="34" t="s">
        <v>3</v>
      </c>
      <c r="H54" s="34" t="s">
        <v>4</v>
      </c>
      <c r="I54" s="39">
        <v>0.12415073217194073</v>
      </c>
    </row>
    <row r="55" spans="1:9" x14ac:dyDescent="0.3">
      <c r="A55" s="34">
        <v>54</v>
      </c>
      <c r="B55" s="34">
        <v>66</v>
      </c>
      <c r="C55" s="34" t="s">
        <v>5</v>
      </c>
      <c r="D55" s="34">
        <v>27</v>
      </c>
      <c r="E55" s="34">
        <v>5190</v>
      </c>
      <c r="F55" s="34">
        <v>48</v>
      </c>
      <c r="G55" s="34" t="s">
        <v>3</v>
      </c>
      <c r="H55" s="34" t="s">
        <v>4</v>
      </c>
      <c r="I55" s="39">
        <v>0.1244238630898894</v>
      </c>
    </row>
    <row r="56" spans="1:9" x14ac:dyDescent="0.3">
      <c r="A56" s="34">
        <v>55</v>
      </c>
      <c r="B56" s="34">
        <v>799</v>
      </c>
      <c r="C56" s="34" t="s">
        <v>5</v>
      </c>
      <c r="D56" s="34">
        <v>24</v>
      </c>
      <c r="E56" s="34">
        <v>717</v>
      </c>
      <c r="F56" s="34">
        <v>54</v>
      </c>
      <c r="G56" s="34" t="s">
        <v>11</v>
      </c>
      <c r="H56" s="34" t="s">
        <v>4</v>
      </c>
      <c r="I56" s="39">
        <v>0.12507087750384704</v>
      </c>
    </row>
    <row r="57" spans="1:9" x14ac:dyDescent="0.3">
      <c r="A57" s="34">
        <v>56</v>
      </c>
      <c r="B57" s="34">
        <v>423</v>
      </c>
      <c r="C57" s="34" t="s">
        <v>5</v>
      </c>
      <c r="D57" s="34">
        <v>12</v>
      </c>
      <c r="E57" s="34">
        <v>958</v>
      </c>
      <c r="F57" s="34">
        <v>47</v>
      </c>
      <c r="G57" s="34" t="s">
        <v>3</v>
      </c>
      <c r="H57" s="34" t="s">
        <v>4</v>
      </c>
      <c r="I57" s="39">
        <v>0.12848678384915935</v>
      </c>
    </row>
    <row r="58" spans="1:9" x14ac:dyDescent="0.3">
      <c r="A58" s="34">
        <v>57</v>
      </c>
      <c r="B58" s="34">
        <v>68</v>
      </c>
      <c r="C58" s="34" t="s">
        <v>5</v>
      </c>
      <c r="D58" s="34">
        <v>12</v>
      </c>
      <c r="E58" s="34">
        <v>1007</v>
      </c>
      <c r="F58" s="34">
        <v>22</v>
      </c>
      <c r="G58" s="34" t="s">
        <v>11</v>
      </c>
      <c r="H58" s="34" t="s">
        <v>4</v>
      </c>
      <c r="I58" s="39">
        <v>0.13399825273043664</v>
      </c>
    </row>
    <row r="59" spans="1:9" x14ac:dyDescent="0.3">
      <c r="A59" s="34">
        <v>58</v>
      </c>
      <c r="B59" s="34">
        <v>284</v>
      </c>
      <c r="C59" s="34" t="s">
        <v>5</v>
      </c>
      <c r="D59" s="34">
        <v>15</v>
      </c>
      <c r="E59" s="34">
        <v>1520</v>
      </c>
      <c r="F59" s="34">
        <v>63</v>
      </c>
      <c r="G59" s="34" t="s">
        <v>3</v>
      </c>
      <c r="H59" s="34" t="s">
        <v>4</v>
      </c>
      <c r="I59" s="39">
        <v>0.13583594478502192</v>
      </c>
    </row>
    <row r="60" spans="1:9" x14ac:dyDescent="0.3">
      <c r="A60" s="34">
        <v>59</v>
      </c>
      <c r="B60" s="34">
        <v>215</v>
      </c>
      <c r="C60" s="34" t="s">
        <v>5</v>
      </c>
      <c r="D60" s="34">
        <v>36</v>
      </c>
      <c r="E60" s="34">
        <v>3342</v>
      </c>
      <c r="F60" s="34">
        <v>51</v>
      </c>
      <c r="G60" s="34" t="s">
        <v>3</v>
      </c>
      <c r="H60" s="34" t="s">
        <v>4</v>
      </c>
      <c r="I60" s="39">
        <v>0.13587945792084921</v>
      </c>
    </row>
    <row r="61" spans="1:9" x14ac:dyDescent="0.3">
      <c r="A61" s="34">
        <v>60</v>
      </c>
      <c r="B61" s="34">
        <v>278</v>
      </c>
      <c r="C61" s="34" t="s">
        <v>5</v>
      </c>
      <c r="D61" s="34">
        <v>12</v>
      </c>
      <c r="E61" s="34">
        <v>1262</v>
      </c>
      <c r="F61" s="34">
        <v>49</v>
      </c>
      <c r="G61" s="34" t="s">
        <v>10</v>
      </c>
      <c r="H61" s="34" t="s">
        <v>4</v>
      </c>
      <c r="I61" s="39">
        <v>0.13889773771423286</v>
      </c>
    </row>
    <row r="62" spans="1:9" x14ac:dyDescent="0.3">
      <c r="A62" s="34">
        <v>61</v>
      </c>
      <c r="B62" s="34">
        <v>470</v>
      </c>
      <c r="C62" s="34" t="s">
        <v>5</v>
      </c>
      <c r="D62" s="34">
        <v>24</v>
      </c>
      <c r="E62" s="34">
        <v>4679</v>
      </c>
      <c r="F62" s="34">
        <v>35</v>
      </c>
      <c r="G62" s="34" t="s">
        <v>3</v>
      </c>
      <c r="H62" s="34" t="s">
        <v>4</v>
      </c>
      <c r="I62" s="39">
        <v>0.1394039494712509</v>
      </c>
    </row>
    <row r="63" spans="1:9" x14ac:dyDescent="0.3">
      <c r="A63" s="34">
        <v>62</v>
      </c>
      <c r="B63" s="34">
        <v>211</v>
      </c>
      <c r="C63" s="34" t="s">
        <v>5</v>
      </c>
      <c r="D63" s="34">
        <v>9</v>
      </c>
      <c r="E63" s="34">
        <v>3074</v>
      </c>
      <c r="F63" s="34">
        <v>33</v>
      </c>
      <c r="G63" s="34" t="s">
        <v>3</v>
      </c>
      <c r="H63" s="34" t="s">
        <v>4</v>
      </c>
      <c r="I63" s="39">
        <v>0.14157711399209794</v>
      </c>
    </row>
    <row r="64" spans="1:9" x14ac:dyDescent="0.3">
      <c r="A64" s="34">
        <v>63</v>
      </c>
      <c r="B64" s="34">
        <v>686</v>
      </c>
      <c r="C64" s="34" t="s">
        <v>5</v>
      </c>
      <c r="D64" s="34">
        <v>60</v>
      </c>
      <c r="E64" s="34">
        <v>6527</v>
      </c>
      <c r="F64" s="34">
        <v>34</v>
      </c>
      <c r="G64" s="34" t="s">
        <v>3</v>
      </c>
      <c r="H64" s="34" t="s">
        <v>8</v>
      </c>
      <c r="I64" s="39">
        <v>0.14177296570953324</v>
      </c>
    </row>
    <row r="65" spans="1:9" x14ac:dyDescent="0.3">
      <c r="A65" s="34">
        <v>64</v>
      </c>
      <c r="B65" s="34">
        <v>565</v>
      </c>
      <c r="C65" s="34" t="s">
        <v>5</v>
      </c>
      <c r="D65" s="34">
        <v>24</v>
      </c>
      <c r="E65" s="34">
        <v>4712</v>
      </c>
      <c r="F65" s="34">
        <v>37</v>
      </c>
      <c r="G65" s="34" t="s">
        <v>3</v>
      </c>
      <c r="H65" s="34" t="s">
        <v>4</v>
      </c>
      <c r="I65" s="39">
        <v>0.14195229159749001</v>
      </c>
    </row>
    <row r="66" spans="1:9" x14ac:dyDescent="0.3">
      <c r="A66" s="34">
        <v>65</v>
      </c>
      <c r="B66" s="34">
        <v>345</v>
      </c>
      <c r="C66" s="34" t="s">
        <v>5</v>
      </c>
      <c r="D66" s="34">
        <v>10</v>
      </c>
      <c r="E66" s="34">
        <v>3949</v>
      </c>
      <c r="F66" s="34">
        <v>37</v>
      </c>
      <c r="G66" s="34" t="s">
        <v>3</v>
      </c>
      <c r="H66" s="34" t="s">
        <v>4</v>
      </c>
      <c r="I66" s="39">
        <v>0.14801751300766497</v>
      </c>
    </row>
    <row r="67" spans="1:9" x14ac:dyDescent="0.3">
      <c r="A67" s="34">
        <v>66</v>
      </c>
      <c r="B67" s="34">
        <v>21</v>
      </c>
      <c r="C67" s="34" t="s">
        <v>5</v>
      </c>
      <c r="D67" s="34">
        <v>9</v>
      </c>
      <c r="E67" s="34">
        <v>2134</v>
      </c>
      <c r="F67" s="34">
        <v>48</v>
      </c>
      <c r="G67" s="34" t="s">
        <v>3</v>
      </c>
      <c r="H67" s="34" t="s">
        <v>4</v>
      </c>
      <c r="I67" s="39">
        <v>0.14921509675668299</v>
      </c>
    </row>
    <row r="68" spans="1:9" x14ac:dyDescent="0.3">
      <c r="A68" s="34">
        <v>67</v>
      </c>
      <c r="B68" s="34">
        <v>310</v>
      </c>
      <c r="C68" s="34" t="s">
        <v>5</v>
      </c>
      <c r="D68" s="34">
        <v>9</v>
      </c>
      <c r="E68" s="34">
        <v>276</v>
      </c>
      <c r="F68" s="34">
        <v>22</v>
      </c>
      <c r="G68" s="34" t="s">
        <v>11</v>
      </c>
      <c r="H68" s="34" t="s">
        <v>9</v>
      </c>
      <c r="I68" s="39">
        <v>0.15195044264517266</v>
      </c>
    </row>
    <row r="69" spans="1:9" x14ac:dyDescent="0.3">
      <c r="A69" s="34">
        <v>68</v>
      </c>
      <c r="B69" s="34">
        <v>962</v>
      </c>
      <c r="C69" s="34" t="s">
        <v>5</v>
      </c>
      <c r="D69" s="34">
        <v>21</v>
      </c>
      <c r="E69" s="34">
        <v>2353</v>
      </c>
      <c r="F69" s="34">
        <v>47</v>
      </c>
      <c r="G69" s="34" t="s">
        <v>10</v>
      </c>
      <c r="H69" s="34" t="s">
        <v>4</v>
      </c>
      <c r="I69" s="39">
        <v>0.15325936961143383</v>
      </c>
    </row>
    <row r="70" spans="1:9" x14ac:dyDescent="0.3">
      <c r="A70" s="34">
        <v>69</v>
      </c>
      <c r="B70" s="34">
        <v>225</v>
      </c>
      <c r="C70" s="34" t="s">
        <v>5</v>
      </c>
      <c r="D70" s="34">
        <v>15</v>
      </c>
      <c r="E70" s="34">
        <v>4657</v>
      </c>
      <c r="F70" s="34">
        <v>30</v>
      </c>
      <c r="G70" s="34" t="s">
        <v>3</v>
      </c>
      <c r="H70" s="34" t="s">
        <v>4</v>
      </c>
      <c r="I70" s="39">
        <v>0.15490264852867908</v>
      </c>
    </row>
    <row r="71" spans="1:9" x14ac:dyDescent="0.3">
      <c r="A71" s="34">
        <v>70</v>
      </c>
      <c r="B71" s="34">
        <v>869</v>
      </c>
      <c r="C71" s="34" t="s">
        <v>5</v>
      </c>
      <c r="D71" s="34">
        <v>36</v>
      </c>
      <c r="E71" s="34">
        <v>7409</v>
      </c>
      <c r="F71" s="34">
        <v>37</v>
      </c>
      <c r="G71" s="34" t="s">
        <v>3</v>
      </c>
      <c r="H71" s="34" t="s">
        <v>4</v>
      </c>
      <c r="I71" s="39">
        <v>0.15629714695870689</v>
      </c>
    </row>
    <row r="72" spans="1:9" x14ac:dyDescent="0.3">
      <c r="A72" s="34">
        <v>71</v>
      </c>
      <c r="B72" s="34">
        <v>922</v>
      </c>
      <c r="C72" s="34" t="s">
        <v>5</v>
      </c>
      <c r="D72" s="34">
        <v>48</v>
      </c>
      <c r="E72" s="34">
        <v>12749</v>
      </c>
      <c r="F72" s="34">
        <v>37</v>
      </c>
      <c r="G72" s="34" t="s">
        <v>3</v>
      </c>
      <c r="H72" s="34" t="s">
        <v>4</v>
      </c>
      <c r="I72" s="39">
        <v>0.16172367514228181</v>
      </c>
    </row>
    <row r="73" spans="1:9" x14ac:dyDescent="0.3">
      <c r="A73" s="34">
        <v>72</v>
      </c>
      <c r="B73" s="34">
        <v>299</v>
      </c>
      <c r="C73" s="34" t="s">
        <v>5</v>
      </c>
      <c r="D73" s="34">
        <v>18</v>
      </c>
      <c r="E73" s="34">
        <v>2515</v>
      </c>
      <c r="F73" s="34">
        <v>43</v>
      </c>
      <c r="G73" s="34" t="s">
        <v>3</v>
      </c>
      <c r="H73" s="34" t="s">
        <v>4</v>
      </c>
      <c r="I73" s="39">
        <v>0.16564411095131792</v>
      </c>
    </row>
    <row r="74" spans="1:9" x14ac:dyDescent="0.3">
      <c r="A74" s="34">
        <v>73</v>
      </c>
      <c r="B74" s="34">
        <v>388</v>
      </c>
      <c r="C74" s="34" t="s">
        <v>5</v>
      </c>
      <c r="D74" s="34">
        <v>18</v>
      </c>
      <c r="E74" s="34">
        <v>7374</v>
      </c>
      <c r="F74" s="34">
        <v>40</v>
      </c>
      <c r="G74" s="34" t="s">
        <v>3</v>
      </c>
      <c r="H74" s="34" t="s">
        <v>4</v>
      </c>
      <c r="I74" s="39">
        <v>0.16655175681449164</v>
      </c>
    </row>
    <row r="75" spans="1:9" x14ac:dyDescent="0.3">
      <c r="A75" s="34">
        <v>74</v>
      </c>
      <c r="B75" s="34">
        <v>521</v>
      </c>
      <c r="C75" s="34" t="s">
        <v>5</v>
      </c>
      <c r="D75" s="34">
        <v>24</v>
      </c>
      <c r="E75" s="34">
        <v>5507</v>
      </c>
      <c r="F75" s="34">
        <v>44</v>
      </c>
      <c r="G75" s="34" t="s">
        <v>3</v>
      </c>
      <c r="H75" s="34" t="s">
        <v>8</v>
      </c>
      <c r="I75" s="39">
        <v>0.16709186667374476</v>
      </c>
    </row>
    <row r="76" spans="1:9" x14ac:dyDescent="0.3">
      <c r="A76" s="34">
        <v>75</v>
      </c>
      <c r="B76" s="34">
        <v>291</v>
      </c>
      <c r="C76" s="34" t="s">
        <v>5</v>
      </c>
      <c r="D76" s="34">
        <v>12</v>
      </c>
      <c r="E76" s="34">
        <v>1076</v>
      </c>
      <c r="F76" s="34">
        <v>26</v>
      </c>
      <c r="G76" s="34" t="s">
        <v>11</v>
      </c>
      <c r="H76" s="34" t="s">
        <v>4</v>
      </c>
      <c r="I76" s="39">
        <v>0.1684962260180406</v>
      </c>
    </row>
    <row r="77" spans="1:9" x14ac:dyDescent="0.3">
      <c r="A77" s="34">
        <v>76</v>
      </c>
      <c r="B77" s="34">
        <v>864</v>
      </c>
      <c r="C77" s="34" t="s">
        <v>5</v>
      </c>
      <c r="D77" s="34">
        <v>27</v>
      </c>
      <c r="E77" s="34">
        <v>4526</v>
      </c>
      <c r="F77" s="34">
        <v>32</v>
      </c>
      <c r="G77" s="34" t="s">
        <v>3</v>
      </c>
      <c r="H77" s="34" t="s">
        <v>4</v>
      </c>
      <c r="I77" s="39">
        <v>0.17240626633622147</v>
      </c>
    </row>
    <row r="78" spans="1:9" x14ac:dyDescent="0.3">
      <c r="A78" s="34">
        <v>77</v>
      </c>
      <c r="B78" s="34">
        <v>146</v>
      </c>
      <c r="C78" s="34" t="s">
        <v>5</v>
      </c>
      <c r="D78" s="34">
        <v>48</v>
      </c>
      <c r="E78" s="34">
        <v>3566</v>
      </c>
      <c r="F78" s="34">
        <v>30</v>
      </c>
      <c r="G78" s="34" t="s">
        <v>3</v>
      </c>
      <c r="H78" s="34" t="s">
        <v>4</v>
      </c>
      <c r="I78" s="39">
        <v>0.17473189504959907</v>
      </c>
    </row>
    <row r="79" spans="1:9" x14ac:dyDescent="0.3">
      <c r="A79" s="34">
        <v>78</v>
      </c>
      <c r="B79" s="34">
        <v>41</v>
      </c>
      <c r="C79" s="34" t="s">
        <v>5</v>
      </c>
      <c r="D79" s="34">
        <v>30</v>
      </c>
      <c r="E79" s="34">
        <v>2333</v>
      </c>
      <c r="F79" s="34">
        <v>30</v>
      </c>
      <c r="G79" s="34" t="s">
        <v>3</v>
      </c>
      <c r="H79" s="34" t="s">
        <v>4</v>
      </c>
      <c r="I79" s="39">
        <v>0.18278289184778751</v>
      </c>
    </row>
    <row r="80" spans="1:9" x14ac:dyDescent="0.3">
      <c r="A80" s="34">
        <v>79</v>
      </c>
      <c r="B80" s="34">
        <v>530</v>
      </c>
      <c r="C80" s="34" t="s">
        <v>5</v>
      </c>
      <c r="D80" s="34">
        <v>6</v>
      </c>
      <c r="E80" s="34">
        <v>662</v>
      </c>
      <c r="F80" s="34">
        <v>41</v>
      </c>
      <c r="G80" s="34" t="s">
        <v>3</v>
      </c>
      <c r="H80" s="34" t="s">
        <v>4</v>
      </c>
      <c r="I80" s="39">
        <v>0.19261040894223724</v>
      </c>
    </row>
    <row r="81" spans="1:9" x14ac:dyDescent="0.3">
      <c r="A81" s="34">
        <v>80</v>
      </c>
      <c r="B81" s="34">
        <v>294</v>
      </c>
      <c r="C81" s="34" t="s">
        <v>5</v>
      </c>
      <c r="D81" s="34">
        <v>42</v>
      </c>
      <c r="E81" s="34">
        <v>4796</v>
      </c>
      <c r="F81" s="34">
        <v>56</v>
      </c>
      <c r="G81" s="34" t="s">
        <v>3</v>
      </c>
      <c r="H81" s="34" t="s">
        <v>8</v>
      </c>
      <c r="I81" s="39">
        <v>0.20279261894412748</v>
      </c>
    </row>
    <row r="82" spans="1:9" x14ac:dyDescent="0.3">
      <c r="A82" s="34">
        <v>81</v>
      </c>
      <c r="B82" s="34">
        <v>164</v>
      </c>
      <c r="C82" s="34" t="s">
        <v>5</v>
      </c>
      <c r="D82" s="34">
        <v>10</v>
      </c>
      <c r="E82" s="34">
        <v>7308</v>
      </c>
      <c r="F82" s="34">
        <v>70</v>
      </c>
      <c r="G82" s="34" t="s">
        <v>3</v>
      </c>
      <c r="H82" s="34" t="s">
        <v>8</v>
      </c>
      <c r="I82" s="39">
        <v>0.20464466801349823</v>
      </c>
    </row>
    <row r="83" spans="1:9" x14ac:dyDescent="0.3">
      <c r="A83" s="34">
        <v>82</v>
      </c>
      <c r="B83" s="34">
        <v>427</v>
      </c>
      <c r="C83" s="34" t="s">
        <v>5</v>
      </c>
      <c r="D83" s="34">
        <v>28</v>
      </c>
      <c r="E83" s="34">
        <v>2743</v>
      </c>
      <c r="F83" s="34">
        <v>29</v>
      </c>
      <c r="G83" s="34" t="s">
        <v>3</v>
      </c>
      <c r="H83" s="34" t="s">
        <v>4</v>
      </c>
      <c r="I83" s="39">
        <v>0.20549779168965365</v>
      </c>
    </row>
    <row r="84" spans="1:9" x14ac:dyDescent="0.3">
      <c r="A84" s="34">
        <v>83</v>
      </c>
      <c r="B84" s="34">
        <v>235</v>
      </c>
      <c r="C84" s="34" t="s">
        <v>5</v>
      </c>
      <c r="D84" s="34">
        <v>4</v>
      </c>
      <c r="E84" s="34">
        <v>1544</v>
      </c>
      <c r="F84" s="34">
        <v>42</v>
      </c>
      <c r="G84" s="34" t="s">
        <v>3</v>
      </c>
      <c r="H84" s="34" t="s">
        <v>4</v>
      </c>
      <c r="I84" s="39">
        <v>0.20629875933258979</v>
      </c>
    </row>
    <row r="85" spans="1:9" x14ac:dyDescent="0.3">
      <c r="A85" s="34">
        <v>84</v>
      </c>
      <c r="B85" s="34">
        <v>738</v>
      </c>
      <c r="C85" s="34" t="s">
        <v>5</v>
      </c>
      <c r="D85" s="34">
        <v>18</v>
      </c>
      <c r="E85" s="34">
        <v>4380</v>
      </c>
      <c r="F85" s="34">
        <v>35</v>
      </c>
      <c r="G85" s="34" t="s">
        <v>3</v>
      </c>
      <c r="H85" s="34" t="s">
        <v>4</v>
      </c>
      <c r="I85" s="39">
        <v>0.20721759096365389</v>
      </c>
    </row>
    <row r="86" spans="1:9" x14ac:dyDescent="0.3">
      <c r="A86" s="34">
        <v>85</v>
      </c>
      <c r="B86" s="34">
        <v>391</v>
      </c>
      <c r="C86" s="34" t="s">
        <v>5</v>
      </c>
      <c r="D86" s="34">
        <v>18</v>
      </c>
      <c r="E86" s="34">
        <v>1820</v>
      </c>
      <c r="F86" s="34">
        <v>30</v>
      </c>
      <c r="G86" s="34" t="s">
        <v>11</v>
      </c>
      <c r="H86" s="34" t="s">
        <v>4</v>
      </c>
      <c r="I86" s="39">
        <v>0.20725900582109713</v>
      </c>
    </row>
    <row r="87" spans="1:9" x14ac:dyDescent="0.3">
      <c r="A87" s="34">
        <v>86</v>
      </c>
      <c r="B87" s="34">
        <v>494</v>
      </c>
      <c r="C87" s="34" t="s">
        <v>5</v>
      </c>
      <c r="D87" s="34">
        <v>6</v>
      </c>
      <c r="E87" s="34">
        <v>368</v>
      </c>
      <c r="F87" s="34">
        <v>38</v>
      </c>
      <c r="G87" s="34" t="s">
        <v>3</v>
      </c>
      <c r="H87" s="34" t="s">
        <v>4</v>
      </c>
      <c r="I87" s="39">
        <v>0.2090041828973882</v>
      </c>
    </row>
    <row r="88" spans="1:9" x14ac:dyDescent="0.3">
      <c r="A88" s="34">
        <v>87</v>
      </c>
      <c r="B88" s="34">
        <v>9</v>
      </c>
      <c r="C88" s="34" t="s">
        <v>5</v>
      </c>
      <c r="D88" s="34">
        <v>12</v>
      </c>
      <c r="E88" s="34">
        <v>3059</v>
      </c>
      <c r="F88" s="34">
        <v>61</v>
      </c>
      <c r="G88" s="34" t="s">
        <v>10</v>
      </c>
      <c r="H88" s="34" t="s">
        <v>4</v>
      </c>
      <c r="I88" s="39">
        <v>0.20970350927005532</v>
      </c>
    </row>
    <row r="89" spans="1:9" x14ac:dyDescent="0.3">
      <c r="A89" s="34">
        <v>88</v>
      </c>
      <c r="B89" s="34">
        <v>746</v>
      </c>
      <c r="C89" s="34" t="s">
        <v>5</v>
      </c>
      <c r="D89" s="34">
        <v>13</v>
      </c>
      <c r="E89" s="34">
        <v>1797</v>
      </c>
      <c r="F89" s="34">
        <v>28</v>
      </c>
      <c r="G89" s="34" t="s">
        <v>3</v>
      </c>
      <c r="H89" s="34" t="s">
        <v>4</v>
      </c>
      <c r="I89" s="39">
        <v>0.20981135797308892</v>
      </c>
    </row>
    <row r="90" spans="1:9" x14ac:dyDescent="0.3">
      <c r="A90" s="34">
        <v>89</v>
      </c>
      <c r="B90" s="34">
        <v>61</v>
      </c>
      <c r="C90" s="34" t="s">
        <v>5</v>
      </c>
      <c r="D90" s="34">
        <v>9</v>
      </c>
      <c r="E90" s="34">
        <v>1391</v>
      </c>
      <c r="F90" s="34">
        <v>27</v>
      </c>
      <c r="G90" s="34" t="s">
        <v>11</v>
      </c>
      <c r="H90" s="34" t="s">
        <v>4</v>
      </c>
      <c r="I90" s="39">
        <v>0.21336573498093614</v>
      </c>
    </row>
    <row r="91" spans="1:9" x14ac:dyDescent="0.3">
      <c r="A91" s="34">
        <v>90</v>
      </c>
      <c r="B91" s="34">
        <v>89</v>
      </c>
      <c r="C91" s="34" t="s">
        <v>5</v>
      </c>
      <c r="D91" s="34">
        <v>18</v>
      </c>
      <c r="E91" s="34">
        <v>2249</v>
      </c>
      <c r="F91" s="34">
        <v>30</v>
      </c>
      <c r="G91" s="34" t="s">
        <v>3</v>
      </c>
      <c r="H91" s="34" t="s">
        <v>4</v>
      </c>
      <c r="I91" s="39">
        <v>0.21359155010082675</v>
      </c>
    </row>
    <row r="92" spans="1:9" x14ac:dyDescent="0.3">
      <c r="A92" s="34">
        <v>91</v>
      </c>
      <c r="B92" s="34">
        <v>441</v>
      </c>
      <c r="C92" s="34" t="s">
        <v>5</v>
      </c>
      <c r="D92" s="34">
        <v>12</v>
      </c>
      <c r="E92" s="34">
        <v>1884</v>
      </c>
      <c r="F92" s="34">
        <v>39</v>
      </c>
      <c r="G92" s="34" t="s">
        <v>3</v>
      </c>
      <c r="H92" s="34" t="s">
        <v>4</v>
      </c>
      <c r="I92" s="39">
        <v>0.21899494513335438</v>
      </c>
    </row>
    <row r="93" spans="1:9" x14ac:dyDescent="0.3">
      <c r="A93" s="34">
        <v>92</v>
      </c>
      <c r="B93" s="34">
        <v>26</v>
      </c>
      <c r="C93" s="34" t="s">
        <v>5</v>
      </c>
      <c r="D93" s="34">
        <v>6</v>
      </c>
      <c r="E93" s="34">
        <v>1374</v>
      </c>
      <c r="F93" s="34">
        <v>36</v>
      </c>
      <c r="G93" s="34" t="s">
        <v>3</v>
      </c>
      <c r="H93" s="34" t="s">
        <v>4</v>
      </c>
      <c r="I93" s="39">
        <v>0.22312816314594275</v>
      </c>
    </row>
    <row r="94" spans="1:9" x14ac:dyDescent="0.3">
      <c r="A94" s="34">
        <v>93</v>
      </c>
      <c r="B94" s="34">
        <v>7</v>
      </c>
      <c r="C94" s="34" t="s">
        <v>5</v>
      </c>
      <c r="D94" s="34">
        <v>24</v>
      </c>
      <c r="E94" s="34">
        <v>2835</v>
      </c>
      <c r="F94" s="34">
        <v>53</v>
      </c>
      <c r="G94" s="34" t="s">
        <v>3</v>
      </c>
      <c r="H94" s="34" t="s">
        <v>4</v>
      </c>
      <c r="I94" s="39">
        <v>0.22313377579787907</v>
      </c>
    </row>
    <row r="95" spans="1:9" x14ac:dyDescent="0.3">
      <c r="A95" s="34">
        <v>94</v>
      </c>
      <c r="B95" s="34">
        <v>989</v>
      </c>
      <c r="C95" s="34" t="s">
        <v>5</v>
      </c>
      <c r="D95" s="34">
        <v>24</v>
      </c>
      <c r="E95" s="34">
        <v>6579</v>
      </c>
      <c r="F95" s="34">
        <v>29</v>
      </c>
      <c r="G95" s="34" t="s">
        <v>3</v>
      </c>
      <c r="H95" s="34" t="s">
        <v>8</v>
      </c>
      <c r="I95" s="39">
        <v>0.22442689811692873</v>
      </c>
    </row>
    <row r="96" spans="1:9" x14ac:dyDescent="0.3">
      <c r="A96" s="34">
        <v>95</v>
      </c>
      <c r="B96" s="34">
        <v>42</v>
      </c>
      <c r="C96" s="34" t="s">
        <v>5</v>
      </c>
      <c r="D96" s="34">
        <v>12</v>
      </c>
      <c r="E96" s="34">
        <v>1158</v>
      </c>
      <c r="F96" s="34">
        <v>26</v>
      </c>
      <c r="G96" s="34" t="s">
        <v>10</v>
      </c>
      <c r="H96" s="34" t="s">
        <v>4</v>
      </c>
      <c r="I96" s="39">
        <v>0.22505154811321004</v>
      </c>
    </row>
    <row r="97" spans="1:9" x14ac:dyDescent="0.3">
      <c r="A97" s="34">
        <v>96</v>
      </c>
      <c r="B97" s="34">
        <v>163</v>
      </c>
      <c r="C97" s="34" t="s">
        <v>5</v>
      </c>
      <c r="D97" s="34">
        <v>15</v>
      </c>
      <c r="E97" s="34">
        <v>1262</v>
      </c>
      <c r="F97" s="34">
        <v>36</v>
      </c>
      <c r="G97" s="34" t="s">
        <v>3</v>
      </c>
      <c r="H97" s="34" t="s">
        <v>4</v>
      </c>
      <c r="I97" s="39">
        <v>0.22522202024669391</v>
      </c>
    </row>
    <row r="98" spans="1:9" x14ac:dyDescent="0.3">
      <c r="A98" s="34">
        <v>97</v>
      </c>
      <c r="B98" s="34">
        <v>969</v>
      </c>
      <c r="C98" s="34" t="s">
        <v>5</v>
      </c>
      <c r="D98" s="34">
        <v>42</v>
      </c>
      <c r="E98" s="34">
        <v>7166</v>
      </c>
      <c r="F98" s="34">
        <v>29</v>
      </c>
      <c r="G98" s="34" t="s">
        <v>11</v>
      </c>
      <c r="H98" s="34" t="s">
        <v>9</v>
      </c>
      <c r="I98" s="39">
        <v>0.22591079331097896</v>
      </c>
    </row>
    <row r="99" spans="1:9" x14ac:dyDescent="0.3">
      <c r="A99" s="34">
        <v>98</v>
      </c>
      <c r="B99" s="34">
        <v>155</v>
      </c>
      <c r="C99" s="34" t="s">
        <v>5</v>
      </c>
      <c r="D99" s="34">
        <v>24</v>
      </c>
      <c r="E99" s="34">
        <v>6967</v>
      </c>
      <c r="F99" s="34">
        <v>36</v>
      </c>
      <c r="G99" s="34" t="s">
        <v>3</v>
      </c>
      <c r="H99" s="34" t="s">
        <v>9</v>
      </c>
      <c r="I99" s="39">
        <v>0.23794043473234761</v>
      </c>
    </row>
    <row r="100" spans="1:9" x14ac:dyDescent="0.3">
      <c r="A100" s="34">
        <v>99</v>
      </c>
      <c r="B100" s="34">
        <v>311</v>
      </c>
      <c r="C100" s="34" t="s">
        <v>5</v>
      </c>
      <c r="D100" s="34">
        <v>48</v>
      </c>
      <c r="E100" s="34">
        <v>5381</v>
      </c>
      <c r="F100" s="34">
        <v>40</v>
      </c>
      <c r="G100" s="34" t="s">
        <v>3</v>
      </c>
      <c r="H100" s="34" t="s">
        <v>8</v>
      </c>
      <c r="I100" s="39">
        <v>0.23871088772534421</v>
      </c>
    </row>
    <row r="101" spans="1:9" x14ac:dyDescent="0.3">
      <c r="A101" s="34">
        <v>100</v>
      </c>
      <c r="B101" s="34">
        <v>49</v>
      </c>
      <c r="C101" s="34" t="s">
        <v>5</v>
      </c>
      <c r="D101" s="34">
        <v>11</v>
      </c>
      <c r="E101" s="34">
        <v>7228</v>
      </c>
      <c r="F101" s="34">
        <v>39</v>
      </c>
      <c r="G101" s="34" t="s">
        <v>3</v>
      </c>
      <c r="H101" s="34" t="s">
        <v>4</v>
      </c>
      <c r="I101" s="39">
        <v>0.24138249795698352</v>
      </c>
    </row>
    <row r="102" spans="1:9" x14ac:dyDescent="0.3">
      <c r="A102" s="34">
        <v>101</v>
      </c>
      <c r="B102" s="34">
        <v>409</v>
      </c>
      <c r="C102" s="34" t="s">
        <v>5</v>
      </c>
      <c r="D102" s="34">
        <v>24</v>
      </c>
      <c r="E102" s="34">
        <v>3235</v>
      </c>
      <c r="F102" s="34">
        <v>26</v>
      </c>
      <c r="G102" s="34" t="s">
        <v>10</v>
      </c>
      <c r="H102" s="34" t="s">
        <v>4</v>
      </c>
      <c r="I102" s="39">
        <v>0.24145788146009484</v>
      </c>
    </row>
    <row r="103" spans="1:9" x14ac:dyDescent="0.3">
      <c r="A103" s="34">
        <v>102</v>
      </c>
      <c r="B103" s="34">
        <v>995</v>
      </c>
      <c r="C103" s="34" t="s">
        <v>5</v>
      </c>
      <c r="D103" s="34">
        <v>12</v>
      </c>
      <c r="E103" s="34">
        <v>2390</v>
      </c>
      <c r="F103" s="34">
        <v>50</v>
      </c>
      <c r="G103" s="34" t="s">
        <v>3</v>
      </c>
      <c r="H103" s="34" t="s">
        <v>4</v>
      </c>
      <c r="I103" s="39">
        <v>0.2419122489298654</v>
      </c>
    </row>
    <row r="104" spans="1:9" x14ac:dyDescent="0.3">
      <c r="A104" s="34">
        <v>103</v>
      </c>
      <c r="B104" s="34">
        <v>304</v>
      </c>
      <c r="C104" s="34" t="s">
        <v>5</v>
      </c>
      <c r="D104" s="34">
        <v>10</v>
      </c>
      <c r="E104" s="34">
        <v>1038</v>
      </c>
      <c r="F104" s="34">
        <v>49</v>
      </c>
      <c r="G104" s="34" t="s">
        <v>3</v>
      </c>
      <c r="H104" s="34" t="s">
        <v>4</v>
      </c>
      <c r="I104" s="39">
        <v>0.24378448451006263</v>
      </c>
    </row>
    <row r="105" spans="1:9" x14ac:dyDescent="0.3">
      <c r="A105" s="34">
        <v>104</v>
      </c>
      <c r="B105" s="34">
        <v>502</v>
      </c>
      <c r="C105" s="34" t="s">
        <v>5</v>
      </c>
      <c r="D105" s="34">
        <v>36</v>
      </c>
      <c r="E105" s="34">
        <v>5493</v>
      </c>
      <c r="F105" s="34">
        <v>42</v>
      </c>
      <c r="G105" s="34" t="s">
        <v>3</v>
      </c>
      <c r="H105" s="34" t="s">
        <v>8</v>
      </c>
      <c r="I105" s="39">
        <v>0.24441142939547966</v>
      </c>
    </row>
    <row r="106" spans="1:9" x14ac:dyDescent="0.3">
      <c r="A106" s="34">
        <v>105</v>
      </c>
      <c r="B106" s="34">
        <v>141</v>
      </c>
      <c r="C106" s="34" t="s">
        <v>5</v>
      </c>
      <c r="D106" s="34">
        <v>6</v>
      </c>
      <c r="E106" s="34">
        <v>709</v>
      </c>
      <c r="F106" s="34">
        <v>27</v>
      </c>
      <c r="G106" s="34" t="s">
        <v>11</v>
      </c>
      <c r="H106" s="34" t="s">
        <v>4</v>
      </c>
      <c r="I106" s="39">
        <v>0.24474238271561843</v>
      </c>
    </row>
    <row r="107" spans="1:9" x14ac:dyDescent="0.3">
      <c r="A107" s="34">
        <v>106</v>
      </c>
      <c r="B107" s="34">
        <v>804</v>
      </c>
      <c r="C107" s="34" t="s">
        <v>5</v>
      </c>
      <c r="D107" s="34">
        <v>12</v>
      </c>
      <c r="E107" s="34">
        <v>976</v>
      </c>
      <c r="F107" s="34">
        <v>35</v>
      </c>
      <c r="G107" s="34" t="s">
        <v>3</v>
      </c>
      <c r="H107" s="34" t="s">
        <v>4</v>
      </c>
      <c r="I107" s="39">
        <v>0.24526951654066931</v>
      </c>
    </row>
    <row r="108" spans="1:9" x14ac:dyDescent="0.3">
      <c r="A108" s="34">
        <v>107</v>
      </c>
      <c r="B108" s="34">
        <v>179</v>
      </c>
      <c r="C108" s="34" t="s">
        <v>5</v>
      </c>
      <c r="D108" s="34">
        <v>12</v>
      </c>
      <c r="E108" s="34">
        <v>1963</v>
      </c>
      <c r="F108" s="34">
        <v>31</v>
      </c>
      <c r="G108" s="34" t="s">
        <v>3</v>
      </c>
      <c r="H108" s="34" t="s">
        <v>9</v>
      </c>
      <c r="I108" s="39">
        <v>0.24527215525681356</v>
      </c>
    </row>
    <row r="109" spans="1:9" x14ac:dyDescent="0.3">
      <c r="A109" s="34">
        <v>108</v>
      </c>
      <c r="B109" s="34">
        <v>1</v>
      </c>
      <c r="C109" s="34" t="s">
        <v>5</v>
      </c>
      <c r="D109" s="34">
        <v>6</v>
      </c>
      <c r="E109" s="34">
        <v>1169</v>
      </c>
      <c r="F109" s="34">
        <v>67</v>
      </c>
      <c r="G109" s="34" t="s">
        <v>3</v>
      </c>
      <c r="H109" s="34" t="s">
        <v>4</v>
      </c>
      <c r="I109" s="39">
        <v>0.2465178659256505</v>
      </c>
    </row>
    <row r="110" spans="1:9" x14ac:dyDescent="0.3">
      <c r="A110" s="34">
        <v>109</v>
      </c>
      <c r="B110" s="34">
        <v>326</v>
      </c>
      <c r="C110" s="34" t="s">
        <v>5</v>
      </c>
      <c r="D110" s="34">
        <v>8</v>
      </c>
      <c r="E110" s="34">
        <v>3398</v>
      </c>
      <c r="F110" s="34">
        <v>39</v>
      </c>
      <c r="G110" s="34" t="s">
        <v>3</v>
      </c>
      <c r="H110" s="34" t="s">
        <v>4</v>
      </c>
      <c r="I110" s="39">
        <v>0.24752360707936794</v>
      </c>
    </row>
    <row r="111" spans="1:9" x14ac:dyDescent="0.3">
      <c r="A111" s="34">
        <v>110</v>
      </c>
      <c r="B111" s="34">
        <v>201</v>
      </c>
      <c r="C111" s="34" t="s">
        <v>5</v>
      </c>
      <c r="D111" s="34">
        <v>9</v>
      </c>
      <c r="E111" s="34">
        <v>936</v>
      </c>
      <c r="F111" s="34">
        <v>52</v>
      </c>
      <c r="G111" s="34" t="s">
        <v>3</v>
      </c>
      <c r="H111" s="34" t="s">
        <v>4</v>
      </c>
      <c r="I111" s="39">
        <v>0.24764825253008027</v>
      </c>
    </row>
    <row r="112" spans="1:9" x14ac:dyDescent="0.3">
      <c r="A112" s="34">
        <v>111</v>
      </c>
      <c r="B112" s="34">
        <v>948</v>
      </c>
      <c r="C112" s="34" t="s">
        <v>5</v>
      </c>
      <c r="D112" s="34">
        <v>12</v>
      </c>
      <c r="E112" s="34">
        <v>2859</v>
      </c>
      <c r="F112" s="34">
        <v>38</v>
      </c>
      <c r="G112" s="34" t="s">
        <v>3</v>
      </c>
      <c r="H112" s="34" t="s">
        <v>4</v>
      </c>
      <c r="I112" s="39">
        <v>0.25152800537225983</v>
      </c>
    </row>
    <row r="113" spans="1:9" x14ac:dyDescent="0.3">
      <c r="A113" s="34">
        <v>112</v>
      </c>
      <c r="B113" s="34">
        <v>491</v>
      </c>
      <c r="C113" s="34" t="s">
        <v>5</v>
      </c>
      <c r="D113" s="34">
        <v>12</v>
      </c>
      <c r="E113" s="34">
        <v>1934</v>
      </c>
      <c r="F113" s="34">
        <v>26</v>
      </c>
      <c r="G113" s="34" t="s">
        <v>3</v>
      </c>
      <c r="H113" s="34" t="s">
        <v>4</v>
      </c>
      <c r="I113" s="39">
        <v>0.2563123447261173</v>
      </c>
    </row>
    <row r="114" spans="1:9" x14ac:dyDescent="0.3">
      <c r="A114" s="34">
        <v>113</v>
      </c>
      <c r="B114" s="34">
        <v>27</v>
      </c>
      <c r="C114" s="34" t="s">
        <v>5</v>
      </c>
      <c r="D114" s="34">
        <v>6</v>
      </c>
      <c r="E114" s="34">
        <v>426</v>
      </c>
      <c r="F114" s="34">
        <v>39</v>
      </c>
      <c r="G114" s="34" t="s">
        <v>11</v>
      </c>
      <c r="H114" s="34" t="s">
        <v>4</v>
      </c>
      <c r="I114" s="39">
        <v>0.25638546734979462</v>
      </c>
    </row>
    <row r="115" spans="1:9" x14ac:dyDescent="0.3">
      <c r="A115" s="34">
        <v>114</v>
      </c>
      <c r="B115" s="34">
        <v>315</v>
      </c>
      <c r="C115" s="34" t="s">
        <v>5</v>
      </c>
      <c r="D115" s="34">
        <v>4</v>
      </c>
      <c r="E115" s="34">
        <v>1494</v>
      </c>
      <c r="F115" s="34">
        <v>29</v>
      </c>
      <c r="G115" s="34" t="s">
        <v>3</v>
      </c>
      <c r="H115" s="34" t="s">
        <v>4</v>
      </c>
      <c r="I115" s="39">
        <v>0.26121407201746283</v>
      </c>
    </row>
    <row r="116" spans="1:9" x14ac:dyDescent="0.3">
      <c r="A116" s="34">
        <v>115</v>
      </c>
      <c r="B116" s="34">
        <v>199</v>
      </c>
      <c r="C116" s="34" t="s">
        <v>5</v>
      </c>
      <c r="D116" s="34">
        <v>24</v>
      </c>
      <c r="E116" s="34">
        <v>2760</v>
      </c>
      <c r="F116" s="34">
        <v>36</v>
      </c>
      <c r="G116" s="34" t="s">
        <v>3</v>
      </c>
      <c r="H116" s="34" t="s">
        <v>8</v>
      </c>
      <c r="I116" s="39">
        <v>0.26243145400560497</v>
      </c>
    </row>
    <row r="117" spans="1:9" x14ac:dyDescent="0.3">
      <c r="A117" s="34">
        <v>116</v>
      </c>
      <c r="B117" s="34">
        <v>431</v>
      </c>
      <c r="C117" s="34" t="s">
        <v>5</v>
      </c>
      <c r="D117" s="34">
        <v>5</v>
      </c>
      <c r="E117" s="34">
        <v>3448</v>
      </c>
      <c r="F117" s="34">
        <v>74</v>
      </c>
      <c r="G117" s="34" t="s">
        <v>3</v>
      </c>
      <c r="H117" s="34" t="s">
        <v>4</v>
      </c>
      <c r="I117" s="39">
        <v>0.26438278143191041</v>
      </c>
    </row>
    <row r="118" spans="1:9" x14ac:dyDescent="0.3">
      <c r="A118" s="34">
        <v>117</v>
      </c>
      <c r="B118" s="34">
        <v>510</v>
      </c>
      <c r="C118" s="34" t="s">
        <v>5</v>
      </c>
      <c r="D118" s="34">
        <v>39</v>
      </c>
      <c r="E118" s="34">
        <v>8588</v>
      </c>
      <c r="F118" s="34">
        <v>45</v>
      </c>
      <c r="G118" s="34" t="s">
        <v>3</v>
      </c>
      <c r="H118" s="34" t="s">
        <v>4</v>
      </c>
      <c r="I118" s="39">
        <v>0.26864478496601674</v>
      </c>
    </row>
    <row r="119" spans="1:9" x14ac:dyDescent="0.3">
      <c r="A119" s="34">
        <v>118</v>
      </c>
      <c r="B119" s="34">
        <v>110</v>
      </c>
      <c r="C119" s="34" t="s">
        <v>5</v>
      </c>
      <c r="D119" s="34">
        <v>14</v>
      </c>
      <c r="E119" s="34">
        <v>1410</v>
      </c>
      <c r="F119" s="34">
        <v>35</v>
      </c>
      <c r="G119" s="34" t="s">
        <v>11</v>
      </c>
      <c r="H119" s="34" t="s">
        <v>4</v>
      </c>
      <c r="I119" s="39">
        <v>0.27125141226180993</v>
      </c>
    </row>
    <row r="120" spans="1:9" x14ac:dyDescent="0.3">
      <c r="A120" s="34">
        <v>119</v>
      </c>
      <c r="B120" s="34">
        <v>434</v>
      </c>
      <c r="C120" s="34" t="s">
        <v>5</v>
      </c>
      <c r="D120" s="34">
        <v>24</v>
      </c>
      <c r="E120" s="34">
        <v>2058</v>
      </c>
      <c r="F120" s="34">
        <v>33</v>
      </c>
      <c r="G120" s="34" t="s">
        <v>10</v>
      </c>
      <c r="H120" s="34" t="s">
        <v>4</v>
      </c>
      <c r="I120" s="39">
        <v>0.27134905365441142</v>
      </c>
    </row>
    <row r="121" spans="1:9" x14ac:dyDescent="0.3">
      <c r="A121" s="34">
        <v>120</v>
      </c>
      <c r="B121" s="34">
        <v>750</v>
      </c>
      <c r="C121" s="34" t="s">
        <v>5</v>
      </c>
      <c r="D121" s="34">
        <v>15</v>
      </c>
      <c r="E121" s="34">
        <v>3029</v>
      </c>
      <c r="F121" s="34">
        <v>33</v>
      </c>
      <c r="G121" s="34" t="s">
        <v>3</v>
      </c>
      <c r="H121" s="34" t="s">
        <v>4</v>
      </c>
      <c r="I121" s="39">
        <v>0.27307354124278382</v>
      </c>
    </row>
    <row r="122" spans="1:9" x14ac:dyDescent="0.3">
      <c r="A122" s="34">
        <v>121</v>
      </c>
      <c r="B122" s="34">
        <v>720</v>
      </c>
      <c r="C122" s="34" t="s">
        <v>5</v>
      </c>
      <c r="D122" s="34">
        <v>20</v>
      </c>
      <c r="E122" s="34">
        <v>6148</v>
      </c>
      <c r="F122" s="34">
        <v>31</v>
      </c>
      <c r="G122" s="34" t="s">
        <v>11</v>
      </c>
      <c r="H122" s="34" t="s">
        <v>4</v>
      </c>
      <c r="I122" s="39">
        <v>0.27400821419262966</v>
      </c>
    </row>
    <row r="123" spans="1:9" x14ac:dyDescent="0.3">
      <c r="A123" s="34">
        <v>122</v>
      </c>
      <c r="B123" s="34">
        <v>627</v>
      </c>
      <c r="C123" s="34" t="s">
        <v>5</v>
      </c>
      <c r="D123" s="34">
        <v>6</v>
      </c>
      <c r="E123" s="34">
        <v>2116</v>
      </c>
      <c r="F123" s="34">
        <v>41</v>
      </c>
      <c r="G123" s="34" t="s">
        <v>3</v>
      </c>
      <c r="H123" s="34" t="s">
        <v>4</v>
      </c>
      <c r="I123" s="39">
        <v>0.27428863027047523</v>
      </c>
    </row>
    <row r="124" spans="1:9" x14ac:dyDescent="0.3">
      <c r="A124" s="34">
        <v>123</v>
      </c>
      <c r="B124" s="34">
        <v>4</v>
      </c>
      <c r="C124" s="34" t="s">
        <v>5</v>
      </c>
      <c r="D124" s="34">
        <v>42</v>
      </c>
      <c r="E124" s="34">
        <v>7882</v>
      </c>
      <c r="F124" s="34">
        <v>45</v>
      </c>
      <c r="G124" s="34" t="s">
        <v>3</v>
      </c>
      <c r="H124" s="34" t="s">
        <v>8</v>
      </c>
      <c r="I124" s="39">
        <v>0.27476418045243944</v>
      </c>
    </row>
    <row r="125" spans="1:9" x14ac:dyDescent="0.3">
      <c r="A125" s="34">
        <v>124</v>
      </c>
      <c r="B125" s="34">
        <v>845</v>
      </c>
      <c r="C125" s="34" t="s">
        <v>5</v>
      </c>
      <c r="D125" s="34">
        <v>18</v>
      </c>
      <c r="E125" s="34">
        <v>3422</v>
      </c>
      <c r="F125" s="34">
        <v>47</v>
      </c>
      <c r="G125" s="34" t="s">
        <v>3</v>
      </c>
      <c r="H125" s="34" t="s">
        <v>4</v>
      </c>
      <c r="I125" s="39">
        <v>0.27711252008892073</v>
      </c>
    </row>
    <row r="126" spans="1:9" x14ac:dyDescent="0.3">
      <c r="A126" s="34">
        <v>125</v>
      </c>
      <c r="B126" s="34">
        <v>120</v>
      </c>
      <c r="C126" s="34" t="s">
        <v>5</v>
      </c>
      <c r="D126" s="34">
        <v>12</v>
      </c>
      <c r="E126" s="34">
        <v>2366</v>
      </c>
      <c r="F126" s="34">
        <v>36</v>
      </c>
      <c r="G126" s="34" t="s">
        <v>10</v>
      </c>
      <c r="H126" s="34" t="s">
        <v>4</v>
      </c>
      <c r="I126" s="39">
        <v>0.27866175876912336</v>
      </c>
    </row>
    <row r="127" spans="1:9" x14ac:dyDescent="0.3">
      <c r="A127" s="34">
        <v>126</v>
      </c>
      <c r="B127" s="34">
        <v>942</v>
      </c>
      <c r="C127" s="34" t="s">
        <v>5</v>
      </c>
      <c r="D127" s="34">
        <v>10</v>
      </c>
      <c r="E127" s="34">
        <v>1546</v>
      </c>
      <c r="F127" s="34">
        <v>31</v>
      </c>
      <c r="G127" s="34" t="s">
        <v>3</v>
      </c>
      <c r="H127" s="34" t="s">
        <v>4</v>
      </c>
      <c r="I127" s="39">
        <v>0.27983880109087289</v>
      </c>
    </row>
    <row r="128" spans="1:9" x14ac:dyDescent="0.3">
      <c r="A128" s="34">
        <v>127</v>
      </c>
      <c r="B128" s="34">
        <v>271</v>
      </c>
      <c r="C128" s="34" t="s">
        <v>5</v>
      </c>
      <c r="D128" s="34">
        <v>18</v>
      </c>
      <c r="E128" s="34">
        <v>2662</v>
      </c>
      <c r="F128" s="34">
        <v>32</v>
      </c>
      <c r="G128" s="34" t="s">
        <v>3</v>
      </c>
      <c r="H128" s="34" t="s">
        <v>4</v>
      </c>
      <c r="I128" s="39">
        <v>0.27989046702233233</v>
      </c>
    </row>
    <row r="129" spans="1:9" x14ac:dyDescent="0.3">
      <c r="A129" s="34">
        <v>128</v>
      </c>
      <c r="B129" s="34">
        <v>100</v>
      </c>
      <c r="C129" s="34" t="s">
        <v>5</v>
      </c>
      <c r="D129" s="34">
        <v>20</v>
      </c>
      <c r="E129" s="34">
        <v>7057</v>
      </c>
      <c r="F129" s="34">
        <v>36</v>
      </c>
      <c r="G129" s="34" t="s">
        <v>3</v>
      </c>
      <c r="H129" s="34" t="s">
        <v>9</v>
      </c>
      <c r="I129" s="39">
        <v>0.28461776542484507</v>
      </c>
    </row>
    <row r="130" spans="1:9" x14ac:dyDescent="0.3">
      <c r="A130" s="34">
        <v>129</v>
      </c>
      <c r="B130" s="34">
        <v>149</v>
      </c>
      <c r="C130" s="34" t="s">
        <v>5</v>
      </c>
      <c r="D130" s="34">
        <v>36</v>
      </c>
      <c r="E130" s="34">
        <v>5371</v>
      </c>
      <c r="F130" s="34">
        <v>28</v>
      </c>
      <c r="G130" s="34" t="s">
        <v>3</v>
      </c>
      <c r="H130" s="34" t="s">
        <v>4</v>
      </c>
      <c r="I130" s="39">
        <v>0.28477466357363046</v>
      </c>
    </row>
    <row r="131" spans="1:9" x14ac:dyDescent="0.3">
      <c r="A131" s="34">
        <v>130</v>
      </c>
      <c r="B131" s="34">
        <v>361</v>
      </c>
      <c r="C131" s="34" t="s">
        <v>5</v>
      </c>
      <c r="D131" s="34">
        <v>18</v>
      </c>
      <c r="E131" s="34">
        <v>1239</v>
      </c>
      <c r="F131" s="34">
        <v>61</v>
      </c>
      <c r="G131" s="34" t="s">
        <v>3</v>
      </c>
      <c r="H131" s="34" t="s">
        <v>8</v>
      </c>
      <c r="I131" s="39">
        <v>0.28762291818999186</v>
      </c>
    </row>
    <row r="132" spans="1:9" x14ac:dyDescent="0.3">
      <c r="A132" s="34">
        <v>131</v>
      </c>
      <c r="B132" s="34">
        <v>339</v>
      </c>
      <c r="C132" s="34" t="s">
        <v>5</v>
      </c>
      <c r="D132" s="34">
        <v>24</v>
      </c>
      <c r="E132" s="34">
        <v>4169</v>
      </c>
      <c r="F132" s="34">
        <v>28</v>
      </c>
      <c r="G132" s="34" t="s">
        <v>3</v>
      </c>
      <c r="H132" s="34" t="s">
        <v>4</v>
      </c>
      <c r="I132" s="39">
        <v>0.2884604402133113</v>
      </c>
    </row>
    <row r="133" spans="1:9" x14ac:dyDescent="0.3">
      <c r="A133" s="34">
        <v>132</v>
      </c>
      <c r="B133" s="34">
        <v>362</v>
      </c>
      <c r="C133" s="34" t="s">
        <v>5</v>
      </c>
      <c r="D133" s="34">
        <v>12</v>
      </c>
      <c r="E133" s="34">
        <v>3399</v>
      </c>
      <c r="F133" s="34">
        <v>37</v>
      </c>
      <c r="G133" s="34" t="s">
        <v>3</v>
      </c>
      <c r="H133" s="34" t="s">
        <v>4</v>
      </c>
      <c r="I133" s="39">
        <v>0.30937230542356453</v>
      </c>
    </row>
    <row r="134" spans="1:9" x14ac:dyDescent="0.3">
      <c r="A134" s="34">
        <v>133</v>
      </c>
      <c r="B134" s="34">
        <v>642</v>
      </c>
      <c r="C134" s="34" t="s">
        <v>5</v>
      </c>
      <c r="D134" s="34">
        <v>15</v>
      </c>
      <c r="E134" s="34">
        <v>1308</v>
      </c>
      <c r="F134" s="34">
        <v>38</v>
      </c>
      <c r="G134" s="34" t="s">
        <v>3</v>
      </c>
      <c r="H134" s="34" t="s">
        <v>4</v>
      </c>
      <c r="I134" s="39">
        <v>0.31111389374814635</v>
      </c>
    </row>
    <row r="135" spans="1:9" x14ac:dyDescent="0.3">
      <c r="A135" s="34">
        <v>134</v>
      </c>
      <c r="B135" s="34">
        <v>480</v>
      </c>
      <c r="C135" s="34" t="s">
        <v>5</v>
      </c>
      <c r="D135" s="34">
        <v>15</v>
      </c>
      <c r="E135" s="34">
        <v>1478</v>
      </c>
      <c r="F135" s="34">
        <v>44</v>
      </c>
      <c r="G135" s="34" t="s">
        <v>3</v>
      </c>
      <c r="H135" s="34" t="s">
        <v>4</v>
      </c>
      <c r="I135" s="39">
        <v>0.31158675256269308</v>
      </c>
    </row>
    <row r="136" spans="1:9" x14ac:dyDescent="0.3">
      <c r="A136" s="34">
        <v>135</v>
      </c>
      <c r="B136" s="34">
        <v>960</v>
      </c>
      <c r="C136" s="34" t="s">
        <v>5</v>
      </c>
      <c r="D136" s="34">
        <v>24</v>
      </c>
      <c r="E136" s="34">
        <v>3069</v>
      </c>
      <c r="F136" s="34">
        <v>30</v>
      </c>
      <c r="G136" s="34" t="s">
        <v>3</v>
      </c>
      <c r="H136" s="34" t="s">
        <v>8</v>
      </c>
      <c r="I136" s="39">
        <v>0.3140190476256578</v>
      </c>
    </row>
    <row r="137" spans="1:9" x14ac:dyDescent="0.3">
      <c r="A137" s="34">
        <v>136</v>
      </c>
      <c r="B137" s="34">
        <v>673</v>
      </c>
      <c r="C137" s="34" t="s">
        <v>5</v>
      </c>
      <c r="D137" s="34">
        <v>60</v>
      </c>
      <c r="E137" s="34">
        <v>10366</v>
      </c>
      <c r="F137" s="34">
        <v>42</v>
      </c>
      <c r="G137" s="34" t="s">
        <v>3</v>
      </c>
      <c r="H137" s="34" t="s">
        <v>4</v>
      </c>
      <c r="I137" s="39">
        <v>0.31616748225092506</v>
      </c>
    </row>
    <row r="138" spans="1:9" x14ac:dyDescent="0.3">
      <c r="A138" s="34">
        <v>137</v>
      </c>
      <c r="B138" s="34">
        <v>17</v>
      </c>
      <c r="C138" s="34" t="s">
        <v>5</v>
      </c>
      <c r="D138" s="34">
        <v>24</v>
      </c>
      <c r="E138" s="34">
        <v>2424</v>
      </c>
      <c r="F138" s="34">
        <v>53</v>
      </c>
      <c r="G138" s="34" t="s">
        <v>3</v>
      </c>
      <c r="H138" s="34" t="s">
        <v>4</v>
      </c>
      <c r="I138" s="39">
        <v>0.31808474127394792</v>
      </c>
    </row>
    <row r="139" spans="1:9" x14ac:dyDescent="0.3">
      <c r="A139" s="34">
        <v>138</v>
      </c>
      <c r="B139" s="34">
        <v>203</v>
      </c>
      <c r="C139" s="34" t="s">
        <v>5</v>
      </c>
      <c r="D139" s="34">
        <v>27</v>
      </c>
      <c r="E139" s="34">
        <v>5117</v>
      </c>
      <c r="F139" s="34">
        <v>26</v>
      </c>
      <c r="G139" s="34" t="s">
        <v>3</v>
      </c>
      <c r="H139" s="34" t="s">
        <v>4</v>
      </c>
      <c r="I139" s="39">
        <v>0.31814997979017945</v>
      </c>
    </row>
    <row r="140" spans="1:9" x14ac:dyDescent="0.3">
      <c r="A140" s="34">
        <v>139</v>
      </c>
      <c r="B140" s="34">
        <v>56</v>
      </c>
      <c r="C140" s="34" t="s">
        <v>5</v>
      </c>
      <c r="D140" s="34">
        <v>6</v>
      </c>
      <c r="E140" s="34">
        <v>783</v>
      </c>
      <c r="F140" s="34">
        <v>26</v>
      </c>
      <c r="G140" s="34" t="s">
        <v>3</v>
      </c>
      <c r="H140" s="34" t="s">
        <v>4</v>
      </c>
      <c r="I140" s="39">
        <v>0.32311746693428034</v>
      </c>
    </row>
    <row r="141" spans="1:9" x14ac:dyDescent="0.3">
      <c r="A141" s="34">
        <v>140</v>
      </c>
      <c r="B141" s="34">
        <v>384</v>
      </c>
      <c r="C141" s="34" t="s">
        <v>5</v>
      </c>
      <c r="D141" s="34">
        <v>12</v>
      </c>
      <c r="E141" s="34">
        <v>1330</v>
      </c>
      <c r="F141" s="34">
        <v>26</v>
      </c>
      <c r="G141" s="34" t="s">
        <v>3</v>
      </c>
      <c r="H141" s="34" t="s">
        <v>4</v>
      </c>
      <c r="I141" s="39">
        <v>0.32528155659836511</v>
      </c>
    </row>
    <row r="142" spans="1:9" x14ac:dyDescent="0.3">
      <c r="A142" s="34">
        <v>141</v>
      </c>
      <c r="B142" s="34">
        <v>840</v>
      </c>
      <c r="C142" s="34" t="s">
        <v>5</v>
      </c>
      <c r="D142" s="34">
        <v>24</v>
      </c>
      <c r="E142" s="34">
        <v>2611</v>
      </c>
      <c r="F142" s="34">
        <v>46</v>
      </c>
      <c r="G142" s="34" t="s">
        <v>11</v>
      </c>
      <c r="H142" s="34" t="s">
        <v>4</v>
      </c>
      <c r="I142" s="39">
        <v>0.32710786177832718</v>
      </c>
    </row>
    <row r="143" spans="1:9" x14ac:dyDescent="0.3">
      <c r="A143" s="34">
        <v>142</v>
      </c>
      <c r="B143" s="34">
        <v>520</v>
      </c>
      <c r="C143" s="34" t="s">
        <v>5</v>
      </c>
      <c r="D143" s="34">
        <v>6</v>
      </c>
      <c r="E143" s="34">
        <v>700</v>
      </c>
      <c r="F143" s="34">
        <v>36</v>
      </c>
      <c r="G143" s="34" t="s">
        <v>3</v>
      </c>
      <c r="H143" s="34" t="s">
        <v>8</v>
      </c>
      <c r="I143" s="39">
        <v>0.3275286980867721</v>
      </c>
    </row>
    <row r="144" spans="1:9" x14ac:dyDescent="0.3">
      <c r="A144" s="34">
        <v>143</v>
      </c>
      <c r="B144" s="34">
        <v>205</v>
      </c>
      <c r="C144" s="34" t="s">
        <v>5</v>
      </c>
      <c r="D144" s="34">
        <v>12</v>
      </c>
      <c r="E144" s="34">
        <v>1495</v>
      </c>
      <c r="F144" s="34">
        <v>38</v>
      </c>
      <c r="G144" s="34" t="s">
        <v>3</v>
      </c>
      <c r="H144" s="34" t="s">
        <v>4</v>
      </c>
      <c r="I144" s="39">
        <v>0.32849242215412222</v>
      </c>
    </row>
    <row r="145" spans="1:9" x14ac:dyDescent="0.3">
      <c r="A145" s="34">
        <v>144</v>
      </c>
      <c r="B145" s="34">
        <v>660</v>
      </c>
      <c r="C145" s="34" t="s">
        <v>5</v>
      </c>
      <c r="D145" s="34">
        <v>18</v>
      </c>
      <c r="E145" s="34">
        <v>6361</v>
      </c>
      <c r="F145" s="34">
        <v>41</v>
      </c>
      <c r="G145" s="34" t="s">
        <v>3</v>
      </c>
      <c r="H145" s="34" t="s">
        <v>4</v>
      </c>
      <c r="I145" s="39">
        <v>0.32893129063953075</v>
      </c>
    </row>
    <row r="146" spans="1:9" x14ac:dyDescent="0.3">
      <c r="A146" s="34">
        <v>145</v>
      </c>
      <c r="B146" s="34">
        <v>693</v>
      </c>
      <c r="C146" s="34" t="s">
        <v>5</v>
      </c>
      <c r="D146" s="34">
        <v>24</v>
      </c>
      <c r="E146" s="34">
        <v>2896</v>
      </c>
      <c r="F146" s="34">
        <v>29</v>
      </c>
      <c r="G146" s="34" t="s">
        <v>3</v>
      </c>
      <c r="H146" s="34" t="s">
        <v>4</v>
      </c>
      <c r="I146" s="39">
        <v>0.33137170253643666</v>
      </c>
    </row>
    <row r="147" spans="1:9" x14ac:dyDescent="0.3">
      <c r="A147" s="34">
        <v>146</v>
      </c>
      <c r="B147" s="34">
        <v>300</v>
      </c>
      <c r="C147" s="34" t="s">
        <v>5</v>
      </c>
      <c r="D147" s="34">
        <v>21</v>
      </c>
      <c r="E147" s="34">
        <v>2745</v>
      </c>
      <c r="F147" s="34">
        <v>32</v>
      </c>
      <c r="G147" s="34" t="s">
        <v>3</v>
      </c>
      <c r="H147" s="34" t="s">
        <v>4</v>
      </c>
      <c r="I147" s="39">
        <v>0.33388364614439703</v>
      </c>
    </row>
    <row r="148" spans="1:9" x14ac:dyDescent="0.3">
      <c r="A148" s="34">
        <v>147</v>
      </c>
      <c r="B148" s="34">
        <v>255</v>
      </c>
      <c r="C148" s="34" t="s">
        <v>5</v>
      </c>
      <c r="D148" s="34">
        <v>9</v>
      </c>
      <c r="E148" s="34">
        <v>2030</v>
      </c>
      <c r="F148" s="34">
        <v>24</v>
      </c>
      <c r="G148" s="34" t="s">
        <v>3</v>
      </c>
      <c r="H148" s="34" t="s">
        <v>4</v>
      </c>
      <c r="I148" s="39">
        <v>0.33427706835428783</v>
      </c>
    </row>
    <row r="149" spans="1:9" x14ac:dyDescent="0.3">
      <c r="A149" s="34">
        <v>148</v>
      </c>
      <c r="B149" s="34">
        <v>489</v>
      </c>
      <c r="C149" s="34" t="s">
        <v>5</v>
      </c>
      <c r="D149" s="34">
        <v>10</v>
      </c>
      <c r="E149" s="34">
        <v>1418</v>
      </c>
      <c r="F149" s="34">
        <v>35</v>
      </c>
      <c r="G149" s="34" t="s">
        <v>3</v>
      </c>
      <c r="H149" s="34" t="s">
        <v>9</v>
      </c>
      <c r="I149" s="39">
        <v>0.34421200460685963</v>
      </c>
    </row>
    <row r="150" spans="1:9" x14ac:dyDescent="0.3">
      <c r="A150" s="34">
        <v>149</v>
      </c>
      <c r="B150" s="34">
        <v>710</v>
      </c>
      <c r="C150" s="34" t="s">
        <v>5</v>
      </c>
      <c r="D150" s="34">
        <v>9</v>
      </c>
      <c r="E150" s="34">
        <v>2118</v>
      </c>
      <c r="F150" s="34">
        <v>37</v>
      </c>
      <c r="G150" s="34" t="s">
        <v>3</v>
      </c>
      <c r="H150" s="34" t="s">
        <v>4</v>
      </c>
      <c r="I150" s="39">
        <v>0.3460743408864736</v>
      </c>
    </row>
    <row r="151" spans="1:9" x14ac:dyDescent="0.3">
      <c r="A151" s="34">
        <v>150</v>
      </c>
      <c r="B151" s="34">
        <v>991</v>
      </c>
      <c r="C151" s="34" t="s">
        <v>5</v>
      </c>
      <c r="D151" s="34">
        <v>12</v>
      </c>
      <c r="E151" s="34">
        <v>3565</v>
      </c>
      <c r="F151" s="34">
        <v>37</v>
      </c>
      <c r="G151" s="34" t="s">
        <v>3</v>
      </c>
      <c r="H151" s="34" t="s">
        <v>4</v>
      </c>
      <c r="I151" s="39">
        <v>0.34712825907506417</v>
      </c>
    </row>
    <row r="152" spans="1:9" x14ac:dyDescent="0.3">
      <c r="A152" s="34">
        <v>151</v>
      </c>
      <c r="B152" s="34">
        <v>414</v>
      </c>
      <c r="C152" s="34" t="s">
        <v>5</v>
      </c>
      <c r="D152" s="34">
        <v>10</v>
      </c>
      <c r="E152" s="34">
        <v>1597</v>
      </c>
      <c r="F152" s="34">
        <v>40</v>
      </c>
      <c r="G152" s="34" t="s">
        <v>3</v>
      </c>
      <c r="H152" s="34" t="s">
        <v>9</v>
      </c>
      <c r="I152" s="39">
        <v>0.35092514762730076</v>
      </c>
    </row>
    <row r="153" spans="1:9" x14ac:dyDescent="0.3">
      <c r="A153" s="34">
        <v>152</v>
      </c>
      <c r="B153" s="34">
        <v>877</v>
      </c>
      <c r="C153" s="34" t="s">
        <v>5</v>
      </c>
      <c r="D153" s="34">
        <v>18</v>
      </c>
      <c r="E153" s="34">
        <v>1940</v>
      </c>
      <c r="F153" s="34">
        <v>36</v>
      </c>
      <c r="G153" s="34" t="s">
        <v>3</v>
      </c>
      <c r="H153" s="34" t="s">
        <v>8</v>
      </c>
      <c r="I153" s="39">
        <v>0.3515895840418064</v>
      </c>
    </row>
    <row r="154" spans="1:9" x14ac:dyDescent="0.3">
      <c r="A154" s="34">
        <v>153</v>
      </c>
      <c r="B154" s="34">
        <v>317</v>
      </c>
      <c r="C154" s="34" t="s">
        <v>5</v>
      </c>
      <c r="D154" s="34">
        <v>12</v>
      </c>
      <c r="E154" s="34">
        <v>708</v>
      </c>
      <c r="F154" s="34">
        <v>38</v>
      </c>
      <c r="G154" s="34" t="s">
        <v>3</v>
      </c>
      <c r="H154" s="34" t="s">
        <v>4</v>
      </c>
      <c r="I154" s="39">
        <v>0.35460853261532099</v>
      </c>
    </row>
    <row r="155" spans="1:9" x14ac:dyDescent="0.3">
      <c r="A155" s="34">
        <v>154</v>
      </c>
      <c r="B155" s="34">
        <v>343</v>
      </c>
      <c r="C155" s="34" t="s">
        <v>5</v>
      </c>
      <c r="D155" s="34">
        <v>18</v>
      </c>
      <c r="E155" s="34">
        <v>3213</v>
      </c>
      <c r="F155" s="34">
        <v>25</v>
      </c>
      <c r="G155" s="34" t="s">
        <v>11</v>
      </c>
      <c r="H155" s="34" t="s">
        <v>9</v>
      </c>
      <c r="I155" s="39">
        <v>0.35673740988868907</v>
      </c>
    </row>
    <row r="156" spans="1:9" x14ac:dyDescent="0.3">
      <c r="A156" s="34">
        <v>155</v>
      </c>
      <c r="B156" s="34">
        <v>18</v>
      </c>
      <c r="C156" s="34" t="s">
        <v>5</v>
      </c>
      <c r="D156" s="34">
        <v>30</v>
      </c>
      <c r="E156" s="34">
        <v>8072</v>
      </c>
      <c r="F156" s="34">
        <v>25</v>
      </c>
      <c r="G156" s="34" t="s">
        <v>3</v>
      </c>
      <c r="H156" s="34" t="s">
        <v>4</v>
      </c>
      <c r="I156" s="39">
        <v>0.35918010020523305</v>
      </c>
    </row>
    <row r="157" spans="1:9" x14ac:dyDescent="0.3">
      <c r="A157" s="34">
        <v>156</v>
      </c>
      <c r="B157" s="34">
        <v>749</v>
      </c>
      <c r="C157" s="34" t="s">
        <v>5</v>
      </c>
      <c r="D157" s="34">
        <v>21</v>
      </c>
      <c r="E157" s="34">
        <v>5248</v>
      </c>
      <c r="F157" s="34">
        <v>26</v>
      </c>
      <c r="G157" s="34" t="s">
        <v>3</v>
      </c>
      <c r="H157" s="34" t="s">
        <v>4</v>
      </c>
      <c r="I157" s="39">
        <v>0.36136041201592795</v>
      </c>
    </row>
    <row r="158" spans="1:9" x14ac:dyDescent="0.3">
      <c r="A158" s="34">
        <v>157</v>
      </c>
      <c r="B158" s="34">
        <v>569</v>
      </c>
      <c r="C158" s="34" t="s">
        <v>5</v>
      </c>
      <c r="D158" s="34">
        <v>48</v>
      </c>
      <c r="E158" s="34">
        <v>3979</v>
      </c>
      <c r="F158" s="34">
        <v>41</v>
      </c>
      <c r="G158" s="34" t="s">
        <v>3</v>
      </c>
      <c r="H158" s="34" t="s">
        <v>4</v>
      </c>
      <c r="I158" s="39">
        <v>0.36281854921015189</v>
      </c>
    </row>
    <row r="159" spans="1:9" x14ac:dyDescent="0.3">
      <c r="A159" s="34">
        <v>158</v>
      </c>
      <c r="B159" s="34">
        <v>498</v>
      </c>
      <c r="C159" s="34" t="s">
        <v>5</v>
      </c>
      <c r="D159" s="34">
        <v>24</v>
      </c>
      <c r="E159" s="34">
        <v>1585</v>
      </c>
      <c r="F159" s="34">
        <v>40</v>
      </c>
      <c r="G159" s="34" t="s">
        <v>3</v>
      </c>
      <c r="H159" s="34" t="s">
        <v>4</v>
      </c>
      <c r="I159" s="39">
        <v>0.36363285706471005</v>
      </c>
    </row>
    <row r="160" spans="1:9" x14ac:dyDescent="0.3">
      <c r="A160" s="34">
        <v>159</v>
      </c>
      <c r="B160" s="34">
        <v>875</v>
      </c>
      <c r="C160" s="34" t="s">
        <v>5</v>
      </c>
      <c r="D160" s="34">
        <v>12</v>
      </c>
      <c r="E160" s="34">
        <v>3590</v>
      </c>
      <c r="F160" s="34">
        <v>29</v>
      </c>
      <c r="G160" s="34" t="s">
        <v>3</v>
      </c>
      <c r="H160" s="34" t="s">
        <v>4</v>
      </c>
      <c r="I160" s="39">
        <v>0.36564678028068842</v>
      </c>
    </row>
    <row r="161" spans="1:9" x14ac:dyDescent="0.3">
      <c r="A161" s="34">
        <v>160</v>
      </c>
      <c r="B161" s="34">
        <v>902</v>
      </c>
      <c r="C161" s="34" t="s">
        <v>5</v>
      </c>
      <c r="D161" s="34">
        <v>20</v>
      </c>
      <c r="E161" s="34">
        <v>3485</v>
      </c>
      <c r="F161" s="34">
        <v>44</v>
      </c>
      <c r="G161" s="34" t="s">
        <v>10</v>
      </c>
      <c r="H161" s="34" t="s">
        <v>4</v>
      </c>
      <c r="I161" s="39">
        <v>0.36867559564842944</v>
      </c>
    </row>
    <row r="162" spans="1:9" x14ac:dyDescent="0.3">
      <c r="A162" s="34">
        <v>161</v>
      </c>
      <c r="B162" s="34">
        <v>903</v>
      </c>
      <c r="C162" s="34" t="s">
        <v>5</v>
      </c>
      <c r="D162" s="34">
        <v>36</v>
      </c>
      <c r="E162" s="34">
        <v>10477</v>
      </c>
      <c r="F162" s="34">
        <v>42</v>
      </c>
      <c r="G162" s="34" t="s">
        <v>3</v>
      </c>
      <c r="H162" s="34" t="s">
        <v>8</v>
      </c>
      <c r="I162" s="39">
        <v>0.37355180293334311</v>
      </c>
    </row>
    <row r="163" spans="1:9" x14ac:dyDescent="0.3">
      <c r="A163" s="34">
        <v>162</v>
      </c>
      <c r="B163" s="34">
        <v>500</v>
      </c>
      <c r="C163" s="34" t="s">
        <v>5</v>
      </c>
      <c r="D163" s="34">
        <v>6</v>
      </c>
      <c r="E163" s="34">
        <v>1323</v>
      </c>
      <c r="F163" s="34">
        <v>28</v>
      </c>
      <c r="G163" s="34" t="s">
        <v>10</v>
      </c>
      <c r="H163" s="34" t="s">
        <v>4</v>
      </c>
      <c r="I163" s="39">
        <v>0.37538851718710053</v>
      </c>
    </row>
    <row r="164" spans="1:9" x14ac:dyDescent="0.3">
      <c r="A164" s="34">
        <v>163</v>
      </c>
      <c r="B164" s="34">
        <v>714</v>
      </c>
      <c r="C164" s="34" t="s">
        <v>5</v>
      </c>
      <c r="D164" s="34">
        <v>9</v>
      </c>
      <c r="E164" s="34">
        <v>1138</v>
      </c>
      <c r="F164" s="34">
        <v>25</v>
      </c>
      <c r="G164" s="34" t="s">
        <v>3</v>
      </c>
      <c r="H164" s="34" t="s">
        <v>4</v>
      </c>
      <c r="I164" s="39">
        <v>0.37702959820661497</v>
      </c>
    </row>
    <row r="165" spans="1:9" x14ac:dyDescent="0.3">
      <c r="A165" s="34">
        <v>164</v>
      </c>
      <c r="B165" s="34">
        <v>941</v>
      </c>
      <c r="C165" s="34" t="s">
        <v>5</v>
      </c>
      <c r="D165" s="34">
        <v>12</v>
      </c>
      <c r="E165" s="34">
        <v>3527</v>
      </c>
      <c r="F165" s="34">
        <v>45</v>
      </c>
      <c r="G165" s="34" t="s">
        <v>3</v>
      </c>
      <c r="H165" s="34" t="s">
        <v>4</v>
      </c>
      <c r="I165" s="39">
        <v>0.38494997872888603</v>
      </c>
    </row>
    <row r="166" spans="1:9" x14ac:dyDescent="0.3">
      <c r="A166" s="34">
        <v>165</v>
      </c>
      <c r="B166" s="34">
        <v>398</v>
      </c>
      <c r="C166" s="34" t="s">
        <v>5</v>
      </c>
      <c r="D166" s="34">
        <v>36</v>
      </c>
      <c r="E166" s="34">
        <v>2348</v>
      </c>
      <c r="F166" s="34">
        <v>46</v>
      </c>
      <c r="G166" s="34" t="s">
        <v>11</v>
      </c>
      <c r="H166" s="34" t="s">
        <v>4</v>
      </c>
      <c r="I166" s="39">
        <v>0.38610826280077137</v>
      </c>
    </row>
    <row r="167" spans="1:9" x14ac:dyDescent="0.3">
      <c r="A167" s="34">
        <v>166</v>
      </c>
      <c r="B167" s="34">
        <v>95</v>
      </c>
      <c r="C167" s="34" t="s">
        <v>5</v>
      </c>
      <c r="D167" s="34">
        <v>12</v>
      </c>
      <c r="E167" s="34">
        <v>1318</v>
      </c>
      <c r="F167" s="34">
        <v>54</v>
      </c>
      <c r="G167" s="34" t="s">
        <v>3</v>
      </c>
      <c r="H167" s="34" t="s">
        <v>4</v>
      </c>
      <c r="I167" s="39">
        <v>0.38618376063251514</v>
      </c>
    </row>
    <row r="168" spans="1:9" x14ac:dyDescent="0.3">
      <c r="A168" s="34">
        <v>167</v>
      </c>
      <c r="B168" s="34">
        <v>852</v>
      </c>
      <c r="C168" s="34" t="s">
        <v>5</v>
      </c>
      <c r="D168" s="34">
        <v>24</v>
      </c>
      <c r="E168" s="34">
        <v>4042</v>
      </c>
      <c r="F168" s="34">
        <v>43</v>
      </c>
      <c r="G168" s="34" t="s">
        <v>3</v>
      </c>
      <c r="H168" s="34" t="s">
        <v>4</v>
      </c>
      <c r="I168" s="39">
        <v>0.38771084447410076</v>
      </c>
    </row>
    <row r="169" spans="1:9" x14ac:dyDescent="0.3">
      <c r="A169" s="34">
        <v>168</v>
      </c>
      <c r="B169" s="34">
        <v>620</v>
      </c>
      <c r="C169" s="34" t="s">
        <v>5</v>
      </c>
      <c r="D169" s="34">
        <v>12</v>
      </c>
      <c r="E169" s="34">
        <v>640</v>
      </c>
      <c r="F169" s="34">
        <v>49</v>
      </c>
      <c r="G169" s="34" t="s">
        <v>10</v>
      </c>
      <c r="H169" s="34" t="s">
        <v>4</v>
      </c>
      <c r="I169" s="39">
        <v>0.38881318113283392</v>
      </c>
    </row>
    <row r="170" spans="1:9" x14ac:dyDescent="0.3">
      <c r="A170" s="34">
        <v>169</v>
      </c>
      <c r="B170" s="34">
        <v>788</v>
      </c>
      <c r="C170" s="34" t="s">
        <v>5</v>
      </c>
      <c r="D170" s="34">
        <v>48</v>
      </c>
      <c r="E170" s="34">
        <v>2751</v>
      </c>
      <c r="F170" s="34">
        <v>38</v>
      </c>
      <c r="G170" s="34" t="s">
        <v>3</v>
      </c>
      <c r="H170" s="34" t="s">
        <v>4</v>
      </c>
      <c r="I170" s="39">
        <v>0.38990909360842851</v>
      </c>
    </row>
    <row r="171" spans="1:9" x14ac:dyDescent="0.3">
      <c r="A171" s="34">
        <v>170</v>
      </c>
      <c r="B171" s="34">
        <v>630</v>
      </c>
      <c r="C171" s="34" t="s">
        <v>5</v>
      </c>
      <c r="D171" s="34">
        <v>9</v>
      </c>
      <c r="E171" s="34">
        <v>3832</v>
      </c>
      <c r="F171" s="34">
        <v>64</v>
      </c>
      <c r="G171" s="34" t="s">
        <v>3</v>
      </c>
      <c r="H171" s="34" t="s">
        <v>4</v>
      </c>
      <c r="I171" s="39">
        <v>0.3906519909135221</v>
      </c>
    </row>
    <row r="172" spans="1:9" x14ac:dyDescent="0.3">
      <c r="A172" s="34">
        <v>171</v>
      </c>
      <c r="B172" s="34">
        <v>848</v>
      </c>
      <c r="C172" s="34" t="s">
        <v>5</v>
      </c>
      <c r="D172" s="34">
        <v>24</v>
      </c>
      <c r="E172" s="34">
        <v>1249</v>
      </c>
      <c r="F172" s="34">
        <v>28</v>
      </c>
      <c r="G172" s="34" t="s">
        <v>11</v>
      </c>
      <c r="H172" s="34" t="s">
        <v>4</v>
      </c>
      <c r="I172" s="39">
        <v>0.39093384623457184</v>
      </c>
    </row>
    <row r="173" spans="1:9" x14ac:dyDescent="0.3">
      <c r="A173" s="34">
        <v>172</v>
      </c>
      <c r="B173" s="34">
        <v>43</v>
      </c>
      <c r="C173" s="34" t="s">
        <v>5</v>
      </c>
      <c r="D173" s="34">
        <v>18</v>
      </c>
      <c r="E173" s="34">
        <v>6204</v>
      </c>
      <c r="F173" s="34">
        <v>44</v>
      </c>
      <c r="G173" s="34" t="s">
        <v>3</v>
      </c>
      <c r="H173" s="34" t="s">
        <v>4</v>
      </c>
      <c r="I173" s="39">
        <v>0.39181724530730766</v>
      </c>
    </row>
    <row r="174" spans="1:9" x14ac:dyDescent="0.3">
      <c r="A174" s="34">
        <v>173</v>
      </c>
      <c r="B174" s="34">
        <v>161</v>
      </c>
      <c r="C174" s="34" t="s">
        <v>5</v>
      </c>
      <c r="D174" s="34">
        <v>24</v>
      </c>
      <c r="E174" s="34">
        <v>2872</v>
      </c>
      <c r="F174" s="34">
        <v>36</v>
      </c>
      <c r="G174" s="34" t="s">
        <v>3</v>
      </c>
      <c r="H174" s="34" t="s">
        <v>4</v>
      </c>
      <c r="I174" s="39">
        <v>0.39213662387589832</v>
      </c>
    </row>
    <row r="175" spans="1:9" x14ac:dyDescent="0.3">
      <c r="A175" s="34">
        <v>174</v>
      </c>
      <c r="B175" s="34">
        <v>226</v>
      </c>
      <c r="C175" s="34" t="s">
        <v>5</v>
      </c>
      <c r="D175" s="34">
        <v>36</v>
      </c>
      <c r="E175" s="34">
        <v>2613</v>
      </c>
      <c r="F175" s="34">
        <v>27</v>
      </c>
      <c r="G175" s="34" t="s">
        <v>3</v>
      </c>
      <c r="H175" s="34" t="s">
        <v>4</v>
      </c>
      <c r="I175" s="39">
        <v>0.3956603883437757</v>
      </c>
    </row>
    <row r="176" spans="1:9" x14ac:dyDescent="0.3">
      <c r="A176" s="34">
        <v>175</v>
      </c>
      <c r="B176" s="34">
        <v>853</v>
      </c>
      <c r="C176" s="34" t="s">
        <v>5</v>
      </c>
      <c r="D176" s="34">
        <v>15</v>
      </c>
      <c r="E176" s="34">
        <v>1471</v>
      </c>
      <c r="F176" s="34">
        <v>35</v>
      </c>
      <c r="G176" s="34" t="s">
        <v>3</v>
      </c>
      <c r="H176" s="34" t="s">
        <v>8</v>
      </c>
      <c r="I176" s="39">
        <v>0.39764836573684659</v>
      </c>
    </row>
    <row r="177" spans="1:9" x14ac:dyDescent="0.3">
      <c r="A177" s="34">
        <v>176</v>
      </c>
      <c r="B177" s="34">
        <v>37</v>
      </c>
      <c r="C177" s="34" t="s">
        <v>5</v>
      </c>
      <c r="D177" s="34">
        <v>48</v>
      </c>
      <c r="E177" s="34">
        <v>6110</v>
      </c>
      <c r="F177" s="34">
        <v>31</v>
      </c>
      <c r="G177" s="34" t="s">
        <v>3</v>
      </c>
      <c r="H177" s="34" t="s">
        <v>8</v>
      </c>
      <c r="I177" s="39">
        <v>0.39869421119341453</v>
      </c>
    </row>
    <row r="178" spans="1:9" x14ac:dyDescent="0.3">
      <c r="A178" s="34">
        <v>177</v>
      </c>
      <c r="B178" s="34">
        <v>405</v>
      </c>
      <c r="C178" s="34" t="s">
        <v>5</v>
      </c>
      <c r="D178" s="34">
        <v>18</v>
      </c>
      <c r="E178" s="34">
        <v>2899</v>
      </c>
      <c r="F178" s="34">
        <v>43</v>
      </c>
      <c r="G178" s="34" t="s">
        <v>3</v>
      </c>
      <c r="H178" s="34" t="s">
        <v>4</v>
      </c>
      <c r="I178" s="39">
        <v>0.3986958045255804</v>
      </c>
    </row>
    <row r="179" spans="1:9" x14ac:dyDescent="0.3">
      <c r="A179" s="34">
        <v>178</v>
      </c>
      <c r="B179" s="34">
        <v>830</v>
      </c>
      <c r="C179" s="34" t="s">
        <v>5</v>
      </c>
      <c r="D179" s="34">
        <v>48</v>
      </c>
      <c r="E179" s="34">
        <v>6681</v>
      </c>
      <c r="F179" s="34">
        <v>38</v>
      </c>
      <c r="G179" s="34" t="s">
        <v>3</v>
      </c>
      <c r="H179" s="34" t="s">
        <v>8</v>
      </c>
      <c r="I179" s="39">
        <v>0.40007873480257805</v>
      </c>
    </row>
    <row r="180" spans="1:9" x14ac:dyDescent="0.3">
      <c r="A180" s="34">
        <v>179</v>
      </c>
      <c r="B180" s="34">
        <v>783</v>
      </c>
      <c r="C180" s="34" t="s">
        <v>5</v>
      </c>
      <c r="D180" s="34">
        <v>12</v>
      </c>
      <c r="E180" s="34">
        <v>1410</v>
      </c>
      <c r="F180" s="34">
        <v>31</v>
      </c>
      <c r="G180" s="34" t="s">
        <v>3</v>
      </c>
      <c r="H180" s="34" t="s">
        <v>4</v>
      </c>
      <c r="I180" s="39">
        <v>0.40021478821998246</v>
      </c>
    </row>
    <row r="181" spans="1:9" x14ac:dyDescent="0.3">
      <c r="A181" s="34">
        <v>180</v>
      </c>
      <c r="B181" s="34">
        <v>992</v>
      </c>
      <c r="C181" s="34" t="s">
        <v>5</v>
      </c>
      <c r="D181" s="34">
        <v>15</v>
      </c>
      <c r="E181" s="34">
        <v>1569</v>
      </c>
      <c r="F181" s="34">
        <v>34</v>
      </c>
      <c r="G181" s="34" t="s">
        <v>3</v>
      </c>
      <c r="H181" s="34" t="s">
        <v>4</v>
      </c>
      <c r="I181" s="39">
        <v>0.40638514986360974</v>
      </c>
    </row>
    <row r="182" spans="1:9" x14ac:dyDescent="0.3">
      <c r="A182" s="34">
        <v>181</v>
      </c>
      <c r="B182" s="34">
        <v>242</v>
      </c>
      <c r="C182" s="34" t="s">
        <v>5</v>
      </c>
      <c r="D182" s="34">
        <v>6</v>
      </c>
      <c r="E182" s="34">
        <v>1595</v>
      </c>
      <c r="F182" s="34">
        <v>51</v>
      </c>
      <c r="G182" s="34" t="s">
        <v>3</v>
      </c>
      <c r="H182" s="34" t="s">
        <v>4</v>
      </c>
      <c r="I182" s="39">
        <v>0.40682267671693961</v>
      </c>
    </row>
    <row r="183" spans="1:9" x14ac:dyDescent="0.3">
      <c r="A183" s="34">
        <v>182</v>
      </c>
      <c r="B183" s="34">
        <v>482</v>
      </c>
      <c r="C183" s="34" t="s">
        <v>5</v>
      </c>
      <c r="D183" s="34">
        <v>24</v>
      </c>
      <c r="E183" s="34">
        <v>1201</v>
      </c>
      <c r="F183" s="34">
        <v>26</v>
      </c>
      <c r="G183" s="34" t="s">
        <v>3</v>
      </c>
      <c r="H183" s="34" t="s">
        <v>4</v>
      </c>
      <c r="I183" s="39">
        <v>0.40818626171789396</v>
      </c>
    </row>
    <row r="184" spans="1:9" x14ac:dyDescent="0.3">
      <c r="A184" s="34">
        <v>183</v>
      </c>
      <c r="B184" s="34">
        <v>633</v>
      </c>
      <c r="C184" s="34" t="s">
        <v>5</v>
      </c>
      <c r="D184" s="34">
        <v>15</v>
      </c>
      <c r="E184" s="34">
        <v>1444</v>
      </c>
      <c r="F184" s="34">
        <v>23</v>
      </c>
      <c r="G184" s="34" t="s">
        <v>3</v>
      </c>
      <c r="H184" s="34" t="s">
        <v>4</v>
      </c>
      <c r="I184" s="39">
        <v>0.41197878545334654</v>
      </c>
    </row>
    <row r="185" spans="1:9" x14ac:dyDescent="0.3">
      <c r="A185" s="34">
        <v>184</v>
      </c>
      <c r="B185" s="34">
        <v>281</v>
      </c>
      <c r="C185" s="34" t="s">
        <v>5</v>
      </c>
      <c r="D185" s="34">
        <v>15</v>
      </c>
      <c r="E185" s="34">
        <v>3368</v>
      </c>
      <c r="F185" s="34">
        <v>23</v>
      </c>
      <c r="G185" s="34" t="s">
        <v>3</v>
      </c>
      <c r="H185" s="34" t="s">
        <v>9</v>
      </c>
      <c r="I185" s="39">
        <v>0.41286460840961847</v>
      </c>
    </row>
    <row r="186" spans="1:9" x14ac:dyDescent="0.3">
      <c r="A186" s="34">
        <v>185</v>
      </c>
      <c r="B186" s="34">
        <v>824</v>
      </c>
      <c r="C186" s="34" t="s">
        <v>5</v>
      </c>
      <c r="D186" s="34">
        <v>8</v>
      </c>
      <c r="E186" s="34">
        <v>731</v>
      </c>
      <c r="F186" s="34">
        <v>47</v>
      </c>
      <c r="G186" s="34" t="s">
        <v>3</v>
      </c>
      <c r="H186" s="34" t="s">
        <v>4</v>
      </c>
      <c r="I186" s="39">
        <v>0.41355294821354083</v>
      </c>
    </row>
    <row r="187" spans="1:9" x14ac:dyDescent="0.3">
      <c r="A187" s="34">
        <v>186</v>
      </c>
      <c r="B187" s="34">
        <v>178</v>
      </c>
      <c r="C187" s="34" t="s">
        <v>5</v>
      </c>
      <c r="D187" s="34">
        <v>6</v>
      </c>
      <c r="E187" s="34">
        <v>338</v>
      </c>
      <c r="F187" s="34">
        <v>52</v>
      </c>
      <c r="G187" s="34" t="s">
        <v>3</v>
      </c>
      <c r="H187" s="34" t="s">
        <v>4</v>
      </c>
      <c r="I187" s="39">
        <v>0.41387418451696856</v>
      </c>
    </row>
    <row r="188" spans="1:9" x14ac:dyDescent="0.3">
      <c r="A188" s="34">
        <v>187</v>
      </c>
      <c r="B188" s="34">
        <v>1000</v>
      </c>
      <c r="C188" s="34" t="s">
        <v>5</v>
      </c>
      <c r="D188" s="34">
        <v>45</v>
      </c>
      <c r="E188" s="34">
        <v>4576</v>
      </c>
      <c r="F188" s="34">
        <v>27</v>
      </c>
      <c r="G188" s="34" t="s">
        <v>3</v>
      </c>
      <c r="H188" s="34" t="s">
        <v>4</v>
      </c>
      <c r="I188" s="39">
        <v>0.41433612891383731</v>
      </c>
    </row>
    <row r="189" spans="1:9" x14ac:dyDescent="0.3">
      <c r="A189" s="34">
        <v>188</v>
      </c>
      <c r="B189" s="34">
        <v>401</v>
      </c>
      <c r="C189" s="34" t="s">
        <v>5</v>
      </c>
      <c r="D189" s="34">
        <v>18</v>
      </c>
      <c r="E189" s="34">
        <v>1473</v>
      </c>
      <c r="F189" s="34">
        <v>39</v>
      </c>
      <c r="G189" s="34" t="s">
        <v>11</v>
      </c>
      <c r="H189" s="34" t="s">
        <v>4</v>
      </c>
      <c r="I189" s="39">
        <v>0.41490560345908434</v>
      </c>
    </row>
    <row r="190" spans="1:9" x14ac:dyDescent="0.3">
      <c r="A190" s="34">
        <v>189</v>
      </c>
      <c r="B190" s="34">
        <v>389</v>
      </c>
      <c r="C190" s="34" t="s">
        <v>5</v>
      </c>
      <c r="D190" s="34">
        <v>15</v>
      </c>
      <c r="E190" s="34">
        <v>2326</v>
      </c>
      <c r="F190" s="34">
        <v>27</v>
      </c>
      <c r="G190" s="34" t="s">
        <v>3</v>
      </c>
      <c r="H190" s="34" t="s">
        <v>4</v>
      </c>
      <c r="I190" s="39">
        <v>0.41676458095571622</v>
      </c>
    </row>
    <row r="191" spans="1:9" x14ac:dyDescent="0.3">
      <c r="A191" s="34">
        <v>190</v>
      </c>
      <c r="B191" s="34">
        <v>731</v>
      </c>
      <c r="C191" s="34" t="s">
        <v>5</v>
      </c>
      <c r="D191" s="34">
        <v>24</v>
      </c>
      <c r="E191" s="34">
        <v>6403</v>
      </c>
      <c r="F191" s="34">
        <v>33</v>
      </c>
      <c r="G191" s="34" t="s">
        <v>3</v>
      </c>
      <c r="H191" s="34" t="s">
        <v>4</v>
      </c>
      <c r="I191" s="39">
        <v>0.41772592374681627</v>
      </c>
    </row>
    <row r="192" spans="1:9" x14ac:dyDescent="0.3">
      <c r="A192" s="34">
        <v>191</v>
      </c>
      <c r="B192" s="34">
        <v>855</v>
      </c>
      <c r="C192" s="34" t="s">
        <v>5</v>
      </c>
      <c r="D192" s="34">
        <v>36</v>
      </c>
      <c r="E192" s="34">
        <v>10875</v>
      </c>
      <c r="F192" s="34">
        <v>45</v>
      </c>
      <c r="G192" s="34" t="s">
        <v>3</v>
      </c>
      <c r="H192" s="34" t="s">
        <v>4</v>
      </c>
      <c r="I192" s="39">
        <v>0.41804455290069387</v>
      </c>
    </row>
    <row r="193" spans="1:9" x14ac:dyDescent="0.3">
      <c r="A193" s="34">
        <v>192</v>
      </c>
      <c r="B193" s="34">
        <v>381</v>
      </c>
      <c r="C193" s="34" t="s">
        <v>5</v>
      </c>
      <c r="D193" s="34">
        <v>20</v>
      </c>
      <c r="E193" s="34">
        <v>2212</v>
      </c>
      <c r="F193" s="34">
        <v>39</v>
      </c>
      <c r="G193" s="34" t="s">
        <v>3</v>
      </c>
      <c r="H193" s="34" t="s">
        <v>4</v>
      </c>
      <c r="I193" s="39">
        <v>0.41941180575215242</v>
      </c>
    </row>
    <row r="194" spans="1:9" x14ac:dyDescent="0.3">
      <c r="A194" s="34">
        <v>193</v>
      </c>
      <c r="B194" s="34">
        <v>288</v>
      </c>
      <c r="C194" s="34" t="s">
        <v>5</v>
      </c>
      <c r="D194" s="34">
        <v>48</v>
      </c>
      <c r="E194" s="34">
        <v>7582</v>
      </c>
      <c r="F194" s="34">
        <v>31</v>
      </c>
      <c r="G194" s="34" t="s">
        <v>3</v>
      </c>
      <c r="H194" s="34" t="s">
        <v>8</v>
      </c>
      <c r="I194" s="39">
        <v>0.42057935927446977</v>
      </c>
    </row>
    <row r="195" spans="1:9" x14ac:dyDescent="0.3">
      <c r="A195" s="34">
        <v>194</v>
      </c>
      <c r="B195" s="34">
        <v>688</v>
      </c>
      <c r="C195" s="34" t="s">
        <v>5</v>
      </c>
      <c r="D195" s="34">
        <v>36</v>
      </c>
      <c r="E195" s="34">
        <v>2862</v>
      </c>
      <c r="F195" s="34">
        <v>30</v>
      </c>
      <c r="G195" s="34" t="s">
        <v>3</v>
      </c>
      <c r="H195" s="34" t="s">
        <v>8</v>
      </c>
      <c r="I195" s="39">
        <v>0.4212649868541557</v>
      </c>
    </row>
    <row r="196" spans="1:9" x14ac:dyDescent="0.3">
      <c r="A196" s="34">
        <v>195</v>
      </c>
      <c r="B196" s="34">
        <v>257</v>
      </c>
      <c r="C196" s="34" t="s">
        <v>5</v>
      </c>
      <c r="D196" s="34">
        <v>24</v>
      </c>
      <c r="E196" s="34">
        <v>2684</v>
      </c>
      <c r="F196" s="34">
        <v>35</v>
      </c>
      <c r="G196" s="34" t="s">
        <v>3</v>
      </c>
      <c r="H196" s="34" t="s">
        <v>4</v>
      </c>
      <c r="I196" s="39">
        <v>0.42267566168497395</v>
      </c>
    </row>
    <row r="197" spans="1:9" x14ac:dyDescent="0.3">
      <c r="A197" s="34">
        <v>196</v>
      </c>
      <c r="B197" s="34">
        <v>487</v>
      </c>
      <c r="C197" s="34" t="s">
        <v>5</v>
      </c>
      <c r="D197" s="34">
        <v>12</v>
      </c>
      <c r="E197" s="34">
        <v>3077</v>
      </c>
      <c r="F197" s="34">
        <v>52</v>
      </c>
      <c r="G197" s="34" t="s">
        <v>3</v>
      </c>
      <c r="H197" s="34" t="s">
        <v>4</v>
      </c>
      <c r="I197" s="39">
        <v>0.42554450421721557</v>
      </c>
    </row>
    <row r="198" spans="1:9" x14ac:dyDescent="0.3">
      <c r="A198" s="34">
        <v>197</v>
      </c>
      <c r="B198" s="34">
        <v>460</v>
      </c>
      <c r="C198" s="34" t="s">
        <v>5</v>
      </c>
      <c r="D198" s="34">
        <v>18</v>
      </c>
      <c r="E198" s="34">
        <v>4594</v>
      </c>
      <c r="F198" s="34">
        <v>32</v>
      </c>
      <c r="G198" s="34" t="s">
        <v>3</v>
      </c>
      <c r="H198" s="34" t="s">
        <v>4</v>
      </c>
      <c r="I198" s="39">
        <v>0.42642475962313753</v>
      </c>
    </row>
    <row r="199" spans="1:9" x14ac:dyDescent="0.3">
      <c r="A199" s="34">
        <v>198</v>
      </c>
      <c r="B199" s="34">
        <v>965</v>
      </c>
      <c r="C199" s="34" t="s">
        <v>5</v>
      </c>
      <c r="D199" s="34">
        <v>6</v>
      </c>
      <c r="E199" s="34">
        <v>454</v>
      </c>
      <c r="F199" s="34">
        <v>22</v>
      </c>
      <c r="G199" s="34" t="s">
        <v>11</v>
      </c>
      <c r="H199" s="34" t="s">
        <v>4</v>
      </c>
      <c r="I199" s="39">
        <v>0.42671930598098529</v>
      </c>
    </row>
    <row r="200" spans="1:9" x14ac:dyDescent="0.3">
      <c r="A200" s="34">
        <v>199</v>
      </c>
      <c r="B200" s="34">
        <v>943</v>
      </c>
      <c r="C200" s="34" t="s">
        <v>5</v>
      </c>
      <c r="D200" s="34">
        <v>24</v>
      </c>
      <c r="E200" s="34">
        <v>929</v>
      </c>
      <c r="F200" s="34">
        <v>31</v>
      </c>
      <c r="G200" s="34" t="s">
        <v>3</v>
      </c>
      <c r="H200" s="34" t="s">
        <v>4</v>
      </c>
      <c r="I200" s="39">
        <v>0.42711990370735953</v>
      </c>
    </row>
    <row r="201" spans="1:9" x14ac:dyDescent="0.3">
      <c r="A201" s="34">
        <v>200</v>
      </c>
      <c r="B201" s="34">
        <v>396</v>
      </c>
      <c r="C201" s="34" t="s">
        <v>5</v>
      </c>
      <c r="D201" s="34">
        <v>39</v>
      </c>
      <c r="E201" s="34">
        <v>11760</v>
      </c>
      <c r="F201" s="34">
        <v>32</v>
      </c>
      <c r="G201" s="34" t="s">
        <v>3</v>
      </c>
      <c r="H201" s="34" t="s">
        <v>9</v>
      </c>
      <c r="I201" s="39">
        <v>0.42741117620914215</v>
      </c>
    </row>
    <row r="202" spans="1:9" x14ac:dyDescent="0.3">
      <c r="A202" s="34">
        <v>201</v>
      </c>
      <c r="B202" s="34">
        <v>39</v>
      </c>
      <c r="C202" s="34" t="s">
        <v>5</v>
      </c>
      <c r="D202" s="34">
        <v>10</v>
      </c>
      <c r="E202" s="34">
        <v>1225</v>
      </c>
      <c r="F202" s="34">
        <v>37</v>
      </c>
      <c r="G202" s="34" t="s">
        <v>3</v>
      </c>
      <c r="H202" s="34" t="s">
        <v>4</v>
      </c>
      <c r="I202" s="39">
        <v>0.4345136622696284</v>
      </c>
    </row>
    <row r="203" spans="1:9" x14ac:dyDescent="0.3">
      <c r="A203" s="34">
        <v>202</v>
      </c>
      <c r="B203" s="34">
        <v>924</v>
      </c>
      <c r="C203" s="34" t="s">
        <v>5</v>
      </c>
      <c r="D203" s="34">
        <v>12</v>
      </c>
      <c r="E203" s="34">
        <v>2002</v>
      </c>
      <c r="F203" s="34">
        <v>30</v>
      </c>
      <c r="G203" s="34" t="s">
        <v>3</v>
      </c>
      <c r="H203" s="34" t="s">
        <v>9</v>
      </c>
      <c r="I203" s="39">
        <v>0.43655944980271222</v>
      </c>
    </row>
    <row r="204" spans="1:9" x14ac:dyDescent="0.3">
      <c r="A204" s="34">
        <v>203</v>
      </c>
      <c r="B204" s="34">
        <v>743</v>
      </c>
      <c r="C204" s="34" t="s">
        <v>5</v>
      </c>
      <c r="D204" s="34">
        <v>21</v>
      </c>
      <c r="E204" s="34">
        <v>3160</v>
      </c>
      <c r="F204" s="34">
        <v>41</v>
      </c>
      <c r="G204" s="34" t="s">
        <v>3</v>
      </c>
      <c r="H204" s="34" t="s">
        <v>4</v>
      </c>
      <c r="I204" s="39">
        <v>0.4395638704421676</v>
      </c>
    </row>
    <row r="205" spans="1:9" x14ac:dyDescent="0.3">
      <c r="A205" s="34">
        <v>204</v>
      </c>
      <c r="B205" s="34">
        <v>80</v>
      </c>
      <c r="C205" s="34" t="s">
        <v>5</v>
      </c>
      <c r="D205" s="34">
        <v>30</v>
      </c>
      <c r="E205" s="34">
        <v>3832</v>
      </c>
      <c r="F205" s="34">
        <v>22</v>
      </c>
      <c r="G205" s="34" t="s">
        <v>11</v>
      </c>
      <c r="H205" s="34" t="s">
        <v>4</v>
      </c>
      <c r="I205" s="39">
        <v>0.4407443075170977</v>
      </c>
    </row>
    <row r="206" spans="1:9" x14ac:dyDescent="0.3">
      <c r="A206" s="34">
        <v>205</v>
      </c>
      <c r="B206" s="34">
        <v>512</v>
      </c>
      <c r="C206" s="34" t="s">
        <v>5</v>
      </c>
      <c r="D206" s="34">
        <v>36</v>
      </c>
      <c r="E206" s="34">
        <v>4686</v>
      </c>
      <c r="F206" s="34">
        <v>32</v>
      </c>
      <c r="G206" s="34" t="s">
        <v>3</v>
      </c>
      <c r="H206" s="34" t="s">
        <v>8</v>
      </c>
      <c r="I206" s="39">
        <v>0.44106404155334455</v>
      </c>
    </row>
    <row r="207" spans="1:9" x14ac:dyDescent="0.3">
      <c r="A207" s="34">
        <v>206</v>
      </c>
      <c r="B207" s="34">
        <v>282</v>
      </c>
      <c r="C207" s="34" t="s">
        <v>5</v>
      </c>
      <c r="D207" s="34">
        <v>12</v>
      </c>
      <c r="E207" s="34">
        <v>1574</v>
      </c>
      <c r="F207" s="34">
        <v>50</v>
      </c>
      <c r="G207" s="34" t="s">
        <v>3</v>
      </c>
      <c r="H207" s="34" t="s">
        <v>4</v>
      </c>
      <c r="I207" s="39">
        <v>0.44139626222334272</v>
      </c>
    </row>
    <row r="208" spans="1:9" x14ac:dyDescent="0.3">
      <c r="A208" s="34">
        <v>207</v>
      </c>
      <c r="B208" s="34">
        <v>656</v>
      </c>
      <c r="C208" s="34" t="s">
        <v>5</v>
      </c>
      <c r="D208" s="34">
        <v>14</v>
      </c>
      <c r="E208" s="34">
        <v>3973</v>
      </c>
      <c r="F208" s="34">
        <v>22</v>
      </c>
      <c r="G208" s="34" t="s">
        <v>3</v>
      </c>
      <c r="H208" s="34" t="s">
        <v>8</v>
      </c>
      <c r="I208" s="39">
        <v>0.4430762983290677</v>
      </c>
    </row>
    <row r="209" spans="1:9" x14ac:dyDescent="0.3">
      <c r="A209" s="34">
        <v>208</v>
      </c>
      <c r="B209" s="34">
        <v>808</v>
      </c>
      <c r="C209" s="34" t="s">
        <v>5</v>
      </c>
      <c r="D209" s="34">
        <v>12</v>
      </c>
      <c r="E209" s="34">
        <v>930</v>
      </c>
      <c r="F209" s="34">
        <v>65</v>
      </c>
      <c r="G209" s="34" t="s">
        <v>3</v>
      </c>
      <c r="H209" s="34" t="s">
        <v>4</v>
      </c>
      <c r="I209" s="39">
        <v>0.44356501286224026</v>
      </c>
    </row>
    <row r="210" spans="1:9" x14ac:dyDescent="0.3">
      <c r="A210" s="34">
        <v>209</v>
      </c>
      <c r="B210" s="34">
        <v>280</v>
      </c>
      <c r="C210" s="34" t="s">
        <v>5</v>
      </c>
      <c r="D210" s="34">
        <v>24</v>
      </c>
      <c r="E210" s="34">
        <v>1901</v>
      </c>
      <c r="F210" s="34">
        <v>29</v>
      </c>
      <c r="G210" s="34" t="s">
        <v>3</v>
      </c>
      <c r="H210" s="34" t="s">
        <v>9</v>
      </c>
      <c r="I210" s="39">
        <v>0.44769295506164986</v>
      </c>
    </row>
    <row r="211" spans="1:9" x14ac:dyDescent="0.3">
      <c r="A211" s="34">
        <v>210</v>
      </c>
      <c r="B211" s="34">
        <v>694</v>
      </c>
      <c r="C211" s="34" t="s">
        <v>5</v>
      </c>
      <c r="D211" s="34">
        <v>6</v>
      </c>
      <c r="E211" s="34">
        <v>4716</v>
      </c>
      <c r="F211" s="34">
        <v>44</v>
      </c>
      <c r="G211" s="34" t="s">
        <v>3</v>
      </c>
      <c r="H211" s="34" t="s">
        <v>4</v>
      </c>
      <c r="I211" s="39">
        <v>0.44809484768613217</v>
      </c>
    </row>
    <row r="212" spans="1:9" x14ac:dyDescent="0.3">
      <c r="A212" s="34">
        <v>211</v>
      </c>
      <c r="B212" s="34">
        <v>978</v>
      </c>
      <c r="C212" s="34" t="s">
        <v>5</v>
      </c>
      <c r="D212" s="34">
        <v>18</v>
      </c>
      <c r="E212" s="34">
        <v>2427</v>
      </c>
      <c r="F212" s="34">
        <v>42</v>
      </c>
      <c r="G212" s="34" t="s">
        <v>3</v>
      </c>
      <c r="H212" s="34" t="s">
        <v>4</v>
      </c>
      <c r="I212" s="39">
        <v>0.45362591385471185</v>
      </c>
    </row>
    <row r="213" spans="1:9" x14ac:dyDescent="0.3">
      <c r="A213" s="34">
        <v>212</v>
      </c>
      <c r="B213" s="34">
        <v>896</v>
      </c>
      <c r="C213" s="34" t="s">
        <v>5</v>
      </c>
      <c r="D213" s="34">
        <v>36</v>
      </c>
      <c r="E213" s="34">
        <v>8947</v>
      </c>
      <c r="F213" s="34">
        <v>31</v>
      </c>
      <c r="G213" s="34" t="s">
        <v>3</v>
      </c>
      <c r="H213" s="34" t="s">
        <v>4</v>
      </c>
      <c r="I213" s="39">
        <v>0.45405098753538076</v>
      </c>
    </row>
    <row r="214" spans="1:9" x14ac:dyDescent="0.3">
      <c r="A214" s="34">
        <v>213</v>
      </c>
      <c r="B214" s="34">
        <v>775</v>
      </c>
      <c r="C214" s="34" t="s">
        <v>5</v>
      </c>
      <c r="D214" s="34">
        <v>12</v>
      </c>
      <c r="E214" s="34">
        <v>1480</v>
      </c>
      <c r="F214" s="34">
        <v>66</v>
      </c>
      <c r="G214" s="34" t="s">
        <v>3</v>
      </c>
      <c r="H214" s="34" t="s">
        <v>8</v>
      </c>
      <c r="I214" s="39">
        <v>0.45806281681920591</v>
      </c>
    </row>
    <row r="215" spans="1:9" x14ac:dyDescent="0.3">
      <c r="A215" s="34">
        <v>214</v>
      </c>
      <c r="B215" s="34">
        <v>858</v>
      </c>
      <c r="C215" s="34" t="s">
        <v>5</v>
      </c>
      <c r="D215" s="34">
        <v>15</v>
      </c>
      <c r="E215" s="34">
        <v>3343</v>
      </c>
      <c r="F215" s="34">
        <v>28</v>
      </c>
      <c r="G215" s="34" t="s">
        <v>3</v>
      </c>
      <c r="H215" s="34" t="s">
        <v>8</v>
      </c>
      <c r="I215" s="39">
        <v>0.45995324974765772</v>
      </c>
    </row>
    <row r="216" spans="1:9" x14ac:dyDescent="0.3">
      <c r="A216" s="34">
        <v>215</v>
      </c>
      <c r="B216" s="34">
        <v>44</v>
      </c>
      <c r="C216" s="34" t="s">
        <v>5</v>
      </c>
      <c r="D216" s="34">
        <v>30</v>
      </c>
      <c r="E216" s="34">
        <v>6187</v>
      </c>
      <c r="F216" s="34">
        <v>24</v>
      </c>
      <c r="G216" s="34" t="s">
        <v>11</v>
      </c>
      <c r="H216" s="34" t="s">
        <v>9</v>
      </c>
      <c r="I216" s="39">
        <v>0.46107036510100108</v>
      </c>
    </row>
    <row r="217" spans="1:9" x14ac:dyDescent="0.3">
      <c r="A217" s="34">
        <v>216</v>
      </c>
      <c r="B217" s="34">
        <v>408</v>
      </c>
      <c r="C217" s="34" t="s">
        <v>5</v>
      </c>
      <c r="D217" s="34">
        <v>15</v>
      </c>
      <c r="E217" s="34">
        <v>1053</v>
      </c>
      <c r="F217" s="34">
        <v>27</v>
      </c>
      <c r="G217" s="34" t="s">
        <v>11</v>
      </c>
      <c r="H217" s="34" t="s">
        <v>4</v>
      </c>
      <c r="I217" s="39">
        <v>0.46157443748017968</v>
      </c>
    </row>
    <row r="218" spans="1:9" x14ac:dyDescent="0.3">
      <c r="A218" s="34">
        <v>217</v>
      </c>
      <c r="B218" s="34">
        <v>462</v>
      </c>
      <c r="C218" s="34" t="s">
        <v>5</v>
      </c>
      <c r="D218" s="34">
        <v>15</v>
      </c>
      <c r="E218" s="34">
        <v>1721</v>
      </c>
      <c r="F218" s="34">
        <v>36</v>
      </c>
      <c r="G218" s="34" t="s">
        <v>3</v>
      </c>
      <c r="H218" s="34" t="s">
        <v>4</v>
      </c>
      <c r="I218" s="39">
        <v>0.46364755509976163</v>
      </c>
    </row>
    <row r="219" spans="1:9" x14ac:dyDescent="0.3">
      <c r="A219" s="34">
        <v>218</v>
      </c>
      <c r="B219" s="34">
        <v>206</v>
      </c>
      <c r="C219" s="34" t="s">
        <v>5</v>
      </c>
      <c r="D219" s="34">
        <v>30</v>
      </c>
      <c r="E219" s="34">
        <v>10623</v>
      </c>
      <c r="F219" s="34">
        <v>38</v>
      </c>
      <c r="G219" s="34" t="s">
        <v>3</v>
      </c>
      <c r="H219" s="34" t="s">
        <v>8</v>
      </c>
      <c r="I219" s="39">
        <v>0.46385799115482229</v>
      </c>
    </row>
    <row r="220" spans="1:9" x14ac:dyDescent="0.3">
      <c r="A220" s="34">
        <v>219</v>
      </c>
      <c r="B220" s="34">
        <v>575</v>
      </c>
      <c r="C220" s="34" t="s">
        <v>5</v>
      </c>
      <c r="D220" s="34">
        <v>9</v>
      </c>
      <c r="E220" s="34">
        <v>1082</v>
      </c>
      <c r="F220" s="34">
        <v>27</v>
      </c>
      <c r="G220" s="34" t="s">
        <v>3</v>
      </c>
      <c r="H220" s="34" t="s">
        <v>4</v>
      </c>
      <c r="I220" s="39">
        <v>0.46411904347600597</v>
      </c>
    </row>
    <row r="221" spans="1:9" x14ac:dyDescent="0.3">
      <c r="A221" s="34">
        <v>220</v>
      </c>
      <c r="B221" s="34">
        <v>683</v>
      </c>
      <c r="C221" s="34" t="s">
        <v>5</v>
      </c>
      <c r="D221" s="34">
        <v>15</v>
      </c>
      <c r="E221" s="34">
        <v>1478</v>
      </c>
      <c r="F221" s="34">
        <v>33</v>
      </c>
      <c r="G221" s="34" t="s">
        <v>11</v>
      </c>
      <c r="H221" s="34" t="s">
        <v>4</v>
      </c>
      <c r="I221" s="39">
        <v>0.46482996460693271</v>
      </c>
    </row>
    <row r="222" spans="1:9" x14ac:dyDescent="0.3">
      <c r="A222" s="34">
        <v>221</v>
      </c>
      <c r="B222" s="34">
        <v>773</v>
      </c>
      <c r="C222" s="34" t="s">
        <v>5</v>
      </c>
      <c r="D222" s="34">
        <v>21</v>
      </c>
      <c r="E222" s="34">
        <v>3275</v>
      </c>
      <c r="F222" s="34">
        <v>36</v>
      </c>
      <c r="G222" s="34" t="s">
        <v>3</v>
      </c>
      <c r="H222" s="34" t="s">
        <v>4</v>
      </c>
      <c r="I222" s="39">
        <v>0.46507087137547187</v>
      </c>
    </row>
    <row r="223" spans="1:9" x14ac:dyDescent="0.3">
      <c r="A223" s="34">
        <v>222</v>
      </c>
      <c r="B223" s="34">
        <v>385</v>
      </c>
      <c r="C223" s="34" t="s">
        <v>5</v>
      </c>
      <c r="D223" s="34">
        <v>30</v>
      </c>
      <c r="E223" s="34">
        <v>4272</v>
      </c>
      <c r="F223" s="34">
        <v>26</v>
      </c>
      <c r="G223" s="34" t="s">
        <v>3</v>
      </c>
      <c r="H223" s="34" t="s">
        <v>4</v>
      </c>
      <c r="I223" s="39">
        <v>0.46681620645937827</v>
      </c>
    </row>
    <row r="224" spans="1:9" x14ac:dyDescent="0.3">
      <c r="A224" s="34">
        <v>223</v>
      </c>
      <c r="B224" s="34">
        <v>221</v>
      </c>
      <c r="C224" s="34" t="s">
        <v>5</v>
      </c>
      <c r="D224" s="34">
        <v>12</v>
      </c>
      <c r="E224" s="34">
        <v>625</v>
      </c>
      <c r="F224" s="34">
        <v>26</v>
      </c>
      <c r="G224" s="34" t="s">
        <v>11</v>
      </c>
      <c r="H224" s="34" t="s">
        <v>4</v>
      </c>
      <c r="I224" s="39">
        <v>0.46895423806814263</v>
      </c>
    </row>
    <row r="225" spans="1:9" x14ac:dyDescent="0.3">
      <c r="A225" s="34">
        <v>224</v>
      </c>
      <c r="B225" s="34">
        <v>113</v>
      </c>
      <c r="C225" s="34" t="s">
        <v>5</v>
      </c>
      <c r="D225" s="34">
        <v>18</v>
      </c>
      <c r="E225" s="34">
        <v>6260</v>
      </c>
      <c r="F225" s="34">
        <v>28</v>
      </c>
      <c r="G225" s="34" t="s">
        <v>3</v>
      </c>
      <c r="H225" s="34" t="s">
        <v>9</v>
      </c>
      <c r="I225" s="39">
        <v>0.46977827061508348</v>
      </c>
    </row>
    <row r="226" spans="1:9" x14ac:dyDescent="0.3">
      <c r="A226" s="34">
        <v>225</v>
      </c>
      <c r="B226" s="34">
        <v>889</v>
      </c>
      <c r="C226" s="34" t="s">
        <v>5</v>
      </c>
      <c r="D226" s="34">
        <v>36</v>
      </c>
      <c r="E226" s="34">
        <v>6614</v>
      </c>
      <c r="F226" s="34">
        <v>34</v>
      </c>
      <c r="G226" s="34" t="s">
        <v>3</v>
      </c>
      <c r="H226" s="34" t="s">
        <v>4</v>
      </c>
      <c r="I226" s="39">
        <v>0.47378762470887248</v>
      </c>
    </row>
    <row r="227" spans="1:9" x14ac:dyDescent="0.3">
      <c r="A227" s="34">
        <v>226</v>
      </c>
      <c r="B227" s="34">
        <v>846</v>
      </c>
      <c r="C227" s="34" t="s">
        <v>5</v>
      </c>
      <c r="D227" s="34">
        <v>21</v>
      </c>
      <c r="E227" s="34">
        <v>3976</v>
      </c>
      <c r="F227" s="34">
        <v>35</v>
      </c>
      <c r="G227" s="34" t="s">
        <v>3</v>
      </c>
      <c r="H227" s="34" t="s">
        <v>4</v>
      </c>
      <c r="I227" s="39">
        <v>0.47395182479797149</v>
      </c>
    </row>
    <row r="228" spans="1:9" x14ac:dyDescent="0.3">
      <c r="A228" s="34">
        <v>227</v>
      </c>
      <c r="B228" s="34">
        <v>528</v>
      </c>
      <c r="C228" s="34" t="s">
        <v>5</v>
      </c>
      <c r="D228" s="34">
        <v>4</v>
      </c>
      <c r="E228" s="34">
        <v>1503</v>
      </c>
      <c r="F228" s="34">
        <v>42</v>
      </c>
      <c r="G228" s="34" t="s">
        <v>3</v>
      </c>
      <c r="H228" s="34" t="s">
        <v>4</v>
      </c>
      <c r="I228" s="39">
        <v>0.47572170654884216</v>
      </c>
    </row>
    <row r="229" spans="1:9" x14ac:dyDescent="0.3">
      <c r="A229" s="34">
        <v>228</v>
      </c>
      <c r="B229" s="34">
        <v>327</v>
      </c>
      <c r="C229" s="34" t="s">
        <v>5</v>
      </c>
      <c r="D229" s="34">
        <v>12</v>
      </c>
      <c r="E229" s="34">
        <v>5801</v>
      </c>
      <c r="F229" s="34">
        <v>49</v>
      </c>
      <c r="G229" s="34" t="s">
        <v>3</v>
      </c>
      <c r="H229" s="34" t="s">
        <v>9</v>
      </c>
      <c r="I229" s="39">
        <v>0.47581361286983226</v>
      </c>
    </row>
    <row r="230" spans="1:9" x14ac:dyDescent="0.3">
      <c r="A230" s="34">
        <v>229</v>
      </c>
      <c r="B230" s="34">
        <v>240</v>
      </c>
      <c r="C230" s="34" t="s">
        <v>5</v>
      </c>
      <c r="D230" s="34">
        <v>30</v>
      </c>
      <c r="E230" s="34">
        <v>2522</v>
      </c>
      <c r="F230" s="34">
        <v>39</v>
      </c>
      <c r="G230" s="34" t="s">
        <v>3</v>
      </c>
      <c r="H230" s="34" t="s">
        <v>4</v>
      </c>
      <c r="I230" s="39">
        <v>0.48354882263873933</v>
      </c>
    </row>
    <row r="231" spans="1:9" x14ac:dyDescent="0.3">
      <c r="A231" s="34">
        <v>230</v>
      </c>
      <c r="B231" s="34">
        <v>711</v>
      </c>
      <c r="C231" s="34" t="s">
        <v>5</v>
      </c>
      <c r="D231" s="34">
        <v>18</v>
      </c>
      <c r="E231" s="34">
        <v>629</v>
      </c>
      <c r="F231" s="34">
        <v>32</v>
      </c>
      <c r="G231" s="34" t="s">
        <v>3</v>
      </c>
      <c r="H231" s="34" t="s">
        <v>4</v>
      </c>
      <c r="I231" s="39">
        <v>0.48367015880434538</v>
      </c>
    </row>
    <row r="232" spans="1:9" x14ac:dyDescent="0.3">
      <c r="A232" s="34">
        <v>231</v>
      </c>
      <c r="B232" s="34">
        <v>115</v>
      </c>
      <c r="C232" s="34" t="s">
        <v>5</v>
      </c>
      <c r="D232" s="34">
        <v>12</v>
      </c>
      <c r="E232" s="34">
        <v>1680</v>
      </c>
      <c r="F232" s="34">
        <v>35</v>
      </c>
      <c r="G232" s="34" t="s">
        <v>11</v>
      </c>
      <c r="H232" s="34" t="s">
        <v>4</v>
      </c>
      <c r="I232" s="39">
        <v>0.48661909312734164</v>
      </c>
    </row>
    <row r="233" spans="1:9" x14ac:dyDescent="0.3">
      <c r="A233" s="34">
        <v>232</v>
      </c>
      <c r="B233" s="34">
        <v>276</v>
      </c>
      <c r="C233" s="34" t="s">
        <v>5</v>
      </c>
      <c r="D233" s="34">
        <v>9</v>
      </c>
      <c r="E233" s="34">
        <v>2697</v>
      </c>
      <c r="F233" s="34">
        <v>32</v>
      </c>
      <c r="G233" s="34" t="s">
        <v>3</v>
      </c>
      <c r="H233" s="34" t="s">
        <v>4</v>
      </c>
      <c r="I233" s="39">
        <v>0.48679155869606883</v>
      </c>
    </row>
    <row r="234" spans="1:9" x14ac:dyDescent="0.3">
      <c r="A234" s="34">
        <v>233</v>
      </c>
      <c r="B234" s="34">
        <v>904</v>
      </c>
      <c r="C234" s="34" t="s">
        <v>5</v>
      </c>
      <c r="D234" s="34">
        <v>15</v>
      </c>
      <c r="E234" s="34">
        <v>1386</v>
      </c>
      <c r="F234" s="34">
        <v>40</v>
      </c>
      <c r="G234" s="34" t="s">
        <v>11</v>
      </c>
      <c r="H234" s="34" t="s">
        <v>9</v>
      </c>
      <c r="I234" s="39">
        <v>0.48850018111866178</v>
      </c>
    </row>
    <row r="235" spans="1:9" x14ac:dyDescent="0.3">
      <c r="A235" s="34">
        <v>234</v>
      </c>
      <c r="B235" s="34">
        <v>287</v>
      </c>
      <c r="C235" s="34" t="s">
        <v>5</v>
      </c>
      <c r="D235" s="34">
        <v>48</v>
      </c>
      <c r="E235" s="34">
        <v>4788</v>
      </c>
      <c r="F235" s="34">
        <v>26</v>
      </c>
      <c r="G235" s="34" t="s">
        <v>3</v>
      </c>
      <c r="H235" s="34" t="s">
        <v>4</v>
      </c>
      <c r="I235" s="39">
        <v>0.49487897428437866</v>
      </c>
    </row>
    <row r="236" spans="1:9" x14ac:dyDescent="0.3">
      <c r="A236" s="34">
        <v>235</v>
      </c>
      <c r="B236" s="34">
        <v>826</v>
      </c>
      <c r="C236" s="34" t="s">
        <v>5</v>
      </c>
      <c r="D236" s="34">
        <v>21</v>
      </c>
      <c r="E236" s="34">
        <v>1602</v>
      </c>
      <c r="F236" s="34">
        <v>30</v>
      </c>
      <c r="G236" s="34" t="s">
        <v>11</v>
      </c>
      <c r="H236" s="34" t="s">
        <v>4</v>
      </c>
      <c r="I236" s="39">
        <v>0.49686990081989868</v>
      </c>
    </row>
    <row r="237" spans="1:9" x14ac:dyDescent="0.3">
      <c r="A237" s="34">
        <v>236</v>
      </c>
      <c r="B237" s="34">
        <v>674</v>
      </c>
      <c r="C237" s="34" t="s">
        <v>5</v>
      </c>
      <c r="D237" s="34">
        <v>6</v>
      </c>
      <c r="E237" s="34">
        <v>2080</v>
      </c>
      <c r="F237" s="34">
        <v>24</v>
      </c>
      <c r="G237" s="34" t="s">
        <v>11</v>
      </c>
      <c r="H237" s="34" t="s">
        <v>4</v>
      </c>
      <c r="I237" s="39">
        <v>0.49846746938765951</v>
      </c>
    </row>
    <row r="238" spans="1:9" x14ac:dyDescent="0.3">
      <c r="A238" s="34">
        <v>237</v>
      </c>
      <c r="B238" s="34">
        <v>629</v>
      </c>
      <c r="C238" s="34" t="s">
        <v>5</v>
      </c>
      <c r="D238" s="34">
        <v>42</v>
      </c>
      <c r="E238" s="34">
        <v>4042</v>
      </c>
      <c r="F238" s="34">
        <v>36</v>
      </c>
      <c r="G238" s="34" t="s">
        <v>3</v>
      </c>
      <c r="H238" s="34" t="s">
        <v>4</v>
      </c>
      <c r="I238" s="39">
        <v>0.49861369456717175</v>
      </c>
    </row>
    <row r="239" spans="1:9" x14ac:dyDescent="0.3">
      <c r="A239" s="34">
        <v>238</v>
      </c>
      <c r="B239" s="34">
        <v>800</v>
      </c>
      <c r="C239" s="34" t="s">
        <v>5</v>
      </c>
      <c r="D239" s="34">
        <v>9</v>
      </c>
      <c r="E239" s="34">
        <v>1549</v>
      </c>
      <c r="F239" s="34">
        <v>35</v>
      </c>
      <c r="G239" s="34" t="s">
        <v>3</v>
      </c>
      <c r="H239" s="34" t="s">
        <v>4</v>
      </c>
      <c r="I239" s="39">
        <v>0.50106486877958034</v>
      </c>
    </row>
    <row r="240" spans="1:9" x14ac:dyDescent="0.3">
      <c r="A240" s="34">
        <v>239</v>
      </c>
      <c r="B240" s="34">
        <v>366</v>
      </c>
      <c r="C240" s="34" t="s">
        <v>5</v>
      </c>
      <c r="D240" s="34">
        <v>12</v>
      </c>
      <c r="E240" s="34">
        <v>1542</v>
      </c>
      <c r="F240" s="34">
        <v>36</v>
      </c>
      <c r="G240" s="34" t="s">
        <v>3</v>
      </c>
      <c r="H240" s="34" t="s">
        <v>4</v>
      </c>
      <c r="I240" s="39">
        <v>0.50185352990348042</v>
      </c>
    </row>
    <row r="241" spans="1:9" x14ac:dyDescent="0.3">
      <c r="A241" s="34">
        <v>240</v>
      </c>
      <c r="B241" s="34">
        <v>717</v>
      </c>
      <c r="C241" s="34" t="s">
        <v>5</v>
      </c>
      <c r="D241" s="34">
        <v>30</v>
      </c>
      <c r="E241" s="34">
        <v>3077</v>
      </c>
      <c r="F241" s="34">
        <v>40</v>
      </c>
      <c r="G241" s="34" t="s">
        <v>3</v>
      </c>
      <c r="H241" s="34" t="s">
        <v>4</v>
      </c>
      <c r="I241" s="39">
        <v>0.5039270700667009</v>
      </c>
    </row>
    <row r="242" spans="1:9" x14ac:dyDescent="0.3">
      <c r="A242" s="34">
        <v>241</v>
      </c>
      <c r="B242" s="34">
        <v>210</v>
      </c>
      <c r="C242" s="34" t="s">
        <v>5</v>
      </c>
      <c r="D242" s="34">
        <v>12</v>
      </c>
      <c r="E242" s="34">
        <v>1413</v>
      </c>
      <c r="F242" s="34">
        <v>55</v>
      </c>
      <c r="G242" s="34" t="s">
        <v>3</v>
      </c>
      <c r="H242" s="34" t="s">
        <v>4</v>
      </c>
      <c r="I242" s="39">
        <v>0.50463301208526057</v>
      </c>
    </row>
    <row r="243" spans="1:9" x14ac:dyDescent="0.3">
      <c r="A243" s="34">
        <v>242</v>
      </c>
      <c r="B243" s="34">
        <v>787</v>
      </c>
      <c r="C243" s="34" t="s">
        <v>5</v>
      </c>
      <c r="D243" s="34">
        <v>22</v>
      </c>
      <c r="E243" s="34">
        <v>2675</v>
      </c>
      <c r="F243" s="34">
        <v>40</v>
      </c>
      <c r="G243" s="34" t="s">
        <v>3</v>
      </c>
      <c r="H243" s="34" t="s">
        <v>4</v>
      </c>
      <c r="I243" s="39">
        <v>0.50500261572081262</v>
      </c>
    </row>
    <row r="244" spans="1:9" x14ac:dyDescent="0.3">
      <c r="A244" s="34">
        <v>243</v>
      </c>
      <c r="B244" s="34">
        <v>881</v>
      </c>
      <c r="C244" s="34" t="s">
        <v>5</v>
      </c>
      <c r="D244" s="34">
        <v>24</v>
      </c>
      <c r="E244" s="34">
        <v>7814</v>
      </c>
      <c r="F244" s="34">
        <v>38</v>
      </c>
      <c r="G244" s="34" t="s">
        <v>3</v>
      </c>
      <c r="H244" s="34" t="s">
        <v>4</v>
      </c>
      <c r="I244" s="39">
        <v>0.50753044520319024</v>
      </c>
    </row>
    <row r="245" spans="1:9" x14ac:dyDescent="0.3">
      <c r="A245" s="34">
        <v>244</v>
      </c>
      <c r="B245" s="34">
        <v>644</v>
      </c>
      <c r="C245" s="34" t="s">
        <v>5</v>
      </c>
      <c r="D245" s="34">
        <v>24</v>
      </c>
      <c r="E245" s="34">
        <v>1851</v>
      </c>
      <c r="F245" s="34">
        <v>33</v>
      </c>
      <c r="G245" s="34" t="s">
        <v>11</v>
      </c>
      <c r="H245" s="34" t="s">
        <v>4</v>
      </c>
      <c r="I245" s="39">
        <v>0.50900634363039776</v>
      </c>
    </row>
    <row r="246" spans="1:9" x14ac:dyDescent="0.3">
      <c r="A246" s="34">
        <v>245</v>
      </c>
      <c r="B246" s="34">
        <v>355</v>
      </c>
      <c r="C246" s="34" t="s">
        <v>5</v>
      </c>
      <c r="D246" s="34">
        <v>10</v>
      </c>
      <c r="E246" s="34">
        <v>727</v>
      </c>
      <c r="F246" s="34">
        <v>46</v>
      </c>
      <c r="G246" s="34" t="s">
        <v>3</v>
      </c>
      <c r="H246" s="34" t="s">
        <v>8</v>
      </c>
      <c r="I246" s="39">
        <v>0.51155113232473437</v>
      </c>
    </row>
    <row r="247" spans="1:9" x14ac:dyDescent="0.3">
      <c r="A247" s="34">
        <v>246</v>
      </c>
      <c r="B247" s="34">
        <v>177</v>
      </c>
      <c r="C247" s="34" t="s">
        <v>5</v>
      </c>
      <c r="D247" s="34">
        <v>12</v>
      </c>
      <c r="E247" s="34">
        <v>2577</v>
      </c>
      <c r="F247" s="34">
        <v>42</v>
      </c>
      <c r="G247" s="34" t="s">
        <v>10</v>
      </c>
      <c r="H247" s="34" t="s">
        <v>4</v>
      </c>
      <c r="I247" s="39">
        <v>0.51160838189226798</v>
      </c>
    </row>
    <row r="248" spans="1:9" x14ac:dyDescent="0.3">
      <c r="A248" s="34">
        <v>247</v>
      </c>
      <c r="B248" s="34">
        <v>248</v>
      </c>
      <c r="C248" s="34" t="s">
        <v>5</v>
      </c>
      <c r="D248" s="34">
        <v>6</v>
      </c>
      <c r="E248" s="34">
        <v>1204</v>
      </c>
      <c r="F248" s="34">
        <v>35</v>
      </c>
      <c r="G248" s="34" t="s">
        <v>3</v>
      </c>
      <c r="H248" s="34" t="s">
        <v>9</v>
      </c>
      <c r="I248" s="39">
        <v>0.51177659398978648</v>
      </c>
    </row>
    <row r="249" spans="1:9" x14ac:dyDescent="0.3">
      <c r="A249" s="34">
        <v>248</v>
      </c>
      <c r="B249" s="34">
        <v>534</v>
      </c>
      <c r="C249" s="34" t="s">
        <v>5</v>
      </c>
      <c r="D249" s="34">
        <v>24</v>
      </c>
      <c r="E249" s="34">
        <v>1311</v>
      </c>
      <c r="F249" s="34">
        <v>26</v>
      </c>
      <c r="G249" s="34" t="s">
        <v>11</v>
      </c>
      <c r="H249" s="34" t="s">
        <v>4</v>
      </c>
      <c r="I249" s="39">
        <v>0.51584015560869512</v>
      </c>
    </row>
    <row r="250" spans="1:9" x14ac:dyDescent="0.3">
      <c r="A250" s="34">
        <v>249</v>
      </c>
      <c r="B250" s="34">
        <v>461</v>
      </c>
      <c r="C250" s="34" t="s">
        <v>5</v>
      </c>
      <c r="D250" s="34">
        <v>36</v>
      </c>
      <c r="E250" s="34">
        <v>3620</v>
      </c>
      <c r="F250" s="34">
        <v>37</v>
      </c>
      <c r="G250" s="34" t="s">
        <v>3</v>
      </c>
      <c r="H250" s="34" t="s">
        <v>4</v>
      </c>
      <c r="I250" s="39">
        <v>0.51605943809492938</v>
      </c>
    </row>
    <row r="251" spans="1:9" x14ac:dyDescent="0.3">
      <c r="A251" s="34">
        <v>250</v>
      </c>
      <c r="B251" s="34">
        <v>513</v>
      </c>
      <c r="C251" s="34" t="s">
        <v>5</v>
      </c>
      <c r="D251" s="34">
        <v>15</v>
      </c>
      <c r="E251" s="34">
        <v>2687</v>
      </c>
      <c r="F251" s="34">
        <v>26</v>
      </c>
      <c r="G251" s="34" t="s">
        <v>3</v>
      </c>
      <c r="H251" s="34" t="s">
        <v>9</v>
      </c>
      <c r="I251" s="39">
        <v>0.51703162867505026</v>
      </c>
    </row>
    <row r="252" spans="1:9" x14ac:dyDescent="0.3">
      <c r="A252" s="34">
        <v>251</v>
      </c>
      <c r="B252" s="34">
        <v>647</v>
      </c>
      <c r="C252" s="34" t="s">
        <v>5</v>
      </c>
      <c r="D252" s="34">
        <v>30</v>
      </c>
      <c r="E252" s="34">
        <v>4583</v>
      </c>
      <c r="F252" s="34">
        <v>32</v>
      </c>
      <c r="G252" s="34" t="s">
        <v>10</v>
      </c>
      <c r="H252" s="34" t="s">
        <v>4</v>
      </c>
      <c r="I252" s="39">
        <v>0.51772335474383402</v>
      </c>
    </row>
    <row r="253" spans="1:9" x14ac:dyDescent="0.3">
      <c r="A253" s="34">
        <v>252</v>
      </c>
      <c r="B253" s="34">
        <v>786</v>
      </c>
      <c r="C253" s="34" t="s">
        <v>5</v>
      </c>
      <c r="D253" s="34">
        <v>18</v>
      </c>
      <c r="E253" s="34">
        <v>1941</v>
      </c>
      <c r="F253" s="34">
        <v>35</v>
      </c>
      <c r="G253" s="34" t="s">
        <v>3</v>
      </c>
      <c r="H253" s="34" t="s">
        <v>4</v>
      </c>
      <c r="I253" s="39">
        <v>0.51806042104787231</v>
      </c>
    </row>
    <row r="254" spans="1:9" x14ac:dyDescent="0.3">
      <c r="A254" s="34">
        <v>253</v>
      </c>
      <c r="B254" s="34">
        <v>893</v>
      </c>
      <c r="C254" s="34" t="s">
        <v>5</v>
      </c>
      <c r="D254" s="34">
        <v>12</v>
      </c>
      <c r="E254" s="34">
        <v>2171</v>
      </c>
      <c r="F254" s="34">
        <v>38</v>
      </c>
      <c r="G254" s="34" t="s">
        <v>3</v>
      </c>
      <c r="H254" s="34" t="s">
        <v>4</v>
      </c>
      <c r="I254" s="39">
        <v>0.51845310010460743</v>
      </c>
    </row>
    <row r="255" spans="1:9" x14ac:dyDescent="0.3">
      <c r="A255" s="34">
        <v>254</v>
      </c>
      <c r="B255" s="34">
        <v>930</v>
      </c>
      <c r="C255" s="34" t="s">
        <v>5</v>
      </c>
      <c r="D255" s="34">
        <v>12</v>
      </c>
      <c r="E255" s="34">
        <v>1344</v>
      </c>
      <c r="F255" s="34">
        <v>43</v>
      </c>
      <c r="G255" s="34" t="s">
        <v>3</v>
      </c>
      <c r="H255" s="34" t="s">
        <v>4</v>
      </c>
      <c r="I255" s="39">
        <v>0.52120623535075505</v>
      </c>
    </row>
    <row r="256" spans="1:9" x14ac:dyDescent="0.3">
      <c r="A256" s="34">
        <v>255</v>
      </c>
      <c r="B256" s="34">
        <v>617</v>
      </c>
      <c r="C256" s="34" t="s">
        <v>5</v>
      </c>
      <c r="D256" s="34">
        <v>60</v>
      </c>
      <c r="E256" s="34">
        <v>9157</v>
      </c>
      <c r="F256" s="34">
        <v>27</v>
      </c>
      <c r="G256" s="34" t="s">
        <v>3</v>
      </c>
      <c r="H256" s="34" t="s">
        <v>8</v>
      </c>
      <c r="I256" s="39">
        <v>0.5218394991419979</v>
      </c>
    </row>
    <row r="257" spans="1:9" x14ac:dyDescent="0.3">
      <c r="A257" s="34">
        <v>256</v>
      </c>
      <c r="B257" s="34">
        <v>759</v>
      </c>
      <c r="C257" s="34" t="s">
        <v>5</v>
      </c>
      <c r="D257" s="34">
        <v>24</v>
      </c>
      <c r="E257" s="34">
        <v>1393</v>
      </c>
      <c r="F257" s="34">
        <v>31</v>
      </c>
      <c r="G257" s="34" t="s">
        <v>3</v>
      </c>
      <c r="H257" s="34" t="s">
        <v>4</v>
      </c>
      <c r="I257" s="39">
        <v>0.52217424962886838</v>
      </c>
    </row>
    <row r="258" spans="1:9" x14ac:dyDescent="0.3">
      <c r="A258" s="34">
        <v>257</v>
      </c>
      <c r="B258" s="34">
        <v>435</v>
      </c>
      <c r="C258" s="34" t="s">
        <v>5</v>
      </c>
      <c r="D258" s="34">
        <v>9</v>
      </c>
      <c r="E258" s="34">
        <v>2136</v>
      </c>
      <c r="F258" s="34">
        <v>25</v>
      </c>
      <c r="G258" s="34" t="s">
        <v>3</v>
      </c>
      <c r="H258" s="34" t="s">
        <v>4</v>
      </c>
      <c r="I258" s="39">
        <v>0.52356424318758643</v>
      </c>
    </row>
    <row r="259" spans="1:9" x14ac:dyDescent="0.3">
      <c r="A259" s="34">
        <v>258</v>
      </c>
      <c r="B259" s="34">
        <v>174</v>
      </c>
      <c r="C259" s="34" t="s">
        <v>5</v>
      </c>
      <c r="D259" s="34">
        <v>8</v>
      </c>
      <c r="E259" s="34">
        <v>1414</v>
      </c>
      <c r="F259" s="34">
        <v>33</v>
      </c>
      <c r="G259" s="34" t="s">
        <v>3</v>
      </c>
      <c r="H259" s="34" t="s">
        <v>4</v>
      </c>
      <c r="I259" s="39">
        <v>0.52770111491382421</v>
      </c>
    </row>
    <row r="260" spans="1:9" x14ac:dyDescent="0.3">
      <c r="A260" s="34">
        <v>259</v>
      </c>
      <c r="B260" s="34">
        <v>377</v>
      </c>
      <c r="C260" s="34" t="s">
        <v>5</v>
      </c>
      <c r="D260" s="34">
        <v>18</v>
      </c>
      <c r="E260" s="34">
        <v>2320</v>
      </c>
      <c r="F260" s="34">
        <v>34</v>
      </c>
      <c r="G260" s="34" t="s">
        <v>11</v>
      </c>
      <c r="H260" s="34" t="s">
        <v>4</v>
      </c>
      <c r="I260" s="39">
        <v>0.52799206321213965</v>
      </c>
    </row>
    <row r="261" spans="1:9" x14ac:dyDescent="0.3">
      <c r="A261" s="34">
        <v>260</v>
      </c>
      <c r="B261" s="34">
        <v>72</v>
      </c>
      <c r="C261" s="34" t="s">
        <v>5</v>
      </c>
      <c r="D261" s="34">
        <v>7</v>
      </c>
      <c r="E261" s="34">
        <v>730</v>
      </c>
      <c r="F261" s="34">
        <v>46</v>
      </c>
      <c r="G261" s="34" t="s">
        <v>3</v>
      </c>
      <c r="H261" s="34" t="s">
        <v>9</v>
      </c>
      <c r="I261" s="39">
        <v>0.53024876471204241</v>
      </c>
    </row>
    <row r="262" spans="1:9" x14ac:dyDescent="0.3">
      <c r="A262" s="34">
        <v>261</v>
      </c>
      <c r="B262" s="34">
        <v>917</v>
      </c>
      <c r="C262" s="34" t="s">
        <v>5</v>
      </c>
      <c r="D262" s="34">
        <v>10</v>
      </c>
      <c r="E262" s="34">
        <v>2848</v>
      </c>
      <c r="F262" s="34">
        <v>32</v>
      </c>
      <c r="G262" s="34" t="s">
        <v>3</v>
      </c>
      <c r="H262" s="34" t="s">
        <v>4</v>
      </c>
      <c r="I262" s="39">
        <v>0.53448746386166446</v>
      </c>
    </row>
    <row r="263" spans="1:9" x14ac:dyDescent="0.3">
      <c r="A263" s="34">
        <v>262</v>
      </c>
      <c r="B263" s="34">
        <v>150</v>
      </c>
      <c r="C263" s="34" t="s">
        <v>5</v>
      </c>
      <c r="D263" s="34">
        <v>18</v>
      </c>
      <c r="E263" s="34">
        <v>1582</v>
      </c>
      <c r="F263" s="34">
        <v>46</v>
      </c>
      <c r="G263" s="34" t="s">
        <v>3</v>
      </c>
      <c r="H263" s="34" t="s">
        <v>4</v>
      </c>
      <c r="I263" s="39">
        <v>0.53519300623220245</v>
      </c>
    </row>
    <row r="264" spans="1:9" x14ac:dyDescent="0.3">
      <c r="A264" s="34">
        <v>263</v>
      </c>
      <c r="B264" s="34">
        <v>663</v>
      </c>
      <c r="C264" s="34" t="s">
        <v>5</v>
      </c>
      <c r="D264" s="34">
        <v>21</v>
      </c>
      <c r="E264" s="34">
        <v>2241</v>
      </c>
      <c r="F264" s="34">
        <v>50</v>
      </c>
      <c r="G264" s="34" t="s">
        <v>3</v>
      </c>
      <c r="H264" s="34" t="s">
        <v>4</v>
      </c>
      <c r="I264" s="39">
        <v>0.53524504498439529</v>
      </c>
    </row>
    <row r="265" spans="1:9" x14ac:dyDescent="0.3">
      <c r="A265" s="34">
        <v>264</v>
      </c>
      <c r="B265" s="34">
        <v>958</v>
      </c>
      <c r="C265" s="34" t="s">
        <v>5</v>
      </c>
      <c r="D265" s="34">
        <v>9</v>
      </c>
      <c r="E265" s="34">
        <v>1154</v>
      </c>
      <c r="F265" s="34">
        <v>37</v>
      </c>
      <c r="G265" s="34" t="s">
        <v>3</v>
      </c>
      <c r="H265" s="34" t="s">
        <v>4</v>
      </c>
      <c r="I265" s="39">
        <v>0.53609512402728998</v>
      </c>
    </row>
    <row r="266" spans="1:9" x14ac:dyDescent="0.3">
      <c r="A266" s="34">
        <v>265</v>
      </c>
      <c r="B266" s="34">
        <v>73</v>
      </c>
      <c r="C266" s="34" t="s">
        <v>5</v>
      </c>
      <c r="D266" s="34">
        <v>8</v>
      </c>
      <c r="E266" s="34">
        <v>1164</v>
      </c>
      <c r="F266" s="34">
        <v>51</v>
      </c>
      <c r="G266" s="34" t="s">
        <v>3</v>
      </c>
      <c r="H266" s="34" t="s">
        <v>8</v>
      </c>
      <c r="I266" s="39">
        <v>0.53624970793161664</v>
      </c>
    </row>
    <row r="267" spans="1:9" x14ac:dyDescent="0.3">
      <c r="A267" s="34">
        <v>266</v>
      </c>
      <c r="B267" s="34">
        <v>52</v>
      </c>
      <c r="C267" s="34" t="s">
        <v>5</v>
      </c>
      <c r="D267" s="34">
        <v>27</v>
      </c>
      <c r="E267" s="34">
        <v>5965</v>
      </c>
      <c r="F267" s="34">
        <v>30</v>
      </c>
      <c r="G267" s="34" t="s">
        <v>3</v>
      </c>
      <c r="H267" s="34" t="s">
        <v>4</v>
      </c>
      <c r="I267" s="39">
        <v>0.53678442862828435</v>
      </c>
    </row>
    <row r="268" spans="1:9" x14ac:dyDescent="0.3">
      <c r="A268" s="34">
        <v>267</v>
      </c>
      <c r="B268" s="34">
        <v>153</v>
      </c>
      <c r="C268" s="34" t="s">
        <v>5</v>
      </c>
      <c r="D268" s="34">
        <v>36</v>
      </c>
      <c r="E268" s="34">
        <v>5848</v>
      </c>
      <c r="F268" s="34">
        <v>24</v>
      </c>
      <c r="G268" s="34" t="s">
        <v>3</v>
      </c>
      <c r="H268" s="34" t="s">
        <v>4</v>
      </c>
      <c r="I268" s="39">
        <v>0.53869577733431484</v>
      </c>
    </row>
    <row r="269" spans="1:9" x14ac:dyDescent="0.3">
      <c r="A269" s="34">
        <v>268</v>
      </c>
      <c r="B269" s="34">
        <v>696</v>
      </c>
      <c r="C269" s="34" t="s">
        <v>5</v>
      </c>
      <c r="D269" s="34">
        <v>6</v>
      </c>
      <c r="E269" s="34">
        <v>1236</v>
      </c>
      <c r="F269" s="34">
        <v>50</v>
      </c>
      <c r="G269" s="34" t="s">
        <v>3</v>
      </c>
      <c r="H269" s="34" t="s">
        <v>9</v>
      </c>
      <c r="I269" s="39">
        <v>0.5388815391001478</v>
      </c>
    </row>
    <row r="270" spans="1:9" x14ac:dyDescent="0.3">
      <c r="A270" s="34">
        <v>269</v>
      </c>
      <c r="B270" s="34">
        <v>451</v>
      </c>
      <c r="C270" s="34" t="s">
        <v>5</v>
      </c>
      <c r="D270" s="34">
        <v>36</v>
      </c>
      <c r="E270" s="34">
        <v>11054</v>
      </c>
      <c r="F270" s="34">
        <v>30</v>
      </c>
      <c r="G270" s="34" t="s">
        <v>3</v>
      </c>
      <c r="H270" s="34" t="s">
        <v>4</v>
      </c>
      <c r="I270" s="39">
        <v>0.54168142100290995</v>
      </c>
    </row>
    <row r="271" spans="1:9" x14ac:dyDescent="0.3">
      <c r="A271" s="34">
        <v>270</v>
      </c>
      <c r="B271" s="34">
        <v>938</v>
      </c>
      <c r="C271" s="34" t="s">
        <v>5</v>
      </c>
      <c r="D271" s="34">
        <v>6</v>
      </c>
      <c r="E271" s="34">
        <v>2063</v>
      </c>
      <c r="F271" s="34">
        <v>30</v>
      </c>
      <c r="G271" s="34" t="s">
        <v>11</v>
      </c>
      <c r="H271" s="34" t="s">
        <v>9</v>
      </c>
      <c r="I271" s="39">
        <v>0.5452914072807028</v>
      </c>
    </row>
    <row r="272" spans="1:9" x14ac:dyDescent="0.3">
      <c r="A272" s="34">
        <v>271</v>
      </c>
      <c r="B272" s="34">
        <v>143</v>
      </c>
      <c r="C272" s="34" t="s">
        <v>5</v>
      </c>
      <c r="D272" s="34">
        <v>27</v>
      </c>
      <c r="E272" s="34">
        <v>3416</v>
      </c>
      <c r="F272" s="34">
        <v>27</v>
      </c>
      <c r="G272" s="34" t="s">
        <v>3</v>
      </c>
      <c r="H272" s="34" t="s">
        <v>4</v>
      </c>
      <c r="I272" s="39">
        <v>0.54625344281451138</v>
      </c>
    </row>
    <row r="273" spans="1:9" x14ac:dyDescent="0.3">
      <c r="A273" s="34">
        <v>272</v>
      </c>
      <c r="B273" s="34">
        <v>687</v>
      </c>
      <c r="C273" s="34" t="s">
        <v>5</v>
      </c>
      <c r="D273" s="34">
        <v>10</v>
      </c>
      <c r="E273" s="34">
        <v>1347</v>
      </c>
      <c r="F273" s="34">
        <v>27</v>
      </c>
      <c r="G273" s="34" t="s">
        <v>3</v>
      </c>
      <c r="H273" s="34" t="s">
        <v>4</v>
      </c>
      <c r="I273" s="39">
        <v>0.5468220680164535</v>
      </c>
    </row>
    <row r="274" spans="1:9" x14ac:dyDescent="0.3">
      <c r="A274" s="34">
        <v>273</v>
      </c>
      <c r="B274" s="34">
        <v>457</v>
      </c>
      <c r="C274" s="34" t="s">
        <v>5</v>
      </c>
      <c r="D274" s="34">
        <v>11</v>
      </c>
      <c r="E274" s="34">
        <v>3905</v>
      </c>
      <c r="F274" s="34">
        <v>36</v>
      </c>
      <c r="G274" s="34" t="s">
        <v>3</v>
      </c>
      <c r="H274" s="34" t="s">
        <v>9</v>
      </c>
      <c r="I274" s="39">
        <v>0.54695171470075854</v>
      </c>
    </row>
    <row r="275" spans="1:9" x14ac:dyDescent="0.3">
      <c r="A275" s="34">
        <v>274</v>
      </c>
      <c r="B275" s="34">
        <v>821</v>
      </c>
      <c r="C275" s="34" t="s">
        <v>5</v>
      </c>
      <c r="D275" s="34">
        <v>12</v>
      </c>
      <c r="E275" s="34">
        <v>1101</v>
      </c>
      <c r="F275" s="34">
        <v>27</v>
      </c>
      <c r="G275" s="34" t="s">
        <v>11</v>
      </c>
      <c r="H275" s="34" t="s">
        <v>4</v>
      </c>
      <c r="I275" s="39">
        <v>0.54908763598343424</v>
      </c>
    </row>
    <row r="276" spans="1:9" x14ac:dyDescent="0.3">
      <c r="A276" s="34">
        <v>275</v>
      </c>
      <c r="B276" s="34">
        <v>621</v>
      </c>
      <c r="C276" s="34" t="s">
        <v>5</v>
      </c>
      <c r="D276" s="34">
        <v>21</v>
      </c>
      <c r="E276" s="34">
        <v>3652</v>
      </c>
      <c r="F276" s="34">
        <v>27</v>
      </c>
      <c r="G276" s="34" t="s">
        <v>3</v>
      </c>
      <c r="H276" s="34" t="s">
        <v>4</v>
      </c>
      <c r="I276" s="39">
        <v>0.55517456175260904</v>
      </c>
    </row>
    <row r="277" spans="1:9" x14ac:dyDescent="0.3">
      <c r="A277" s="34">
        <v>276</v>
      </c>
      <c r="B277" s="34">
        <v>78</v>
      </c>
      <c r="C277" s="34" t="s">
        <v>5</v>
      </c>
      <c r="D277" s="34">
        <v>11</v>
      </c>
      <c r="E277" s="34">
        <v>4771</v>
      </c>
      <c r="F277" s="34">
        <v>51</v>
      </c>
      <c r="G277" s="34" t="s">
        <v>3</v>
      </c>
      <c r="H277" s="34" t="s">
        <v>4</v>
      </c>
      <c r="I277" s="39">
        <v>0.55530276146672575</v>
      </c>
    </row>
    <row r="278" spans="1:9" x14ac:dyDescent="0.3">
      <c r="A278" s="34">
        <v>277</v>
      </c>
      <c r="B278" s="34">
        <v>713</v>
      </c>
      <c r="C278" s="34" t="s">
        <v>5</v>
      </c>
      <c r="D278" s="34">
        <v>21</v>
      </c>
      <c r="E278" s="34">
        <v>2476</v>
      </c>
      <c r="F278" s="34">
        <v>46</v>
      </c>
      <c r="G278" s="34" t="s">
        <v>3</v>
      </c>
      <c r="H278" s="34" t="s">
        <v>4</v>
      </c>
      <c r="I278" s="39">
        <v>0.56068696003831775</v>
      </c>
    </row>
    <row r="279" spans="1:9" x14ac:dyDescent="0.3">
      <c r="A279" s="34">
        <v>278</v>
      </c>
      <c r="B279" s="34">
        <v>626</v>
      </c>
      <c r="C279" s="34" t="s">
        <v>5</v>
      </c>
      <c r="D279" s="34">
        <v>15</v>
      </c>
      <c r="E279" s="34">
        <v>1979</v>
      </c>
      <c r="F279" s="34">
        <v>35</v>
      </c>
      <c r="G279" s="34" t="s">
        <v>3</v>
      </c>
      <c r="H279" s="34" t="s">
        <v>4</v>
      </c>
      <c r="I279" s="39">
        <v>0.56120993257627161</v>
      </c>
    </row>
    <row r="280" spans="1:9" x14ac:dyDescent="0.3">
      <c r="A280" s="34">
        <v>279</v>
      </c>
      <c r="B280" s="34">
        <v>739</v>
      </c>
      <c r="C280" s="34" t="s">
        <v>5</v>
      </c>
      <c r="D280" s="34">
        <v>6</v>
      </c>
      <c r="E280" s="34">
        <v>6761</v>
      </c>
      <c r="F280" s="34">
        <v>45</v>
      </c>
      <c r="G280" s="34" t="s">
        <v>3</v>
      </c>
      <c r="H280" s="34" t="s">
        <v>4</v>
      </c>
      <c r="I280" s="39">
        <v>0.56384106271732193</v>
      </c>
    </row>
    <row r="281" spans="1:9" x14ac:dyDescent="0.3">
      <c r="A281" s="34">
        <v>280</v>
      </c>
      <c r="B281" s="34">
        <v>883</v>
      </c>
      <c r="C281" s="34" t="s">
        <v>5</v>
      </c>
      <c r="D281" s="34">
        <v>30</v>
      </c>
      <c r="E281" s="34">
        <v>2181</v>
      </c>
      <c r="F281" s="34">
        <v>36</v>
      </c>
      <c r="G281" s="34" t="s">
        <v>3</v>
      </c>
      <c r="H281" s="34" t="s">
        <v>4</v>
      </c>
      <c r="I281" s="39">
        <v>0.56459826054367868</v>
      </c>
    </row>
    <row r="282" spans="1:9" x14ac:dyDescent="0.3">
      <c r="A282" s="34">
        <v>281</v>
      </c>
      <c r="B282" s="34">
        <v>890</v>
      </c>
      <c r="C282" s="34" t="s">
        <v>5</v>
      </c>
      <c r="D282" s="34">
        <v>28</v>
      </c>
      <c r="E282" s="34">
        <v>7824</v>
      </c>
      <c r="F282" s="34">
        <v>40</v>
      </c>
      <c r="G282" s="34" t="s">
        <v>3</v>
      </c>
      <c r="H282" s="34" t="s">
        <v>9</v>
      </c>
      <c r="I282" s="39">
        <v>0.5648727185143283</v>
      </c>
    </row>
    <row r="283" spans="1:9" x14ac:dyDescent="0.3">
      <c r="A283" s="34">
        <v>282</v>
      </c>
      <c r="B283" s="34">
        <v>62</v>
      </c>
      <c r="C283" s="34" t="s">
        <v>5</v>
      </c>
      <c r="D283" s="34">
        <v>15</v>
      </c>
      <c r="E283" s="34">
        <v>1537</v>
      </c>
      <c r="F283" s="34">
        <v>50</v>
      </c>
      <c r="G283" s="34" t="s">
        <v>3</v>
      </c>
      <c r="H283" s="34" t="s">
        <v>4</v>
      </c>
      <c r="I283" s="39">
        <v>0.56555589068753165</v>
      </c>
    </row>
    <row r="284" spans="1:9" x14ac:dyDescent="0.3">
      <c r="A284" s="34">
        <v>283</v>
      </c>
      <c r="B284" s="34">
        <v>972</v>
      </c>
      <c r="C284" s="34" t="s">
        <v>5</v>
      </c>
      <c r="D284" s="34">
        <v>24</v>
      </c>
      <c r="E284" s="34">
        <v>7393</v>
      </c>
      <c r="F284" s="34">
        <v>43</v>
      </c>
      <c r="G284" s="34" t="s">
        <v>3</v>
      </c>
      <c r="H284" s="34" t="s">
        <v>4</v>
      </c>
      <c r="I284" s="39">
        <v>0.56754585741701358</v>
      </c>
    </row>
    <row r="285" spans="1:9" x14ac:dyDescent="0.3">
      <c r="A285" s="34">
        <v>284</v>
      </c>
      <c r="B285" s="34">
        <v>353</v>
      </c>
      <c r="C285" s="34" t="s">
        <v>5</v>
      </c>
      <c r="D285" s="34">
        <v>18</v>
      </c>
      <c r="E285" s="34">
        <v>3229</v>
      </c>
      <c r="F285" s="34">
        <v>38</v>
      </c>
      <c r="G285" s="34" t="s">
        <v>3</v>
      </c>
      <c r="H285" s="34" t="s">
        <v>4</v>
      </c>
      <c r="I285" s="39">
        <v>0.56934000791258543</v>
      </c>
    </row>
    <row r="286" spans="1:9" x14ac:dyDescent="0.3">
      <c r="A286" s="34">
        <v>285</v>
      </c>
      <c r="B286" s="34">
        <v>690</v>
      </c>
      <c r="C286" s="34" t="s">
        <v>5</v>
      </c>
      <c r="D286" s="34">
        <v>12</v>
      </c>
      <c r="E286" s="34">
        <v>3651</v>
      </c>
      <c r="F286" s="34">
        <v>31</v>
      </c>
      <c r="G286" s="34" t="s">
        <v>3</v>
      </c>
      <c r="H286" s="34" t="s">
        <v>4</v>
      </c>
      <c r="I286" s="39">
        <v>0.56957008983596469</v>
      </c>
    </row>
    <row r="287" spans="1:9" x14ac:dyDescent="0.3">
      <c r="A287" s="34">
        <v>286</v>
      </c>
      <c r="B287" s="34">
        <v>371</v>
      </c>
      <c r="C287" s="34" t="s">
        <v>5</v>
      </c>
      <c r="D287" s="34">
        <v>36</v>
      </c>
      <c r="E287" s="34">
        <v>3079</v>
      </c>
      <c r="F287" s="34">
        <v>36</v>
      </c>
      <c r="G287" s="34" t="s">
        <v>3</v>
      </c>
      <c r="H287" s="34" t="s">
        <v>4</v>
      </c>
      <c r="I287" s="39">
        <v>0.57123910972161662</v>
      </c>
    </row>
    <row r="288" spans="1:9" x14ac:dyDescent="0.3">
      <c r="A288" s="34">
        <v>287</v>
      </c>
      <c r="B288" s="34">
        <v>929</v>
      </c>
      <c r="C288" s="34" t="s">
        <v>5</v>
      </c>
      <c r="D288" s="34">
        <v>30</v>
      </c>
      <c r="E288" s="34">
        <v>1867</v>
      </c>
      <c r="F288" s="34">
        <v>58</v>
      </c>
      <c r="G288" s="34" t="s">
        <v>3</v>
      </c>
      <c r="H288" s="34" t="s">
        <v>4</v>
      </c>
      <c r="I288" s="39">
        <v>0.57380675108791324</v>
      </c>
    </row>
    <row r="289" spans="1:9" x14ac:dyDescent="0.3">
      <c r="A289" s="34">
        <v>288</v>
      </c>
      <c r="B289" s="34">
        <v>33</v>
      </c>
      <c r="C289" s="34" t="s">
        <v>5</v>
      </c>
      <c r="D289" s="34">
        <v>18</v>
      </c>
      <c r="E289" s="34">
        <v>5866</v>
      </c>
      <c r="F289" s="34">
        <v>30</v>
      </c>
      <c r="G289" s="34" t="s">
        <v>3</v>
      </c>
      <c r="H289" s="34" t="s">
        <v>4</v>
      </c>
      <c r="I289" s="39">
        <v>0.57584281737005327</v>
      </c>
    </row>
    <row r="290" spans="1:9" x14ac:dyDescent="0.3">
      <c r="A290" s="34">
        <v>289</v>
      </c>
      <c r="B290" s="34">
        <v>582</v>
      </c>
      <c r="C290" s="34" t="s">
        <v>5</v>
      </c>
      <c r="D290" s="34">
        <v>12</v>
      </c>
      <c r="E290" s="34">
        <v>3124</v>
      </c>
      <c r="F290" s="34">
        <v>49</v>
      </c>
      <c r="G290" s="34" t="s">
        <v>3</v>
      </c>
      <c r="H290" s="34" t="s">
        <v>4</v>
      </c>
      <c r="I290" s="39">
        <v>0.58035759625174266</v>
      </c>
    </row>
    <row r="291" spans="1:9" x14ac:dyDescent="0.3">
      <c r="A291" s="34">
        <v>290</v>
      </c>
      <c r="B291" s="34">
        <v>359</v>
      </c>
      <c r="C291" s="34" t="s">
        <v>5</v>
      </c>
      <c r="D291" s="34">
        <v>12</v>
      </c>
      <c r="E291" s="34">
        <v>776</v>
      </c>
      <c r="F291" s="34">
        <v>28</v>
      </c>
      <c r="G291" s="34" t="s">
        <v>11</v>
      </c>
      <c r="H291" s="34" t="s">
        <v>4</v>
      </c>
      <c r="I291" s="39">
        <v>0.58070504576757165</v>
      </c>
    </row>
    <row r="292" spans="1:9" x14ac:dyDescent="0.3">
      <c r="A292" s="34">
        <v>291</v>
      </c>
      <c r="B292" s="34">
        <v>580</v>
      </c>
      <c r="C292" s="34" t="s">
        <v>5</v>
      </c>
      <c r="D292" s="34">
        <v>24</v>
      </c>
      <c r="E292" s="34">
        <v>937</v>
      </c>
      <c r="F292" s="34">
        <v>27</v>
      </c>
      <c r="G292" s="34" t="s">
        <v>11</v>
      </c>
      <c r="H292" s="34" t="s">
        <v>4</v>
      </c>
      <c r="I292" s="39">
        <v>0.58717740233856108</v>
      </c>
    </row>
    <row r="293" spans="1:9" x14ac:dyDescent="0.3">
      <c r="A293" s="34">
        <v>292</v>
      </c>
      <c r="B293" s="34">
        <v>744</v>
      </c>
      <c r="C293" s="34" t="s">
        <v>5</v>
      </c>
      <c r="D293" s="34">
        <v>24</v>
      </c>
      <c r="E293" s="34">
        <v>2483</v>
      </c>
      <c r="F293" s="34">
        <v>22</v>
      </c>
      <c r="G293" s="34" t="s">
        <v>3</v>
      </c>
      <c r="H293" s="34" t="s">
        <v>4</v>
      </c>
      <c r="I293" s="39">
        <v>0.58855074107644467</v>
      </c>
    </row>
    <row r="294" spans="1:9" x14ac:dyDescent="0.3">
      <c r="A294" s="34">
        <v>293</v>
      </c>
      <c r="B294" s="34">
        <v>825</v>
      </c>
      <c r="C294" s="34" t="s">
        <v>5</v>
      </c>
      <c r="D294" s="34">
        <v>18</v>
      </c>
      <c r="E294" s="34">
        <v>3780</v>
      </c>
      <c r="F294" s="34">
        <v>35</v>
      </c>
      <c r="G294" s="34" t="s">
        <v>10</v>
      </c>
      <c r="H294" s="34" t="s">
        <v>4</v>
      </c>
      <c r="I294" s="39">
        <v>0.58971665383201566</v>
      </c>
    </row>
    <row r="295" spans="1:9" x14ac:dyDescent="0.3">
      <c r="A295" s="34">
        <v>294</v>
      </c>
      <c r="B295" s="34">
        <v>270</v>
      </c>
      <c r="C295" s="34" t="s">
        <v>5</v>
      </c>
      <c r="D295" s="34">
        <v>24</v>
      </c>
      <c r="E295" s="34">
        <v>999</v>
      </c>
      <c r="F295" s="34">
        <v>25</v>
      </c>
      <c r="G295" s="34" t="s">
        <v>3</v>
      </c>
      <c r="H295" s="34" t="s">
        <v>4</v>
      </c>
      <c r="I295" s="39">
        <v>0.58974005084808379</v>
      </c>
    </row>
    <row r="296" spans="1:9" x14ac:dyDescent="0.3">
      <c r="A296" s="34">
        <v>295</v>
      </c>
      <c r="B296" s="34">
        <v>769</v>
      </c>
      <c r="C296" s="34" t="s">
        <v>5</v>
      </c>
      <c r="D296" s="34">
        <v>12</v>
      </c>
      <c r="E296" s="34">
        <v>3617</v>
      </c>
      <c r="F296" s="34">
        <v>28</v>
      </c>
      <c r="G296" s="34" t="s">
        <v>3</v>
      </c>
      <c r="H296" s="34" t="s">
        <v>9</v>
      </c>
      <c r="I296" s="39">
        <v>0.59037327565033815</v>
      </c>
    </row>
    <row r="297" spans="1:9" x14ac:dyDescent="0.3">
      <c r="A297" s="34">
        <v>296</v>
      </c>
      <c r="B297" s="34">
        <v>439</v>
      </c>
      <c r="C297" s="34" t="s">
        <v>5</v>
      </c>
      <c r="D297" s="34">
        <v>42</v>
      </c>
      <c r="E297" s="34">
        <v>3394</v>
      </c>
      <c r="F297" s="34">
        <v>65</v>
      </c>
      <c r="G297" s="34" t="s">
        <v>3</v>
      </c>
      <c r="H297" s="34" t="s">
        <v>4</v>
      </c>
      <c r="I297" s="39">
        <v>0.59064391160268881</v>
      </c>
    </row>
    <row r="298" spans="1:9" x14ac:dyDescent="0.3">
      <c r="A298" s="34">
        <v>297</v>
      </c>
      <c r="B298" s="34">
        <v>940</v>
      </c>
      <c r="C298" s="34" t="s">
        <v>5</v>
      </c>
      <c r="D298" s="34">
        <v>24</v>
      </c>
      <c r="E298" s="34">
        <v>6842</v>
      </c>
      <c r="F298" s="34">
        <v>46</v>
      </c>
      <c r="G298" s="34" t="s">
        <v>3</v>
      </c>
      <c r="H298" s="34" t="s">
        <v>4</v>
      </c>
      <c r="I298" s="39">
        <v>0.59079074015841893</v>
      </c>
    </row>
    <row r="299" spans="1:9" x14ac:dyDescent="0.3">
      <c r="A299" s="34">
        <v>298</v>
      </c>
      <c r="B299" s="34">
        <v>29</v>
      </c>
      <c r="C299" s="34" t="s">
        <v>5</v>
      </c>
      <c r="D299" s="34">
        <v>7</v>
      </c>
      <c r="E299" s="34">
        <v>2415</v>
      </c>
      <c r="F299" s="34">
        <v>34</v>
      </c>
      <c r="G299" s="34" t="s">
        <v>3</v>
      </c>
      <c r="H299" s="34" t="s">
        <v>4</v>
      </c>
      <c r="I299" s="39">
        <v>0.59365685948938163</v>
      </c>
    </row>
    <row r="300" spans="1:9" x14ac:dyDescent="0.3">
      <c r="A300" s="34">
        <v>299</v>
      </c>
      <c r="B300" s="34">
        <v>495</v>
      </c>
      <c r="C300" s="34" t="s">
        <v>5</v>
      </c>
      <c r="D300" s="34">
        <v>12</v>
      </c>
      <c r="E300" s="34">
        <v>2122</v>
      </c>
      <c r="F300" s="34">
        <v>39</v>
      </c>
      <c r="G300" s="34" t="s">
        <v>3</v>
      </c>
      <c r="H300" s="34" t="s">
        <v>9</v>
      </c>
      <c r="I300" s="39">
        <v>0.59794339858899048</v>
      </c>
    </row>
    <row r="301" spans="1:9" x14ac:dyDescent="0.3">
      <c r="A301" s="34">
        <v>300</v>
      </c>
      <c r="B301" s="34">
        <v>695</v>
      </c>
      <c r="C301" s="34" t="s">
        <v>5</v>
      </c>
      <c r="D301" s="34">
        <v>24</v>
      </c>
      <c r="E301" s="34">
        <v>2284</v>
      </c>
      <c r="F301" s="34">
        <v>28</v>
      </c>
      <c r="G301" s="34" t="s">
        <v>3</v>
      </c>
      <c r="H301" s="34" t="s">
        <v>4</v>
      </c>
      <c r="I301" s="39">
        <v>0.60054820928891883</v>
      </c>
    </row>
    <row r="302" spans="1:9" x14ac:dyDescent="0.3">
      <c r="A302" s="34">
        <v>301</v>
      </c>
      <c r="B302" s="34">
        <v>465</v>
      </c>
      <c r="C302" s="34" t="s">
        <v>5</v>
      </c>
      <c r="D302" s="34">
        <v>18</v>
      </c>
      <c r="E302" s="34">
        <v>1950</v>
      </c>
      <c r="F302" s="34">
        <v>34</v>
      </c>
      <c r="G302" s="34" t="s">
        <v>3</v>
      </c>
      <c r="H302" s="34" t="s">
        <v>4</v>
      </c>
      <c r="I302" s="39">
        <v>0.60336049407756331</v>
      </c>
    </row>
    <row r="303" spans="1:9" x14ac:dyDescent="0.3">
      <c r="A303" s="34">
        <v>302</v>
      </c>
      <c r="B303" s="34">
        <v>209</v>
      </c>
      <c r="C303" s="34" t="s">
        <v>5</v>
      </c>
      <c r="D303" s="34">
        <v>24</v>
      </c>
      <c r="E303" s="34">
        <v>6568</v>
      </c>
      <c r="F303" s="34">
        <v>21</v>
      </c>
      <c r="G303" s="34" t="s">
        <v>11</v>
      </c>
      <c r="H303" s="34" t="s">
        <v>4</v>
      </c>
      <c r="I303" s="39">
        <v>0.60590121514879292</v>
      </c>
    </row>
    <row r="304" spans="1:9" x14ac:dyDescent="0.3">
      <c r="A304" s="34">
        <v>303</v>
      </c>
      <c r="B304" s="34">
        <v>364</v>
      </c>
      <c r="C304" s="34" t="s">
        <v>5</v>
      </c>
      <c r="D304" s="34">
        <v>6</v>
      </c>
      <c r="E304" s="34">
        <v>1766</v>
      </c>
      <c r="F304" s="34">
        <v>21</v>
      </c>
      <c r="G304" s="34" t="s">
        <v>11</v>
      </c>
      <c r="H304" s="34" t="s">
        <v>9</v>
      </c>
      <c r="I304" s="39">
        <v>0.60651307599466275</v>
      </c>
    </row>
    <row r="305" spans="1:9" x14ac:dyDescent="0.3">
      <c r="A305" s="34">
        <v>304</v>
      </c>
      <c r="B305" s="34">
        <v>261</v>
      </c>
      <c r="C305" s="34" t="s">
        <v>5</v>
      </c>
      <c r="D305" s="34">
        <v>12</v>
      </c>
      <c r="E305" s="34">
        <v>1657</v>
      </c>
      <c r="F305" s="34">
        <v>27</v>
      </c>
      <c r="G305" s="34" t="s">
        <v>3</v>
      </c>
      <c r="H305" s="34" t="s">
        <v>4</v>
      </c>
      <c r="I305" s="39">
        <v>0.60893488287767705</v>
      </c>
    </row>
    <row r="306" spans="1:9" x14ac:dyDescent="0.3">
      <c r="A306" s="34">
        <v>305</v>
      </c>
      <c r="B306" s="34">
        <v>22</v>
      </c>
      <c r="C306" s="34" t="s">
        <v>5</v>
      </c>
      <c r="D306" s="34">
        <v>6</v>
      </c>
      <c r="E306" s="34">
        <v>2647</v>
      </c>
      <c r="F306" s="34">
        <v>44</v>
      </c>
      <c r="G306" s="34" t="s">
        <v>3</v>
      </c>
      <c r="H306" s="34" t="s">
        <v>9</v>
      </c>
      <c r="I306" s="39">
        <v>0.61108352103516961</v>
      </c>
    </row>
    <row r="307" spans="1:9" x14ac:dyDescent="0.3">
      <c r="A307" s="34">
        <v>306</v>
      </c>
      <c r="B307" s="34">
        <v>347</v>
      </c>
      <c r="C307" s="34" t="s">
        <v>5</v>
      </c>
      <c r="D307" s="34">
        <v>13</v>
      </c>
      <c r="E307" s="34">
        <v>882</v>
      </c>
      <c r="F307" s="34">
        <v>23</v>
      </c>
      <c r="G307" s="34" t="s">
        <v>3</v>
      </c>
      <c r="H307" s="34" t="s">
        <v>4</v>
      </c>
      <c r="I307" s="39">
        <v>0.61809239659825366</v>
      </c>
    </row>
    <row r="308" spans="1:9" x14ac:dyDescent="0.3">
      <c r="A308" s="34">
        <v>307</v>
      </c>
      <c r="B308" s="34">
        <v>716</v>
      </c>
      <c r="C308" s="34" t="s">
        <v>5</v>
      </c>
      <c r="D308" s="34">
        <v>30</v>
      </c>
      <c r="E308" s="34">
        <v>7596</v>
      </c>
      <c r="F308" s="34">
        <v>63</v>
      </c>
      <c r="G308" s="34" t="s">
        <v>3</v>
      </c>
      <c r="H308" s="34" t="s">
        <v>4</v>
      </c>
      <c r="I308" s="39">
        <v>0.61909964997749034</v>
      </c>
    </row>
    <row r="309" spans="1:9" x14ac:dyDescent="0.3">
      <c r="A309" s="34">
        <v>308</v>
      </c>
      <c r="B309" s="34">
        <v>194</v>
      </c>
      <c r="C309" s="34" t="s">
        <v>5</v>
      </c>
      <c r="D309" s="34">
        <v>6</v>
      </c>
      <c r="E309" s="34">
        <v>2108</v>
      </c>
      <c r="F309" s="34">
        <v>29</v>
      </c>
      <c r="G309" s="34" t="s">
        <v>11</v>
      </c>
      <c r="H309" s="34" t="s">
        <v>9</v>
      </c>
      <c r="I309" s="39">
        <v>0.62096714241701345</v>
      </c>
    </row>
    <row r="310" spans="1:9" x14ac:dyDescent="0.3">
      <c r="A310" s="34">
        <v>309</v>
      </c>
      <c r="B310" s="34">
        <v>133</v>
      </c>
      <c r="C310" s="34" t="s">
        <v>5</v>
      </c>
      <c r="D310" s="34">
        <v>15</v>
      </c>
      <c r="E310" s="34">
        <v>2708</v>
      </c>
      <c r="F310" s="34">
        <v>27</v>
      </c>
      <c r="G310" s="34" t="s">
        <v>3</v>
      </c>
      <c r="H310" s="34" t="s">
        <v>4</v>
      </c>
      <c r="I310" s="39">
        <v>0.62166279402510172</v>
      </c>
    </row>
    <row r="311" spans="1:9" x14ac:dyDescent="0.3">
      <c r="A311" s="34">
        <v>310</v>
      </c>
      <c r="B311" s="34">
        <v>677</v>
      </c>
      <c r="C311" s="34" t="s">
        <v>5</v>
      </c>
      <c r="D311" s="34">
        <v>24</v>
      </c>
      <c r="E311" s="34">
        <v>5150</v>
      </c>
      <c r="F311" s="34">
        <v>33</v>
      </c>
      <c r="G311" s="34" t="s">
        <v>3</v>
      </c>
      <c r="H311" s="34" t="s">
        <v>4</v>
      </c>
      <c r="I311" s="39">
        <v>0.62576817629150983</v>
      </c>
    </row>
    <row r="312" spans="1:9" x14ac:dyDescent="0.3">
      <c r="A312" s="34">
        <v>311</v>
      </c>
      <c r="B312" s="34">
        <v>689</v>
      </c>
      <c r="C312" s="34" t="s">
        <v>5</v>
      </c>
      <c r="D312" s="34">
        <v>9</v>
      </c>
      <c r="E312" s="34">
        <v>2753</v>
      </c>
      <c r="F312" s="34">
        <v>35</v>
      </c>
      <c r="G312" s="34" t="s">
        <v>3</v>
      </c>
      <c r="H312" s="34" t="s">
        <v>4</v>
      </c>
      <c r="I312" s="39">
        <v>0.62665443228897311</v>
      </c>
    </row>
    <row r="313" spans="1:9" x14ac:dyDescent="0.3">
      <c r="A313" s="34">
        <v>312</v>
      </c>
      <c r="B313" s="34">
        <v>466</v>
      </c>
      <c r="C313" s="34" t="s">
        <v>5</v>
      </c>
      <c r="D313" s="34">
        <v>24</v>
      </c>
      <c r="E313" s="34">
        <v>2924</v>
      </c>
      <c r="F313" s="34">
        <v>63</v>
      </c>
      <c r="G313" s="34" t="s">
        <v>3</v>
      </c>
      <c r="H313" s="34" t="s">
        <v>4</v>
      </c>
      <c r="I313" s="39">
        <v>0.62841479003427214</v>
      </c>
    </row>
    <row r="314" spans="1:9" x14ac:dyDescent="0.3">
      <c r="A314" s="34">
        <v>313</v>
      </c>
      <c r="B314" s="34">
        <v>661</v>
      </c>
      <c r="C314" s="34" t="s">
        <v>5</v>
      </c>
      <c r="D314" s="34">
        <v>12</v>
      </c>
      <c r="E314" s="34">
        <v>1297</v>
      </c>
      <c r="F314" s="34">
        <v>23</v>
      </c>
      <c r="G314" s="34" t="s">
        <v>11</v>
      </c>
      <c r="H314" s="34" t="s">
        <v>9</v>
      </c>
      <c r="I314" s="39">
        <v>0.62918953952392198</v>
      </c>
    </row>
    <row r="315" spans="1:9" x14ac:dyDescent="0.3">
      <c r="A315" s="34">
        <v>314</v>
      </c>
      <c r="B315" s="34">
        <v>490</v>
      </c>
      <c r="C315" s="34" t="s">
        <v>5</v>
      </c>
      <c r="D315" s="34">
        <v>6</v>
      </c>
      <c r="E315" s="34">
        <v>3518</v>
      </c>
      <c r="F315" s="34">
        <v>26</v>
      </c>
      <c r="G315" s="34" t="s">
        <v>3</v>
      </c>
      <c r="H315" s="34" t="s">
        <v>9</v>
      </c>
      <c r="I315" s="39">
        <v>0.63431015956635872</v>
      </c>
    </row>
    <row r="316" spans="1:9" x14ac:dyDescent="0.3">
      <c r="A316" s="34">
        <v>315</v>
      </c>
      <c r="B316" s="34">
        <v>873</v>
      </c>
      <c r="C316" s="34" t="s">
        <v>5</v>
      </c>
      <c r="D316" s="34">
        <v>24</v>
      </c>
      <c r="E316" s="34">
        <v>1382</v>
      </c>
      <c r="F316" s="34">
        <v>26</v>
      </c>
      <c r="G316" s="34" t="s">
        <v>3</v>
      </c>
      <c r="H316" s="34" t="s">
        <v>4</v>
      </c>
      <c r="I316" s="39">
        <v>0.63479090407603511</v>
      </c>
    </row>
    <row r="317" spans="1:9" x14ac:dyDescent="0.3">
      <c r="A317" s="34">
        <v>316</v>
      </c>
      <c r="B317" s="34">
        <v>741</v>
      </c>
      <c r="C317" s="34" t="s">
        <v>5</v>
      </c>
      <c r="D317" s="34">
        <v>24</v>
      </c>
      <c r="E317" s="34">
        <v>2325</v>
      </c>
      <c r="F317" s="34">
        <v>32</v>
      </c>
      <c r="G317" s="34" t="s">
        <v>3</v>
      </c>
      <c r="H317" s="34" t="s">
        <v>4</v>
      </c>
      <c r="I317" s="39">
        <v>0.6378822220644913</v>
      </c>
    </row>
    <row r="318" spans="1:9" x14ac:dyDescent="0.3">
      <c r="A318" s="34">
        <v>317</v>
      </c>
      <c r="B318" s="34">
        <v>535</v>
      </c>
      <c r="C318" s="34" t="s">
        <v>5</v>
      </c>
      <c r="D318" s="34">
        <v>24</v>
      </c>
      <c r="E318" s="34">
        <v>3105</v>
      </c>
      <c r="F318" s="34">
        <v>25</v>
      </c>
      <c r="G318" s="34" t="s">
        <v>3</v>
      </c>
      <c r="H318" s="34" t="s">
        <v>4</v>
      </c>
      <c r="I318" s="39">
        <v>0.64135536712321284</v>
      </c>
    </row>
    <row r="319" spans="1:9" x14ac:dyDescent="0.3">
      <c r="A319" s="34">
        <v>318</v>
      </c>
      <c r="B319" s="34">
        <v>944</v>
      </c>
      <c r="C319" s="34" t="s">
        <v>5</v>
      </c>
      <c r="D319" s="34">
        <v>4</v>
      </c>
      <c r="E319" s="34">
        <v>1455</v>
      </c>
      <c r="F319" s="34">
        <v>42</v>
      </c>
      <c r="G319" s="34" t="s">
        <v>3</v>
      </c>
      <c r="H319" s="34" t="s">
        <v>4</v>
      </c>
      <c r="I319" s="39">
        <v>0.64270193363488548</v>
      </c>
    </row>
    <row r="320" spans="1:9" x14ac:dyDescent="0.3">
      <c r="A320" s="34">
        <v>319</v>
      </c>
      <c r="B320" s="34">
        <v>891</v>
      </c>
      <c r="C320" s="34" t="s">
        <v>5</v>
      </c>
      <c r="D320" s="34">
        <v>27</v>
      </c>
      <c r="E320" s="34">
        <v>2442</v>
      </c>
      <c r="F320" s="34">
        <v>43</v>
      </c>
      <c r="G320" s="34" t="s">
        <v>3</v>
      </c>
      <c r="H320" s="34" t="s">
        <v>4</v>
      </c>
      <c r="I320" s="39">
        <v>0.64280025402393171</v>
      </c>
    </row>
    <row r="321" spans="1:9" x14ac:dyDescent="0.3">
      <c r="A321" s="34">
        <v>320</v>
      </c>
      <c r="B321" s="34">
        <v>218</v>
      </c>
      <c r="C321" s="34" t="s">
        <v>5</v>
      </c>
      <c r="D321" s="34">
        <v>36</v>
      </c>
      <c r="E321" s="34">
        <v>3913</v>
      </c>
      <c r="F321" s="34">
        <v>23</v>
      </c>
      <c r="G321" s="34" t="s">
        <v>3</v>
      </c>
      <c r="H321" s="34" t="s">
        <v>4</v>
      </c>
      <c r="I321" s="39">
        <v>0.64583196911346985</v>
      </c>
    </row>
    <row r="322" spans="1:9" x14ac:dyDescent="0.3">
      <c r="A322" s="34">
        <v>321</v>
      </c>
      <c r="B322" s="34">
        <v>616</v>
      </c>
      <c r="C322" s="34" t="s">
        <v>5</v>
      </c>
      <c r="D322" s="34">
        <v>48</v>
      </c>
      <c r="E322" s="34">
        <v>12204</v>
      </c>
      <c r="F322" s="34">
        <v>48</v>
      </c>
      <c r="G322" s="34" t="s">
        <v>3</v>
      </c>
      <c r="H322" s="34" t="s">
        <v>4</v>
      </c>
      <c r="I322" s="39">
        <v>0.64814761246069363</v>
      </c>
    </row>
    <row r="323" spans="1:9" x14ac:dyDescent="0.3">
      <c r="A323" s="34">
        <v>322</v>
      </c>
      <c r="B323" s="34">
        <v>667</v>
      </c>
      <c r="C323" s="34" t="s">
        <v>5</v>
      </c>
      <c r="D323" s="34">
        <v>30</v>
      </c>
      <c r="E323" s="34">
        <v>3496</v>
      </c>
      <c r="F323" s="34">
        <v>34</v>
      </c>
      <c r="G323" s="34" t="s">
        <v>3</v>
      </c>
      <c r="H323" s="34" t="s">
        <v>4</v>
      </c>
      <c r="I323" s="39">
        <v>0.64937595695394501</v>
      </c>
    </row>
    <row r="324" spans="1:9" x14ac:dyDescent="0.3">
      <c r="A324" s="34">
        <v>323</v>
      </c>
      <c r="B324" s="34">
        <v>568</v>
      </c>
      <c r="C324" s="34" t="s">
        <v>5</v>
      </c>
      <c r="D324" s="34">
        <v>24</v>
      </c>
      <c r="E324" s="34">
        <v>2578</v>
      </c>
      <c r="F324" s="34">
        <v>34</v>
      </c>
      <c r="G324" s="34" t="s">
        <v>3</v>
      </c>
      <c r="H324" s="34" t="s">
        <v>4</v>
      </c>
      <c r="I324" s="39">
        <v>0.65688868822259339</v>
      </c>
    </row>
    <row r="325" spans="1:9" x14ac:dyDescent="0.3">
      <c r="A325" s="34">
        <v>324</v>
      </c>
      <c r="B325" s="34">
        <v>312</v>
      </c>
      <c r="C325" s="34" t="s">
        <v>5</v>
      </c>
      <c r="D325" s="34">
        <v>24</v>
      </c>
      <c r="E325" s="34">
        <v>5511</v>
      </c>
      <c r="F325" s="34">
        <v>25</v>
      </c>
      <c r="G325" s="34" t="s">
        <v>3</v>
      </c>
      <c r="H325" s="34" t="s">
        <v>4</v>
      </c>
      <c r="I325" s="39">
        <v>0.65756219300038821</v>
      </c>
    </row>
    <row r="326" spans="1:9" x14ac:dyDescent="0.3">
      <c r="A326" s="34">
        <v>325</v>
      </c>
      <c r="B326" s="34">
        <v>856</v>
      </c>
      <c r="C326" s="34" t="s">
        <v>5</v>
      </c>
      <c r="D326" s="34">
        <v>24</v>
      </c>
      <c r="E326" s="34">
        <v>1474</v>
      </c>
      <c r="F326" s="34">
        <v>33</v>
      </c>
      <c r="G326" s="34" t="s">
        <v>11</v>
      </c>
      <c r="H326" s="34" t="s">
        <v>4</v>
      </c>
      <c r="I326" s="39">
        <v>0.65767809093091767</v>
      </c>
    </row>
    <row r="327" spans="1:9" x14ac:dyDescent="0.3">
      <c r="A327" s="34">
        <v>326</v>
      </c>
      <c r="B327" s="34">
        <v>254</v>
      </c>
      <c r="C327" s="34" t="s">
        <v>5</v>
      </c>
      <c r="D327" s="34">
        <v>24</v>
      </c>
      <c r="E327" s="34">
        <v>4151</v>
      </c>
      <c r="F327" s="34">
        <v>35</v>
      </c>
      <c r="G327" s="34" t="s">
        <v>3</v>
      </c>
      <c r="H327" s="34" t="s">
        <v>4</v>
      </c>
      <c r="I327" s="39">
        <v>0.66706069501988674</v>
      </c>
    </row>
    <row r="328" spans="1:9" x14ac:dyDescent="0.3">
      <c r="A328" s="34">
        <v>327</v>
      </c>
      <c r="B328" s="34">
        <v>404</v>
      </c>
      <c r="C328" s="34" t="s">
        <v>5</v>
      </c>
      <c r="D328" s="34">
        <v>14</v>
      </c>
      <c r="E328" s="34">
        <v>802</v>
      </c>
      <c r="F328" s="34">
        <v>27</v>
      </c>
      <c r="G328" s="34" t="s">
        <v>3</v>
      </c>
      <c r="H328" s="34" t="s">
        <v>4</v>
      </c>
      <c r="I328" s="39">
        <v>0.67002261052430623</v>
      </c>
    </row>
    <row r="329" spans="1:9" x14ac:dyDescent="0.3">
      <c r="A329" s="34">
        <v>328</v>
      </c>
      <c r="B329" s="34">
        <v>997</v>
      </c>
      <c r="C329" s="34" t="s">
        <v>5</v>
      </c>
      <c r="D329" s="34">
        <v>30</v>
      </c>
      <c r="E329" s="34">
        <v>3857</v>
      </c>
      <c r="F329" s="34">
        <v>40</v>
      </c>
      <c r="G329" s="34" t="s">
        <v>10</v>
      </c>
      <c r="H329" s="34" t="s">
        <v>4</v>
      </c>
      <c r="I329" s="39">
        <v>0.67009873361133721</v>
      </c>
    </row>
    <row r="330" spans="1:9" x14ac:dyDescent="0.3">
      <c r="A330" s="34">
        <v>329</v>
      </c>
      <c r="B330" s="34">
        <v>664</v>
      </c>
      <c r="C330" s="34" t="s">
        <v>5</v>
      </c>
      <c r="D330" s="34">
        <v>6</v>
      </c>
      <c r="E330" s="34">
        <v>1050</v>
      </c>
      <c r="F330" s="34">
        <v>35</v>
      </c>
      <c r="G330" s="34" t="s">
        <v>3</v>
      </c>
      <c r="H330" s="34" t="s">
        <v>4</v>
      </c>
      <c r="I330" s="39">
        <v>0.67025619135573766</v>
      </c>
    </row>
    <row r="331" spans="1:9" x14ac:dyDescent="0.3">
      <c r="A331" s="34">
        <v>330</v>
      </c>
      <c r="B331" s="34">
        <v>880</v>
      </c>
      <c r="C331" s="34" t="s">
        <v>5</v>
      </c>
      <c r="D331" s="34">
        <v>30</v>
      </c>
      <c r="E331" s="34">
        <v>6742</v>
      </c>
      <c r="F331" s="34">
        <v>36</v>
      </c>
      <c r="G331" s="34" t="s">
        <v>3</v>
      </c>
      <c r="H331" s="34" t="s">
        <v>4</v>
      </c>
      <c r="I331" s="39">
        <v>0.67048254005973285</v>
      </c>
    </row>
    <row r="332" spans="1:9" x14ac:dyDescent="0.3">
      <c r="A332" s="34">
        <v>331</v>
      </c>
      <c r="B332" s="34">
        <v>763</v>
      </c>
      <c r="C332" s="34" t="s">
        <v>5</v>
      </c>
      <c r="D332" s="34">
        <v>12</v>
      </c>
      <c r="E332" s="34">
        <v>2214</v>
      </c>
      <c r="F332" s="34">
        <v>24</v>
      </c>
      <c r="G332" s="34" t="s">
        <v>3</v>
      </c>
      <c r="H332" s="34" t="s">
        <v>4</v>
      </c>
      <c r="I332" s="39">
        <v>0.67126836565615255</v>
      </c>
    </row>
    <row r="333" spans="1:9" x14ac:dyDescent="0.3">
      <c r="A333" s="34">
        <v>332</v>
      </c>
      <c r="B333" s="34">
        <v>770</v>
      </c>
      <c r="C333" s="34" t="s">
        <v>5</v>
      </c>
      <c r="D333" s="34">
        <v>12</v>
      </c>
      <c r="E333" s="34">
        <v>1655</v>
      </c>
      <c r="F333" s="34">
        <v>63</v>
      </c>
      <c r="G333" s="34" t="s">
        <v>3</v>
      </c>
      <c r="H333" s="34" t="s">
        <v>4</v>
      </c>
      <c r="I333" s="39">
        <v>0.6737127600031193</v>
      </c>
    </row>
    <row r="334" spans="1:9" x14ac:dyDescent="0.3">
      <c r="A334" s="34">
        <v>333</v>
      </c>
      <c r="B334" s="34">
        <v>905</v>
      </c>
      <c r="C334" s="34" t="s">
        <v>5</v>
      </c>
      <c r="D334" s="34">
        <v>24</v>
      </c>
      <c r="E334" s="34">
        <v>1278</v>
      </c>
      <c r="F334" s="34">
        <v>36</v>
      </c>
      <c r="G334" s="34" t="s">
        <v>3</v>
      </c>
      <c r="H334" s="34" t="s">
        <v>4</v>
      </c>
      <c r="I334" s="39">
        <v>0.67425897405346347</v>
      </c>
    </row>
    <row r="335" spans="1:9" x14ac:dyDescent="0.3">
      <c r="A335" s="34">
        <v>334</v>
      </c>
      <c r="B335" s="34">
        <v>971</v>
      </c>
      <c r="C335" s="34" t="s">
        <v>5</v>
      </c>
      <c r="D335" s="34">
        <v>15</v>
      </c>
      <c r="E335" s="34">
        <v>1514</v>
      </c>
      <c r="F335" s="34">
        <v>22</v>
      </c>
      <c r="G335" s="34" t="s">
        <v>3</v>
      </c>
      <c r="H335" s="34" t="s">
        <v>4</v>
      </c>
      <c r="I335" s="39">
        <v>0.67463735067024833</v>
      </c>
    </row>
    <row r="336" spans="1:9" x14ac:dyDescent="0.3">
      <c r="A336" s="34">
        <v>335</v>
      </c>
      <c r="B336" s="34">
        <v>344</v>
      </c>
      <c r="C336" s="34" t="s">
        <v>5</v>
      </c>
      <c r="D336" s="34">
        <v>18</v>
      </c>
      <c r="E336" s="34">
        <v>4439</v>
      </c>
      <c r="F336" s="34">
        <v>33</v>
      </c>
      <c r="G336" s="34" t="s">
        <v>3</v>
      </c>
      <c r="H336" s="34" t="s">
        <v>4</v>
      </c>
      <c r="I336" s="39">
        <v>0.67691268174775798</v>
      </c>
    </row>
    <row r="337" spans="1:9" x14ac:dyDescent="0.3">
      <c r="A337" s="34">
        <v>336</v>
      </c>
      <c r="B337" s="34">
        <v>273</v>
      </c>
      <c r="C337" s="34" t="s">
        <v>5</v>
      </c>
      <c r="D337" s="34">
        <v>48</v>
      </c>
      <c r="E337" s="34">
        <v>12169</v>
      </c>
      <c r="F337" s="34">
        <v>36</v>
      </c>
      <c r="G337" s="34" t="s">
        <v>3</v>
      </c>
      <c r="H337" s="34" t="s">
        <v>8</v>
      </c>
      <c r="I337" s="39">
        <v>0.67727468162655191</v>
      </c>
    </row>
    <row r="338" spans="1:9" x14ac:dyDescent="0.3">
      <c r="A338" s="34">
        <v>337</v>
      </c>
      <c r="B338" s="34">
        <v>429</v>
      </c>
      <c r="C338" s="34" t="s">
        <v>5</v>
      </c>
      <c r="D338" s="34">
        <v>9</v>
      </c>
      <c r="E338" s="34">
        <v>1313</v>
      </c>
      <c r="F338" s="34">
        <v>20</v>
      </c>
      <c r="G338" s="34" t="s">
        <v>3</v>
      </c>
      <c r="H338" s="34" t="s">
        <v>4</v>
      </c>
      <c r="I338" s="39">
        <v>0.67843751186827483</v>
      </c>
    </row>
    <row r="339" spans="1:9" x14ac:dyDescent="0.3">
      <c r="A339" s="34">
        <v>338</v>
      </c>
      <c r="B339" s="34">
        <v>428</v>
      </c>
      <c r="C339" s="34" t="s">
        <v>5</v>
      </c>
      <c r="D339" s="34">
        <v>18</v>
      </c>
      <c r="E339" s="34">
        <v>1149</v>
      </c>
      <c r="F339" s="34">
        <v>46</v>
      </c>
      <c r="G339" s="34" t="s">
        <v>3</v>
      </c>
      <c r="H339" s="34" t="s">
        <v>4</v>
      </c>
      <c r="I339" s="39">
        <v>0.67938823088766775</v>
      </c>
    </row>
    <row r="340" spans="1:9" x14ac:dyDescent="0.3">
      <c r="A340" s="34">
        <v>339</v>
      </c>
      <c r="B340" s="34">
        <v>437</v>
      </c>
      <c r="C340" s="34" t="s">
        <v>5</v>
      </c>
      <c r="D340" s="34">
        <v>6</v>
      </c>
      <c r="E340" s="34">
        <v>660</v>
      </c>
      <c r="F340" s="34">
        <v>23</v>
      </c>
      <c r="G340" s="34" t="s">
        <v>11</v>
      </c>
      <c r="H340" s="34" t="s">
        <v>9</v>
      </c>
      <c r="I340" s="39">
        <v>0.68021490137990293</v>
      </c>
    </row>
    <row r="341" spans="1:9" x14ac:dyDescent="0.3">
      <c r="A341" s="34">
        <v>340</v>
      </c>
      <c r="B341" s="34">
        <v>224</v>
      </c>
      <c r="C341" s="34" t="s">
        <v>5</v>
      </c>
      <c r="D341" s="34">
        <v>24</v>
      </c>
      <c r="E341" s="34">
        <v>2978</v>
      </c>
      <c r="F341" s="34">
        <v>32</v>
      </c>
      <c r="G341" s="34" t="s">
        <v>3</v>
      </c>
      <c r="H341" s="34" t="s">
        <v>4</v>
      </c>
      <c r="I341" s="39">
        <v>0.685705331145534</v>
      </c>
    </row>
    <row r="342" spans="1:9" x14ac:dyDescent="0.3">
      <c r="A342" s="34">
        <v>341</v>
      </c>
      <c r="B342" s="34">
        <v>6</v>
      </c>
      <c r="C342" s="34" t="s">
        <v>5</v>
      </c>
      <c r="D342" s="34">
        <v>36</v>
      </c>
      <c r="E342" s="34">
        <v>9055</v>
      </c>
      <c r="F342" s="34">
        <v>35</v>
      </c>
      <c r="G342" s="34" t="s">
        <v>3</v>
      </c>
      <c r="H342" s="34" t="s">
        <v>8</v>
      </c>
      <c r="I342" s="39">
        <v>0.6860353401512912</v>
      </c>
    </row>
    <row r="343" spans="1:9" x14ac:dyDescent="0.3">
      <c r="A343" s="34">
        <v>342</v>
      </c>
      <c r="B343" s="34">
        <v>92</v>
      </c>
      <c r="C343" s="34" t="s">
        <v>5</v>
      </c>
      <c r="D343" s="34">
        <v>12</v>
      </c>
      <c r="E343" s="34">
        <v>1409</v>
      </c>
      <c r="F343" s="34">
        <v>54</v>
      </c>
      <c r="G343" s="34" t="s">
        <v>3</v>
      </c>
      <c r="H343" s="34" t="s">
        <v>4</v>
      </c>
      <c r="I343" s="39">
        <v>0.68710513725002831</v>
      </c>
    </row>
    <row r="344" spans="1:9" x14ac:dyDescent="0.3">
      <c r="A344" s="34">
        <v>343</v>
      </c>
      <c r="B344" s="34">
        <v>782</v>
      </c>
      <c r="C344" s="34" t="s">
        <v>5</v>
      </c>
      <c r="D344" s="34">
        <v>24</v>
      </c>
      <c r="E344" s="34">
        <v>1940</v>
      </c>
      <c r="F344" s="34">
        <v>60</v>
      </c>
      <c r="G344" s="34" t="s">
        <v>3</v>
      </c>
      <c r="H344" s="34" t="s">
        <v>4</v>
      </c>
      <c r="I344" s="39">
        <v>0.68749282827307867</v>
      </c>
    </row>
    <row r="345" spans="1:9" x14ac:dyDescent="0.3">
      <c r="A345" s="34">
        <v>344</v>
      </c>
      <c r="B345" s="34">
        <v>839</v>
      </c>
      <c r="C345" s="34" t="s">
        <v>5</v>
      </c>
      <c r="D345" s="34">
        <v>24</v>
      </c>
      <c r="E345" s="34">
        <v>2957</v>
      </c>
      <c r="F345" s="34">
        <v>63</v>
      </c>
      <c r="G345" s="34" t="s">
        <v>3</v>
      </c>
      <c r="H345" s="34" t="s">
        <v>4</v>
      </c>
      <c r="I345" s="39">
        <v>0.68941379976539841</v>
      </c>
    </row>
    <row r="346" spans="1:9" x14ac:dyDescent="0.3">
      <c r="A346" s="34">
        <v>345</v>
      </c>
      <c r="B346" s="34">
        <v>507</v>
      </c>
      <c r="C346" s="34" t="s">
        <v>5</v>
      </c>
      <c r="D346" s="34">
        <v>15</v>
      </c>
      <c r="E346" s="34">
        <v>2360</v>
      </c>
      <c r="F346" s="34">
        <v>36</v>
      </c>
      <c r="G346" s="34" t="s">
        <v>3</v>
      </c>
      <c r="H346" s="34" t="s">
        <v>4</v>
      </c>
      <c r="I346" s="39">
        <v>0.6899612286697242</v>
      </c>
    </row>
    <row r="347" spans="1:9" x14ac:dyDescent="0.3">
      <c r="A347" s="34">
        <v>346</v>
      </c>
      <c r="B347" s="34">
        <v>684</v>
      </c>
      <c r="C347" s="34" t="s">
        <v>5</v>
      </c>
      <c r="D347" s="34">
        <v>24</v>
      </c>
      <c r="E347" s="34">
        <v>5103</v>
      </c>
      <c r="F347" s="34">
        <v>47</v>
      </c>
      <c r="G347" s="34" t="s">
        <v>11</v>
      </c>
      <c r="H347" s="34" t="s">
        <v>8</v>
      </c>
      <c r="I347" s="39">
        <v>0.69100158395513156</v>
      </c>
    </row>
    <row r="348" spans="1:9" x14ac:dyDescent="0.3">
      <c r="A348" s="34">
        <v>347</v>
      </c>
      <c r="B348" s="34">
        <v>426</v>
      </c>
      <c r="C348" s="34" t="s">
        <v>5</v>
      </c>
      <c r="D348" s="34">
        <v>18</v>
      </c>
      <c r="E348" s="34">
        <v>2779</v>
      </c>
      <c r="F348" s="34">
        <v>21</v>
      </c>
      <c r="G348" s="34" t="s">
        <v>11</v>
      </c>
      <c r="H348" s="34" t="s">
        <v>9</v>
      </c>
      <c r="I348" s="39">
        <v>0.69741750282905712</v>
      </c>
    </row>
    <row r="349" spans="1:9" x14ac:dyDescent="0.3">
      <c r="A349" s="34">
        <v>348</v>
      </c>
      <c r="B349" s="34">
        <v>514</v>
      </c>
      <c r="C349" s="34" t="s">
        <v>5</v>
      </c>
      <c r="D349" s="34">
        <v>12</v>
      </c>
      <c r="E349" s="34">
        <v>585</v>
      </c>
      <c r="F349" s="34">
        <v>20</v>
      </c>
      <c r="G349" s="34" t="s">
        <v>11</v>
      </c>
      <c r="H349" s="34" t="s">
        <v>9</v>
      </c>
      <c r="I349" s="39">
        <v>0.70217801231250709</v>
      </c>
    </row>
    <row r="350" spans="1:9" x14ac:dyDescent="0.3">
      <c r="A350" s="34">
        <v>349</v>
      </c>
      <c r="B350" s="34">
        <v>402</v>
      </c>
      <c r="C350" s="34" t="s">
        <v>5</v>
      </c>
      <c r="D350" s="34">
        <v>18</v>
      </c>
      <c r="E350" s="34">
        <v>1887</v>
      </c>
      <c r="F350" s="34">
        <v>28</v>
      </c>
      <c r="G350" s="34" t="s">
        <v>11</v>
      </c>
      <c r="H350" s="34" t="s">
        <v>4</v>
      </c>
      <c r="I350" s="39">
        <v>0.70428282527439312</v>
      </c>
    </row>
    <row r="351" spans="1:9" x14ac:dyDescent="0.3">
      <c r="A351" s="34">
        <v>350</v>
      </c>
      <c r="B351" s="34">
        <v>990</v>
      </c>
      <c r="C351" s="34" t="s">
        <v>5</v>
      </c>
      <c r="D351" s="34">
        <v>24</v>
      </c>
      <c r="E351" s="34">
        <v>1743</v>
      </c>
      <c r="F351" s="34">
        <v>48</v>
      </c>
      <c r="G351" s="34" t="s">
        <v>3</v>
      </c>
      <c r="H351" s="34" t="s">
        <v>4</v>
      </c>
      <c r="I351" s="39">
        <v>0.70535257692474429</v>
      </c>
    </row>
    <row r="352" spans="1:9" x14ac:dyDescent="0.3">
      <c r="A352" s="34">
        <v>351</v>
      </c>
      <c r="B352" s="34">
        <v>517</v>
      </c>
      <c r="C352" s="34" t="s">
        <v>5</v>
      </c>
      <c r="D352" s="34">
        <v>6</v>
      </c>
      <c r="E352" s="34">
        <v>1361</v>
      </c>
      <c r="F352" s="34">
        <v>40</v>
      </c>
      <c r="G352" s="34" t="s">
        <v>3</v>
      </c>
      <c r="H352" s="34" t="s">
        <v>4</v>
      </c>
      <c r="I352" s="39">
        <v>0.70635065337929137</v>
      </c>
    </row>
    <row r="353" spans="1:9" x14ac:dyDescent="0.3">
      <c r="A353" s="34">
        <v>352</v>
      </c>
      <c r="B353" s="34">
        <v>651</v>
      </c>
      <c r="C353" s="34" t="s">
        <v>5</v>
      </c>
      <c r="D353" s="34">
        <v>48</v>
      </c>
      <c r="E353" s="34">
        <v>7476</v>
      </c>
      <c r="F353" s="34">
        <v>50</v>
      </c>
      <c r="G353" s="34" t="s">
        <v>3</v>
      </c>
      <c r="H353" s="34" t="s">
        <v>8</v>
      </c>
      <c r="I353" s="39">
        <v>0.70877907224384684</v>
      </c>
    </row>
    <row r="354" spans="1:9" x14ac:dyDescent="0.3">
      <c r="A354" s="34">
        <v>353</v>
      </c>
      <c r="B354" s="34">
        <v>878</v>
      </c>
      <c r="C354" s="34" t="s">
        <v>5</v>
      </c>
      <c r="D354" s="34">
        <v>36</v>
      </c>
      <c r="E354" s="34">
        <v>3595</v>
      </c>
      <c r="F354" s="34">
        <v>28</v>
      </c>
      <c r="G354" s="34" t="s">
        <v>3</v>
      </c>
      <c r="H354" s="34" t="s">
        <v>4</v>
      </c>
      <c r="I354" s="39">
        <v>0.71178960170768657</v>
      </c>
    </row>
    <row r="355" spans="1:9" x14ac:dyDescent="0.3">
      <c r="A355" s="34">
        <v>354</v>
      </c>
      <c r="B355" s="34">
        <v>766</v>
      </c>
      <c r="C355" s="34" t="s">
        <v>5</v>
      </c>
      <c r="D355" s="34">
        <v>12</v>
      </c>
      <c r="E355" s="34">
        <v>1155</v>
      </c>
      <c r="F355" s="34">
        <v>40</v>
      </c>
      <c r="G355" s="34" t="s">
        <v>11</v>
      </c>
      <c r="H355" s="34" t="s">
        <v>4</v>
      </c>
      <c r="I355" s="39">
        <v>0.71301953764856352</v>
      </c>
    </row>
    <row r="356" spans="1:9" x14ac:dyDescent="0.3">
      <c r="A356" s="34">
        <v>355</v>
      </c>
      <c r="B356" s="34">
        <v>184</v>
      </c>
      <c r="C356" s="34" t="s">
        <v>5</v>
      </c>
      <c r="D356" s="34">
        <v>24</v>
      </c>
      <c r="E356" s="34">
        <v>3777</v>
      </c>
      <c r="F356" s="34">
        <v>50</v>
      </c>
      <c r="G356" s="34" t="s">
        <v>3</v>
      </c>
      <c r="H356" s="34" t="s">
        <v>4</v>
      </c>
      <c r="I356" s="39">
        <v>0.71454801882675789</v>
      </c>
    </row>
    <row r="357" spans="1:9" x14ac:dyDescent="0.3">
      <c r="A357" s="34">
        <v>356</v>
      </c>
      <c r="B357" s="34">
        <v>367</v>
      </c>
      <c r="C357" s="34" t="s">
        <v>5</v>
      </c>
      <c r="D357" s="34">
        <v>18</v>
      </c>
      <c r="E357" s="34">
        <v>3850</v>
      </c>
      <c r="F357" s="34">
        <v>27</v>
      </c>
      <c r="G357" s="34" t="s">
        <v>3</v>
      </c>
      <c r="H357" s="34" t="s">
        <v>4</v>
      </c>
      <c r="I357" s="39">
        <v>0.71646817016643194</v>
      </c>
    </row>
    <row r="358" spans="1:9" x14ac:dyDescent="0.3">
      <c r="A358" s="34">
        <v>357</v>
      </c>
      <c r="B358" s="34">
        <v>468</v>
      </c>
      <c r="C358" s="34" t="s">
        <v>5</v>
      </c>
      <c r="D358" s="34">
        <v>48</v>
      </c>
      <c r="E358" s="34">
        <v>7238</v>
      </c>
      <c r="F358" s="34">
        <v>32</v>
      </c>
      <c r="G358" s="34" t="s">
        <v>3</v>
      </c>
      <c r="H358" s="34" t="s">
        <v>4</v>
      </c>
      <c r="I358" s="39">
        <v>0.71647421369793718</v>
      </c>
    </row>
    <row r="359" spans="1:9" x14ac:dyDescent="0.3">
      <c r="A359" s="34">
        <v>358</v>
      </c>
      <c r="B359" s="34">
        <v>793</v>
      </c>
      <c r="C359" s="34" t="s">
        <v>5</v>
      </c>
      <c r="D359" s="34">
        <v>6</v>
      </c>
      <c r="E359" s="34">
        <v>1221</v>
      </c>
      <c r="F359" s="34">
        <v>27</v>
      </c>
      <c r="G359" s="34" t="s">
        <v>11</v>
      </c>
      <c r="H359" s="34" t="s">
        <v>4</v>
      </c>
      <c r="I359" s="39">
        <v>0.71744526213960791</v>
      </c>
    </row>
    <row r="360" spans="1:9" x14ac:dyDescent="0.3">
      <c r="A360" s="34">
        <v>359</v>
      </c>
      <c r="B360" s="34">
        <v>951</v>
      </c>
      <c r="C360" s="34" t="s">
        <v>5</v>
      </c>
      <c r="D360" s="34">
        <v>18</v>
      </c>
      <c r="E360" s="34">
        <v>3590</v>
      </c>
      <c r="F360" s="34">
        <v>40</v>
      </c>
      <c r="G360" s="34" t="s">
        <v>11</v>
      </c>
      <c r="H360" s="34" t="s">
        <v>4</v>
      </c>
      <c r="I360" s="39">
        <v>0.71798715950091252</v>
      </c>
    </row>
    <row r="361" spans="1:9" x14ac:dyDescent="0.3">
      <c r="A361" s="34">
        <v>360</v>
      </c>
      <c r="B361" s="34">
        <v>330</v>
      </c>
      <c r="C361" s="34" t="s">
        <v>5</v>
      </c>
      <c r="D361" s="34">
        <v>6</v>
      </c>
      <c r="E361" s="34">
        <v>1068</v>
      </c>
      <c r="F361" s="34">
        <v>28</v>
      </c>
      <c r="G361" s="34" t="s">
        <v>3</v>
      </c>
      <c r="H361" s="34" t="s">
        <v>4</v>
      </c>
      <c r="I361" s="39">
        <v>0.7192003946056067</v>
      </c>
    </row>
    <row r="362" spans="1:9" x14ac:dyDescent="0.3">
      <c r="A362" s="34">
        <v>361</v>
      </c>
      <c r="B362" s="34">
        <v>931</v>
      </c>
      <c r="C362" s="34" t="s">
        <v>5</v>
      </c>
      <c r="D362" s="34">
        <v>24</v>
      </c>
      <c r="E362" s="34">
        <v>1747</v>
      </c>
      <c r="F362" s="34">
        <v>24</v>
      </c>
      <c r="G362" s="34" t="s">
        <v>3</v>
      </c>
      <c r="H362" s="34" t="s">
        <v>4</v>
      </c>
      <c r="I362" s="39">
        <v>0.7193606068952384</v>
      </c>
    </row>
    <row r="363" spans="1:9" x14ac:dyDescent="0.3">
      <c r="A363" s="34">
        <v>362</v>
      </c>
      <c r="B363" s="34">
        <v>795</v>
      </c>
      <c r="C363" s="34" t="s">
        <v>5</v>
      </c>
      <c r="D363" s="34">
        <v>24</v>
      </c>
      <c r="E363" s="34">
        <v>3062</v>
      </c>
      <c r="F363" s="34">
        <v>32</v>
      </c>
      <c r="G363" s="34" t="s">
        <v>3</v>
      </c>
      <c r="H363" s="34" t="s">
        <v>9</v>
      </c>
      <c r="I363" s="39">
        <v>0.72324956899696435</v>
      </c>
    </row>
    <row r="364" spans="1:9" x14ac:dyDescent="0.3">
      <c r="A364" s="34">
        <v>363</v>
      </c>
      <c r="B364" s="34">
        <v>509</v>
      </c>
      <c r="C364" s="34" t="s">
        <v>5</v>
      </c>
      <c r="D364" s="34">
        <v>24</v>
      </c>
      <c r="E364" s="34">
        <v>1413</v>
      </c>
      <c r="F364" s="34">
        <v>28</v>
      </c>
      <c r="G364" s="34" t="s">
        <v>11</v>
      </c>
      <c r="H364" s="34" t="s">
        <v>4</v>
      </c>
      <c r="I364" s="39">
        <v>0.72400733934641648</v>
      </c>
    </row>
    <row r="365" spans="1:9" x14ac:dyDescent="0.3">
      <c r="A365" s="34">
        <v>364</v>
      </c>
      <c r="B365" s="34">
        <v>704</v>
      </c>
      <c r="C365" s="34" t="s">
        <v>5</v>
      </c>
      <c r="D365" s="34">
        <v>30</v>
      </c>
      <c r="E365" s="34">
        <v>2503</v>
      </c>
      <c r="F365" s="34">
        <v>41</v>
      </c>
      <c r="G365" s="34" t="s">
        <v>3</v>
      </c>
      <c r="H365" s="34" t="s">
        <v>4</v>
      </c>
      <c r="I365" s="39">
        <v>0.72861933441417603</v>
      </c>
    </row>
    <row r="366" spans="1:9" x14ac:dyDescent="0.3">
      <c r="A366" s="34">
        <v>365</v>
      </c>
      <c r="B366" s="34">
        <v>298</v>
      </c>
      <c r="C366" s="34" t="s">
        <v>5</v>
      </c>
      <c r="D366" s="34">
        <v>10</v>
      </c>
      <c r="E366" s="34">
        <v>1287</v>
      </c>
      <c r="F366" s="34">
        <v>45</v>
      </c>
      <c r="G366" s="34" t="s">
        <v>3</v>
      </c>
      <c r="H366" s="34" t="s">
        <v>4</v>
      </c>
      <c r="I366" s="39">
        <v>0.72874056542846977</v>
      </c>
    </row>
    <row r="367" spans="1:9" x14ac:dyDescent="0.3">
      <c r="A367" s="34">
        <v>366</v>
      </c>
      <c r="B367" s="34">
        <v>98</v>
      </c>
      <c r="C367" s="34" t="s">
        <v>5</v>
      </c>
      <c r="D367" s="34">
        <v>18</v>
      </c>
      <c r="E367" s="34">
        <v>2622</v>
      </c>
      <c r="F367" s="34">
        <v>34</v>
      </c>
      <c r="G367" s="34" t="s">
        <v>3</v>
      </c>
      <c r="H367" s="34" t="s">
        <v>4</v>
      </c>
      <c r="I367" s="39">
        <v>0.72968649832557453</v>
      </c>
    </row>
    <row r="368" spans="1:9" x14ac:dyDescent="0.3">
      <c r="A368" s="34">
        <v>367</v>
      </c>
      <c r="B368" s="34">
        <v>76</v>
      </c>
      <c r="C368" s="34" t="s">
        <v>5</v>
      </c>
      <c r="D368" s="34">
        <v>12</v>
      </c>
      <c r="E368" s="34">
        <v>1526</v>
      </c>
      <c r="F368" s="34">
        <v>66</v>
      </c>
      <c r="G368" s="34" t="s">
        <v>3</v>
      </c>
      <c r="H368" s="34" t="s">
        <v>8</v>
      </c>
      <c r="I368" s="39">
        <v>0.73035150473008292</v>
      </c>
    </row>
    <row r="369" spans="1:9" x14ac:dyDescent="0.3">
      <c r="A369" s="34">
        <v>368</v>
      </c>
      <c r="B369" s="34">
        <v>101</v>
      </c>
      <c r="C369" s="34" t="s">
        <v>5</v>
      </c>
      <c r="D369" s="34">
        <v>24</v>
      </c>
      <c r="E369" s="34">
        <v>1469</v>
      </c>
      <c r="F369" s="34">
        <v>41</v>
      </c>
      <c r="G369" s="34" t="s">
        <v>11</v>
      </c>
      <c r="H369" s="34" t="s">
        <v>9</v>
      </c>
      <c r="I369" s="39">
        <v>0.73088169975307593</v>
      </c>
    </row>
    <row r="370" spans="1:9" x14ac:dyDescent="0.3">
      <c r="A370" s="34">
        <v>369</v>
      </c>
      <c r="B370" s="34">
        <v>152</v>
      </c>
      <c r="C370" s="34" t="s">
        <v>5</v>
      </c>
      <c r="D370" s="34">
        <v>10</v>
      </c>
      <c r="E370" s="34">
        <v>1924</v>
      </c>
      <c r="F370" s="34">
        <v>38</v>
      </c>
      <c r="G370" s="34" t="s">
        <v>3</v>
      </c>
      <c r="H370" s="34" t="s">
        <v>4</v>
      </c>
      <c r="I370" s="39">
        <v>0.73364777853237995</v>
      </c>
    </row>
    <row r="371" spans="1:9" x14ac:dyDescent="0.3">
      <c r="A371" s="34">
        <v>370</v>
      </c>
      <c r="B371" s="34">
        <v>745</v>
      </c>
      <c r="C371" s="34" t="s">
        <v>5</v>
      </c>
      <c r="D371" s="34">
        <v>39</v>
      </c>
      <c r="E371" s="34">
        <v>14179</v>
      </c>
      <c r="F371" s="34">
        <v>30</v>
      </c>
      <c r="G371" s="34" t="s">
        <v>3</v>
      </c>
      <c r="H371" s="34" t="s">
        <v>4</v>
      </c>
      <c r="I371" s="39">
        <v>0.73559051612541226</v>
      </c>
    </row>
    <row r="372" spans="1:9" x14ac:dyDescent="0.3">
      <c r="A372" s="34">
        <v>371</v>
      </c>
      <c r="B372" s="34">
        <v>53</v>
      </c>
      <c r="C372" s="34" t="s">
        <v>5</v>
      </c>
      <c r="D372" s="34">
        <v>12</v>
      </c>
      <c r="E372" s="34">
        <v>1262</v>
      </c>
      <c r="F372" s="34">
        <v>25</v>
      </c>
      <c r="G372" s="34" t="s">
        <v>3</v>
      </c>
      <c r="H372" s="34" t="s">
        <v>4</v>
      </c>
      <c r="I372" s="39">
        <v>0.73596551242591546</v>
      </c>
    </row>
    <row r="373" spans="1:9" x14ac:dyDescent="0.3">
      <c r="A373" s="34">
        <v>372</v>
      </c>
      <c r="B373" s="34">
        <v>638</v>
      </c>
      <c r="C373" s="34" t="s">
        <v>5</v>
      </c>
      <c r="D373" s="34">
        <v>60</v>
      </c>
      <c r="E373" s="34">
        <v>15653</v>
      </c>
      <c r="F373" s="34">
        <v>21</v>
      </c>
      <c r="G373" s="34" t="s">
        <v>3</v>
      </c>
      <c r="H373" s="34" t="s">
        <v>4</v>
      </c>
      <c r="I373" s="39">
        <v>0.73675076926644967</v>
      </c>
    </row>
    <row r="374" spans="1:9" x14ac:dyDescent="0.3">
      <c r="A374" s="34">
        <v>373</v>
      </c>
      <c r="B374" s="34">
        <v>94</v>
      </c>
      <c r="C374" s="34" t="s">
        <v>5</v>
      </c>
      <c r="D374" s="34">
        <v>24</v>
      </c>
      <c r="E374" s="34">
        <v>3617</v>
      </c>
      <c r="F374" s="34">
        <v>20</v>
      </c>
      <c r="G374" s="34" t="s">
        <v>3</v>
      </c>
      <c r="H374" s="34" t="s">
        <v>9</v>
      </c>
      <c r="I374" s="39">
        <v>0.73818827775057316</v>
      </c>
    </row>
    <row r="375" spans="1:9" x14ac:dyDescent="0.3">
      <c r="A375" s="34">
        <v>374</v>
      </c>
      <c r="B375" s="34">
        <v>552</v>
      </c>
      <c r="C375" s="34" t="s">
        <v>5</v>
      </c>
      <c r="D375" s="34">
        <v>6</v>
      </c>
      <c r="E375" s="34">
        <v>1750</v>
      </c>
      <c r="F375" s="34">
        <v>45</v>
      </c>
      <c r="G375" s="34" t="s">
        <v>3</v>
      </c>
      <c r="H375" s="34" t="s">
        <v>4</v>
      </c>
      <c r="I375" s="39">
        <v>0.73899061084842266</v>
      </c>
    </row>
    <row r="376" spans="1:9" x14ac:dyDescent="0.3">
      <c r="A376" s="34">
        <v>375</v>
      </c>
      <c r="B376" s="34">
        <v>757</v>
      </c>
      <c r="C376" s="34" t="s">
        <v>5</v>
      </c>
      <c r="D376" s="34">
        <v>6</v>
      </c>
      <c r="E376" s="34">
        <v>1299</v>
      </c>
      <c r="F376" s="34">
        <v>74</v>
      </c>
      <c r="G376" s="34" t="s">
        <v>3</v>
      </c>
      <c r="H376" s="34" t="s">
        <v>4</v>
      </c>
      <c r="I376" s="39">
        <v>0.73940023657036347</v>
      </c>
    </row>
    <row r="377" spans="1:9" x14ac:dyDescent="0.3">
      <c r="A377" s="34">
        <v>376</v>
      </c>
      <c r="B377" s="34">
        <v>572</v>
      </c>
      <c r="C377" s="34" t="s">
        <v>5</v>
      </c>
      <c r="D377" s="34">
        <v>30</v>
      </c>
      <c r="E377" s="34">
        <v>5954</v>
      </c>
      <c r="F377" s="34">
        <v>38</v>
      </c>
      <c r="G377" s="34" t="s">
        <v>3</v>
      </c>
      <c r="H377" s="34" t="s">
        <v>4</v>
      </c>
      <c r="I377" s="39">
        <v>0.74303457617982038</v>
      </c>
    </row>
    <row r="378" spans="1:9" x14ac:dyDescent="0.3">
      <c r="A378" s="34">
        <v>377</v>
      </c>
      <c r="B378" s="34">
        <v>453</v>
      </c>
      <c r="C378" s="34" t="s">
        <v>5</v>
      </c>
      <c r="D378" s="34">
        <v>12</v>
      </c>
      <c r="E378" s="34">
        <v>2759</v>
      </c>
      <c r="F378" s="34">
        <v>34</v>
      </c>
      <c r="G378" s="34" t="s">
        <v>3</v>
      </c>
      <c r="H378" s="34" t="s">
        <v>4</v>
      </c>
      <c r="I378" s="39">
        <v>0.74344557006075485</v>
      </c>
    </row>
    <row r="379" spans="1:9" x14ac:dyDescent="0.3">
      <c r="A379" s="34">
        <v>378</v>
      </c>
      <c r="B379" s="34">
        <v>267</v>
      </c>
      <c r="C379" s="34" t="s">
        <v>5</v>
      </c>
      <c r="D379" s="34">
        <v>36</v>
      </c>
      <c r="E379" s="34">
        <v>6304</v>
      </c>
      <c r="F379" s="34">
        <v>36</v>
      </c>
      <c r="G379" s="34" t="s">
        <v>3</v>
      </c>
      <c r="H379" s="34" t="s">
        <v>4</v>
      </c>
      <c r="I379" s="39">
        <v>0.74652209767402988</v>
      </c>
    </row>
    <row r="380" spans="1:9" x14ac:dyDescent="0.3">
      <c r="A380" s="34">
        <v>379</v>
      </c>
      <c r="B380" s="34">
        <v>232</v>
      </c>
      <c r="C380" s="34" t="s">
        <v>5</v>
      </c>
      <c r="D380" s="34">
        <v>9</v>
      </c>
      <c r="E380" s="34">
        <v>2507</v>
      </c>
      <c r="F380" s="34">
        <v>51</v>
      </c>
      <c r="G380" s="34" t="s">
        <v>3</v>
      </c>
      <c r="H380" s="34" t="s">
        <v>8</v>
      </c>
      <c r="I380" s="39">
        <v>0.74761146441230375</v>
      </c>
    </row>
    <row r="381" spans="1:9" x14ac:dyDescent="0.3">
      <c r="A381" s="34">
        <v>380</v>
      </c>
      <c r="B381" s="34">
        <v>105</v>
      </c>
      <c r="C381" s="34" t="s">
        <v>5</v>
      </c>
      <c r="D381" s="34">
        <v>12</v>
      </c>
      <c r="E381" s="34">
        <v>2445</v>
      </c>
      <c r="F381" s="34">
        <v>26</v>
      </c>
      <c r="G381" s="34" t="s">
        <v>11</v>
      </c>
      <c r="H381" s="34" t="s">
        <v>9</v>
      </c>
      <c r="I381" s="39">
        <v>0.75330510226383973</v>
      </c>
    </row>
    <row r="382" spans="1:9" x14ac:dyDescent="0.3">
      <c r="A382" s="34">
        <v>381</v>
      </c>
      <c r="B382" s="34">
        <v>872</v>
      </c>
      <c r="C382" s="34" t="s">
        <v>5</v>
      </c>
      <c r="D382" s="34">
        <v>6</v>
      </c>
      <c r="E382" s="34">
        <v>1343</v>
      </c>
      <c r="F382" s="34">
        <v>46</v>
      </c>
      <c r="G382" s="34" t="s">
        <v>3</v>
      </c>
      <c r="H382" s="34" t="s">
        <v>4</v>
      </c>
      <c r="I382" s="39">
        <v>0.7543708523134417</v>
      </c>
    </row>
    <row r="383" spans="1:9" x14ac:dyDescent="0.3">
      <c r="A383" s="34">
        <v>382</v>
      </c>
      <c r="B383" s="34">
        <v>822</v>
      </c>
      <c r="C383" s="34" t="s">
        <v>5</v>
      </c>
      <c r="D383" s="34">
        <v>12</v>
      </c>
      <c r="E383" s="34">
        <v>3016</v>
      </c>
      <c r="F383" s="34">
        <v>24</v>
      </c>
      <c r="G383" s="34" t="s">
        <v>11</v>
      </c>
      <c r="H383" s="34" t="s">
        <v>4</v>
      </c>
      <c r="I383" s="39">
        <v>0.75437581631348027</v>
      </c>
    </row>
    <row r="384" spans="1:9" x14ac:dyDescent="0.3">
      <c r="A384" s="34">
        <v>383</v>
      </c>
      <c r="B384" s="34">
        <v>842</v>
      </c>
      <c r="C384" s="34" t="s">
        <v>5</v>
      </c>
      <c r="D384" s="34">
        <v>21</v>
      </c>
      <c r="E384" s="34">
        <v>2993</v>
      </c>
      <c r="F384" s="34">
        <v>28</v>
      </c>
      <c r="G384" s="34" t="s">
        <v>3</v>
      </c>
      <c r="H384" s="34" t="s">
        <v>4</v>
      </c>
      <c r="I384" s="39">
        <v>0.75736226426584941</v>
      </c>
    </row>
    <row r="385" spans="1:9" x14ac:dyDescent="0.3">
      <c r="A385" s="34">
        <v>384</v>
      </c>
      <c r="B385" s="34">
        <v>79</v>
      </c>
      <c r="C385" s="34" t="s">
        <v>5</v>
      </c>
      <c r="D385" s="34">
        <v>54</v>
      </c>
      <c r="E385" s="34">
        <v>9436</v>
      </c>
      <c r="F385" s="34">
        <v>39</v>
      </c>
      <c r="G385" s="34" t="s">
        <v>3</v>
      </c>
      <c r="H385" s="34" t="s">
        <v>4</v>
      </c>
      <c r="I385" s="39">
        <v>0.75923545684161631</v>
      </c>
    </row>
    <row r="386" spans="1:9" x14ac:dyDescent="0.3">
      <c r="A386" s="34">
        <v>385</v>
      </c>
      <c r="B386" s="34">
        <v>233</v>
      </c>
      <c r="C386" s="34" t="s">
        <v>5</v>
      </c>
      <c r="D386" s="34">
        <v>12</v>
      </c>
      <c r="E386" s="34">
        <v>2141</v>
      </c>
      <c r="F386" s="34">
        <v>35</v>
      </c>
      <c r="G386" s="34" t="s">
        <v>3</v>
      </c>
      <c r="H386" s="34" t="s">
        <v>4</v>
      </c>
      <c r="I386" s="39">
        <v>0.76238243208534884</v>
      </c>
    </row>
    <row r="387" spans="1:9" x14ac:dyDescent="0.3">
      <c r="A387" s="34">
        <v>386</v>
      </c>
      <c r="B387" s="34">
        <v>812</v>
      </c>
      <c r="C387" s="34" t="s">
        <v>5</v>
      </c>
      <c r="D387" s="34">
        <v>6</v>
      </c>
      <c r="E387" s="34">
        <v>484</v>
      </c>
      <c r="F387" s="34">
        <v>28</v>
      </c>
      <c r="G387" s="34" t="s">
        <v>11</v>
      </c>
      <c r="H387" s="34" t="s">
        <v>4</v>
      </c>
      <c r="I387" s="39">
        <v>0.76355660890732646</v>
      </c>
    </row>
    <row r="388" spans="1:9" x14ac:dyDescent="0.3">
      <c r="A388" s="34">
        <v>387</v>
      </c>
      <c r="B388" s="34">
        <v>658</v>
      </c>
      <c r="C388" s="34" t="s">
        <v>5</v>
      </c>
      <c r="D388" s="34">
        <v>48</v>
      </c>
      <c r="E388" s="34">
        <v>10222</v>
      </c>
      <c r="F388" s="34">
        <v>37</v>
      </c>
      <c r="G388" s="34" t="s">
        <v>3</v>
      </c>
      <c r="H388" s="34" t="s">
        <v>4</v>
      </c>
      <c r="I388" s="39">
        <v>0.76458438684287056</v>
      </c>
    </row>
    <row r="389" spans="1:9" x14ac:dyDescent="0.3">
      <c r="A389" s="34">
        <v>388</v>
      </c>
      <c r="B389" s="34">
        <v>895</v>
      </c>
      <c r="C389" s="34" t="s">
        <v>5</v>
      </c>
      <c r="D389" s="34">
        <v>18</v>
      </c>
      <c r="E389" s="34">
        <v>1169</v>
      </c>
      <c r="F389" s="34">
        <v>29</v>
      </c>
      <c r="G389" s="34" t="s">
        <v>3</v>
      </c>
      <c r="H389" s="34" t="s">
        <v>4</v>
      </c>
      <c r="I389" s="39">
        <v>0.7657006171219225</v>
      </c>
    </row>
    <row r="390" spans="1:9" x14ac:dyDescent="0.3">
      <c r="A390" s="34">
        <v>389</v>
      </c>
      <c r="B390" s="34">
        <v>416</v>
      </c>
      <c r="C390" s="34" t="s">
        <v>5</v>
      </c>
      <c r="D390" s="34">
        <v>36</v>
      </c>
      <c r="E390" s="34">
        <v>5842</v>
      </c>
      <c r="F390" s="34">
        <v>35</v>
      </c>
      <c r="G390" s="34" t="s">
        <v>3</v>
      </c>
      <c r="H390" s="34" t="s">
        <v>4</v>
      </c>
      <c r="I390" s="39">
        <v>0.76748318504100332</v>
      </c>
    </row>
    <row r="391" spans="1:9" x14ac:dyDescent="0.3">
      <c r="A391" s="34">
        <v>390</v>
      </c>
      <c r="B391" s="34">
        <v>606</v>
      </c>
      <c r="C391" s="34" t="s">
        <v>5</v>
      </c>
      <c r="D391" s="34">
        <v>24</v>
      </c>
      <c r="E391" s="34">
        <v>2828</v>
      </c>
      <c r="F391" s="34">
        <v>22</v>
      </c>
      <c r="G391" s="34" t="s">
        <v>3</v>
      </c>
      <c r="H391" s="34" t="s">
        <v>4</v>
      </c>
      <c r="I391" s="39">
        <v>0.76856010466589197</v>
      </c>
    </row>
    <row r="392" spans="1:9" x14ac:dyDescent="0.3">
      <c r="A392" s="34">
        <v>391</v>
      </c>
      <c r="B392" s="34">
        <v>223</v>
      </c>
      <c r="C392" s="34" t="s">
        <v>5</v>
      </c>
      <c r="D392" s="34">
        <v>12</v>
      </c>
      <c r="E392" s="34">
        <v>707</v>
      </c>
      <c r="F392" s="34">
        <v>30</v>
      </c>
      <c r="G392" s="34" t="s">
        <v>3</v>
      </c>
      <c r="H392" s="34" t="s">
        <v>4</v>
      </c>
      <c r="I392" s="39">
        <v>0.77344200354766846</v>
      </c>
    </row>
    <row r="393" spans="1:9" x14ac:dyDescent="0.3">
      <c r="A393" s="34">
        <v>392</v>
      </c>
      <c r="B393" s="34">
        <v>742</v>
      </c>
      <c r="C393" s="34" t="s">
        <v>5</v>
      </c>
      <c r="D393" s="34">
        <v>10</v>
      </c>
      <c r="E393" s="34">
        <v>1048</v>
      </c>
      <c r="F393" s="34">
        <v>23</v>
      </c>
      <c r="G393" s="34" t="s">
        <v>3</v>
      </c>
      <c r="H393" s="34" t="s">
        <v>4</v>
      </c>
      <c r="I393" s="39">
        <v>0.77409246758840755</v>
      </c>
    </row>
    <row r="394" spans="1:9" x14ac:dyDescent="0.3">
      <c r="A394" s="34">
        <v>393</v>
      </c>
      <c r="B394" s="34">
        <v>230</v>
      </c>
      <c r="C394" s="34" t="s">
        <v>5</v>
      </c>
      <c r="D394" s="34">
        <v>24</v>
      </c>
      <c r="E394" s="34">
        <v>3149</v>
      </c>
      <c r="F394" s="34">
        <v>22</v>
      </c>
      <c r="G394" s="34" t="s">
        <v>3</v>
      </c>
      <c r="H394" s="34" t="s">
        <v>8</v>
      </c>
      <c r="I394" s="39">
        <v>0.77613148244888075</v>
      </c>
    </row>
    <row r="395" spans="1:9" x14ac:dyDescent="0.3">
      <c r="A395" s="34">
        <v>394</v>
      </c>
      <c r="B395" s="34">
        <v>91</v>
      </c>
      <c r="C395" s="34" t="s">
        <v>5</v>
      </c>
      <c r="D395" s="34">
        <v>12</v>
      </c>
      <c r="E395" s="34">
        <v>618</v>
      </c>
      <c r="F395" s="34">
        <v>56</v>
      </c>
      <c r="G395" s="34" t="s">
        <v>3</v>
      </c>
      <c r="H395" s="34" t="s">
        <v>4</v>
      </c>
      <c r="I395" s="39">
        <v>0.77782527565788817</v>
      </c>
    </row>
    <row r="396" spans="1:9" x14ac:dyDescent="0.3">
      <c r="A396" s="34">
        <v>395</v>
      </c>
      <c r="B396" s="34">
        <v>970</v>
      </c>
      <c r="C396" s="34" t="s">
        <v>5</v>
      </c>
      <c r="D396" s="34">
        <v>11</v>
      </c>
      <c r="E396" s="34">
        <v>3939</v>
      </c>
      <c r="F396" s="34">
        <v>40</v>
      </c>
      <c r="G396" s="34" t="s">
        <v>3</v>
      </c>
      <c r="H396" s="34" t="s">
        <v>4</v>
      </c>
      <c r="I396" s="39">
        <v>0.78070123259608071</v>
      </c>
    </row>
    <row r="397" spans="1:9" x14ac:dyDescent="0.3">
      <c r="A397" s="34">
        <v>396</v>
      </c>
      <c r="B397" s="34">
        <v>554</v>
      </c>
      <c r="C397" s="34" t="s">
        <v>5</v>
      </c>
      <c r="D397" s="34">
        <v>12</v>
      </c>
      <c r="E397" s="34">
        <v>1995</v>
      </c>
      <c r="F397" s="34">
        <v>27</v>
      </c>
      <c r="G397" s="34" t="s">
        <v>3</v>
      </c>
      <c r="H397" s="34" t="s">
        <v>4</v>
      </c>
      <c r="I397" s="39">
        <v>0.78405560411896813</v>
      </c>
    </row>
    <row r="398" spans="1:9" x14ac:dyDescent="0.3">
      <c r="A398" s="34">
        <v>397</v>
      </c>
      <c r="B398" s="34">
        <v>961</v>
      </c>
      <c r="C398" s="34" t="s">
        <v>5</v>
      </c>
      <c r="D398" s="34">
        <v>6</v>
      </c>
      <c r="E398" s="34">
        <v>1740</v>
      </c>
      <c r="F398" s="34">
        <v>30</v>
      </c>
      <c r="G398" s="34" t="s">
        <v>11</v>
      </c>
      <c r="H398" s="34" t="s">
        <v>9</v>
      </c>
      <c r="I398" s="39">
        <v>0.78469974403695764</v>
      </c>
    </row>
    <row r="399" spans="1:9" x14ac:dyDescent="0.3">
      <c r="A399" s="34">
        <v>398</v>
      </c>
      <c r="B399" s="34">
        <v>819</v>
      </c>
      <c r="C399" s="34" t="s">
        <v>5</v>
      </c>
      <c r="D399" s="34">
        <v>36</v>
      </c>
      <c r="E399" s="34">
        <v>15857</v>
      </c>
      <c r="F399" s="34">
        <v>43</v>
      </c>
      <c r="G399" s="34" t="s">
        <v>10</v>
      </c>
      <c r="H399" s="34" t="s">
        <v>4</v>
      </c>
      <c r="I399" s="39">
        <v>0.78481782954535728</v>
      </c>
    </row>
    <row r="400" spans="1:9" x14ac:dyDescent="0.3">
      <c r="A400" s="34">
        <v>399</v>
      </c>
      <c r="B400" s="34">
        <v>860</v>
      </c>
      <c r="C400" s="34" t="s">
        <v>5</v>
      </c>
      <c r="D400" s="34">
        <v>9</v>
      </c>
      <c r="E400" s="34">
        <v>3577</v>
      </c>
      <c r="F400" s="34">
        <v>26</v>
      </c>
      <c r="G400" s="34" t="s">
        <v>3</v>
      </c>
      <c r="H400" s="34" t="s">
        <v>9</v>
      </c>
      <c r="I400" s="39">
        <v>0.79001130211001214</v>
      </c>
    </row>
    <row r="401" spans="1:9" x14ac:dyDescent="0.3">
      <c r="A401" s="34">
        <v>400</v>
      </c>
      <c r="B401" s="34">
        <v>636</v>
      </c>
      <c r="C401" s="34" t="s">
        <v>5</v>
      </c>
      <c r="D401" s="34">
        <v>12</v>
      </c>
      <c r="E401" s="34">
        <v>1393</v>
      </c>
      <c r="F401" s="34">
        <v>47</v>
      </c>
      <c r="G401" s="34" t="s">
        <v>3</v>
      </c>
      <c r="H401" s="34" t="s">
        <v>4</v>
      </c>
      <c r="I401" s="39">
        <v>0.79256050006174583</v>
      </c>
    </row>
    <row r="402" spans="1:9" x14ac:dyDescent="0.3">
      <c r="A402" s="34">
        <v>401</v>
      </c>
      <c r="B402" s="34">
        <v>188</v>
      </c>
      <c r="C402" s="34" t="s">
        <v>5</v>
      </c>
      <c r="D402" s="34">
        <v>16</v>
      </c>
      <c r="E402" s="34">
        <v>1175</v>
      </c>
      <c r="F402" s="34">
        <v>68</v>
      </c>
      <c r="G402" s="34" t="s">
        <v>3</v>
      </c>
      <c r="H402" s="34" t="s">
        <v>8</v>
      </c>
      <c r="I402" s="39">
        <v>0.79457822900921904</v>
      </c>
    </row>
    <row r="403" spans="1:9" x14ac:dyDescent="0.3">
      <c r="A403" s="34">
        <v>402</v>
      </c>
      <c r="B403" s="34">
        <v>186</v>
      </c>
      <c r="C403" s="34" t="s">
        <v>5</v>
      </c>
      <c r="D403" s="34">
        <v>15</v>
      </c>
      <c r="E403" s="34">
        <v>1360</v>
      </c>
      <c r="F403" s="34">
        <v>31</v>
      </c>
      <c r="G403" s="34" t="s">
        <v>3</v>
      </c>
      <c r="H403" s="34" t="s">
        <v>4</v>
      </c>
      <c r="I403" s="39">
        <v>0.79544231188226144</v>
      </c>
    </row>
    <row r="404" spans="1:9" x14ac:dyDescent="0.3">
      <c r="A404" s="34">
        <v>403</v>
      </c>
      <c r="B404" s="34">
        <v>422</v>
      </c>
      <c r="C404" s="34" t="s">
        <v>5</v>
      </c>
      <c r="D404" s="34">
        <v>12</v>
      </c>
      <c r="E404" s="34">
        <v>2028</v>
      </c>
      <c r="F404" s="34">
        <v>30</v>
      </c>
      <c r="G404" s="34" t="s">
        <v>3</v>
      </c>
      <c r="H404" s="34" t="s">
        <v>4</v>
      </c>
      <c r="I404" s="39">
        <v>0.79623231201364286</v>
      </c>
    </row>
    <row r="405" spans="1:9" x14ac:dyDescent="0.3">
      <c r="A405" s="34">
        <v>404</v>
      </c>
      <c r="B405" s="34">
        <v>139</v>
      </c>
      <c r="C405" s="34" t="s">
        <v>5</v>
      </c>
      <c r="D405" s="34">
        <v>15</v>
      </c>
      <c r="E405" s="34">
        <v>2728</v>
      </c>
      <c r="F405" s="34">
        <v>35</v>
      </c>
      <c r="G405" s="34" t="s">
        <v>3</v>
      </c>
      <c r="H405" s="34" t="s">
        <v>4</v>
      </c>
      <c r="I405" s="39">
        <v>0.7973981589975061</v>
      </c>
    </row>
    <row r="406" spans="1:9" x14ac:dyDescent="0.3">
      <c r="A406" s="34">
        <v>405</v>
      </c>
      <c r="B406" s="34">
        <v>987</v>
      </c>
      <c r="C406" s="34" t="s">
        <v>5</v>
      </c>
      <c r="D406" s="34">
        <v>42</v>
      </c>
      <c r="E406" s="34">
        <v>6289</v>
      </c>
      <c r="F406" s="34">
        <v>33</v>
      </c>
      <c r="G406" s="34" t="s">
        <v>10</v>
      </c>
      <c r="H406" s="34" t="s">
        <v>4</v>
      </c>
      <c r="I406" s="39">
        <v>0.79769843868379453</v>
      </c>
    </row>
    <row r="407" spans="1:9" x14ac:dyDescent="0.3">
      <c r="A407" s="34">
        <v>406</v>
      </c>
      <c r="B407" s="34">
        <v>817</v>
      </c>
      <c r="C407" s="34" t="s">
        <v>5</v>
      </c>
      <c r="D407" s="34">
        <v>6</v>
      </c>
      <c r="E407" s="34">
        <v>1338</v>
      </c>
      <c r="F407" s="34">
        <v>62</v>
      </c>
      <c r="G407" s="34" t="s">
        <v>10</v>
      </c>
      <c r="H407" s="34" t="s">
        <v>4</v>
      </c>
      <c r="I407" s="39">
        <v>0.79993649371964692</v>
      </c>
    </row>
    <row r="408" spans="1:9" x14ac:dyDescent="0.3">
      <c r="A408" s="34">
        <v>407</v>
      </c>
      <c r="B408" s="34">
        <v>655</v>
      </c>
      <c r="C408" s="34" t="s">
        <v>5</v>
      </c>
      <c r="D408" s="34">
        <v>24</v>
      </c>
      <c r="E408" s="34">
        <v>2346</v>
      </c>
      <c r="F408" s="34">
        <v>35</v>
      </c>
      <c r="G408" s="34" t="s">
        <v>3</v>
      </c>
      <c r="H408" s="34" t="s">
        <v>4</v>
      </c>
      <c r="I408" s="39">
        <v>0.80001449480777254</v>
      </c>
    </row>
    <row r="409" spans="1:9" x14ac:dyDescent="0.3">
      <c r="A409" s="34">
        <v>408</v>
      </c>
      <c r="B409" s="34">
        <v>672</v>
      </c>
      <c r="C409" s="34" t="s">
        <v>5</v>
      </c>
      <c r="D409" s="34">
        <v>36</v>
      </c>
      <c r="E409" s="34">
        <v>5742</v>
      </c>
      <c r="F409" s="34">
        <v>31</v>
      </c>
      <c r="G409" s="34" t="s">
        <v>3</v>
      </c>
      <c r="H409" s="34" t="s">
        <v>4</v>
      </c>
      <c r="I409" s="39">
        <v>0.80231566563160239</v>
      </c>
    </row>
    <row r="410" spans="1:9" x14ac:dyDescent="0.3">
      <c r="A410" s="34">
        <v>409</v>
      </c>
      <c r="B410" s="34">
        <v>202</v>
      </c>
      <c r="C410" s="34" t="s">
        <v>5</v>
      </c>
      <c r="D410" s="34">
        <v>12</v>
      </c>
      <c r="E410" s="34">
        <v>1168</v>
      </c>
      <c r="F410" s="34">
        <v>27</v>
      </c>
      <c r="G410" s="34" t="s">
        <v>11</v>
      </c>
      <c r="H410" s="34" t="s">
        <v>4</v>
      </c>
      <c r="I410" s="39">
        <v>0.8034331768166838</v>
      </c>
    </row>
    <row r="411" spans="1:9" x14ac:dyDescent="0.3">
      <c r="A411" s="34">
        <v>410</v>
      </c>
      <c r="B411" s="34">
        <v>82</v>
      </c>
      <c r="C411" s="34" t="s">
        <v>5</v>
      </c>
      <c r="D411" s="34">
        <v>15</v>
      </c>
      <c r="E411" s="34">
        <v>1213</v>
      </c>
      <c r="F411" s="34">
        <v>47</v>
      </c>
      <c r="G411" s="34" t="s">
        <v>3</v>
      </c>
      <c r="H411" s="34" t="s">
        <v>4</v>
      </c>
      <c r="I411" s="39">
        <v>0.80433845050537434</v>
      </c>
    </row>
    <row r="412" spans="1:9" x14ac:dyDescent="0.3">
      <c r="A412" s="34">
        <v>411</v>
      </c>
      <c r="B412" s="34">
        <v>357</v>
      </c>
      <c r="C412" s="34" t="s">
        <v>5</v>
      </c>
      <c r="D412" s="34">
        <v>12</v>
      </c>
      <c r="E412" s="34">
        <v>2331</v>
      </c>
      <c r="F412" s="34">
        <v>49</v>
      </c>
      <c r="G412" s="34" t="s">
        <v>3</v>
      </c>
      <c r="H412" s="34" t="s">
        <v>4</v>
      </c>
      <c r="I412" s="39">
        <v>0.80677844262361031</v>
      </c>
    </row>
    <row r="413" spans="1:9" x14ac:dyDescent="0.3">
      <c r="A413" s="34">
        <v>412</v>
      </c>
      <c r="B413" s="34">
        <v>306</v>
      </c>
      <c r="C413" s="34" t="s">
        <v>5</v>
      </c>
      <c r="D413" s="34">
        <v>6</v>
      </c>
      <c r="E413" s="34">
        <v>1543</v>
      </c>
      <c r="F413" s="34">
        <v>33</v>
      </c>
      <c r="G413" s="34" t="s">
        <v>10</v>
      </c>
      <c r="H413" s="34" t="s">
        <v>4</v>
      </c>
      <c r="I413" s="39">
        <v>0.80926182043817074</v>
      </c>
    </row>
    <row r="414" spans="1:9" x14ac:dyDescent="0.3">
      <c r="A414" s="34">
        <v>413</v>
      </c>
      <c r="B414" s="34">
        <v>588</v>
      </c>
      <c r="C414" s="34" t="s">
        <v>5</v>
      </c>
      <c r="D414" s="34">
        <v>12</v>
      </c>
      <c r="E414" s="34">
        <v>1289</v>
      </c>
      <c r="F414" s="34">
        <v>21</v>
      </c>
      <c r="G414" s="34" t="s">
        <v>3</v>
      </c>
      <c r="H414" s="34" t="s">
        <v>4</v>
      </c>
      <c r="I414" s="39">
        <v>0.8101471076937472</v>
      </c>
    </row>
    <row r="415" spans="1:9" x14ac:dyDescent="0.3">
      <c r="A415" s="34">
        <v>414</v>
      </c>
      <c r="B415" s="34">
        <v>526</v>
      </c>
      <c r="C415" s="34" t="s">
        <v>5</v>
      </c>
      <c r="D415" s="34">
        <v>26</v>
      </c>
      <c r="E415" s="34">
        <v>7966</v>
      </c>
      <c r="F415" s="34">
        <v>30</v>
      </c>
      <c r="G415" s="34" t="s">
        <v>3</v>
      </c>
      <c r="H415" s="34" t="s">
        <v>4</v>
      </c>
      <c r="I415" s="39">
        <v>0.81065286206277087</v>
      </c>
    </row>
    <row r="416" spans="1:9" x14ac:dyDescent="0.3">
      <c r="A416" s="34">
        <v>415</v>
      </c>
      <c r="B416" s="34">
        <v>127</v>
      </c>
      <c r="C416" s="34" t="s">
        <v>5</v>
      </c>
      <c r="D416" s="34">
        <v>12</v>
      </c>
      <c r="E416" s="34">
        <v>701</v>
      </c>
      <c r="F416" s="34">
        <v>40</v>
      </c>
      <c r="G416" s="34" t="s">
        <v>11</v>
      </c>
      <c r="H416" s="34" t="s">
        <v>4</v>
      </c>
      <c r="I416" s="39">
        <v>0.81094247999995117</v>
      </c>
    </row>
    <row r="417" spans="1:9" x14ac:dyDescent="0.3">
      <c r="A417" s="34">
        <v>416</v>
      </c>
      <c r="B417" s="34">
        <v>550</v>
      </c>
      <c r="C417" s="34" t="s">
        <v>5</v>
      </c>
      <c r="D417" s="34">
        <v>48</v>
      </c>
      <c r="E417" s="34">
        <v>8858</v>
      </c>
      <c r="F417" s="34">
        <v>35</v>
      </c>
      <c r="G417" s="34" t="s">
        <v>3</v>
      </c>
      <c r="H417" s="34" t="s">
        <v>8</v>
      </c>
      <c r="I417" s="39">
        <v>0.813686297326494</v>
      </c>
    </row>
    <row r="418" spans="1:9" x14ac:dyDescent="0.3">
      <c r="A418" s="34">
        <v>417</v>
      </c>
      <c r="B418" s="34">
        <v>207</v>
      </c>
      <c r="C418" s="34" t="s">
        <v>5</v>
      </c>
      <c r="D418" s="34">
        <v>12</v>
      </c>
      <c r="E418" s="34">
        <v>1935</v>
      </c>
      <c r="F418" s="34">
        <v>43</v>
      </c>
      <c r="G418" s="34" t="s">
        <v>3</v>
      </c>
      <c r="H418" s="34" t="s">
        <v>4</v>
      </c>
      <c r="I418" s="39">
        <v>0.81705787641952854</v>
      </c>
    </row>
    <row r="419" spans="1:9" x14ac:dyDescent="0.3">
      <c r="A419" s="34">
        <v>418</v>
      </c>
      <c r="B419" s="34">
        <v>618</v>
      </c>
      <c r="C419" s="34" t="s">
        <v>5</v>
      </c>
      <c r="D419" s="34">
        <v>6</v>
      </c>
      <c r="E419" s="34">
        <v>3676</v>
      </c>
      <c r="F419" s="34">
        <v>37</v>
      </c>
      <c r="G419" s="34" t="s">
        <v>3</v>
      </c>
      <c r="H419" s="34" t="s">
        <v>9</v>
      </c>
      <c r="I419" s="39">
        <v>0.81818759960526044</v>
      </c>
    </row>
    <row r="420" spans="1:9" x14ac:dyDescent="0.3">
      <c r="A420" s="34">
        <v>419</v>
      </c>
      <c r="B420" s="34">
        <v>533</v>
      </c>
      <c r="C420" s="34" t="s">
        <v>5</v>
      </c>
      <c r="D420" s="34">
        <v>12</v>
      </c>
      <c r="E420" s="34">
        <v>1503</v>
      </c>
      <c r="F420" s="34">
        <v>41</v>
      </c>
      <c r="G420" s="34" t="s">
        <v>11</v>
      </c>
      <c r="H420" s="34" t="s">
        <v>9</v>
      </c>
      <c r="I420" s="39">
        <v>0.82006997012316873</v>
      </c>
    </row>
    <row r="421" spans="1:9" x14ac:dyDescent="0.3">
      <c r="A421" s="34">
        <v>420</v>
      </c>
      <c r="B421" s="34">
        <v>607</v>
      </c>
      <c r="C421" s="34" t="s">
        <v>5</v>
      </c>
      <c r="D421" s="34">
        <v>24</v>
      </c>
      <c r="E421" s="34">
        <v>4526</v>
      </c>
      <c r="F421" s="34">
        <v>74</v>
      </c>
      <c r="G421" s="34" t="s">
        <v>3</v>
      </c>
      <c r="H421" s="34" t="s">
        <v>4</v>
      </c>
      <c r="I421" s="39">
        <v>0.82352705506748314</v>
      </c>
    </row>
    <row r="422" spans="1:9" x14ac:dyDescent="0.3">
      <c r="A422" s="34">
        <v>421</v>
      </c>
      <c r="B422" s="34">
        <v>985</v>
      </c>
      <c r="C422" s="34" t="s">
        <v>5</v>
      </c>
      <c r="D422" s="34">
        <v>24</v>
      </c>
      <c r="E422" s="34">
        <v>2028</v>
      </c>
      <c r="F422" s="34">
        <v>30</v>
      </c>
      <c r="G422" s="34" t="s">
        <v>3</v>
      </c>
      <c r="H422" s="34" t="s">
        <v>4</v>
      </c>
      <c r="I422" s="39">
        <v>0.82493492315363659</v>
      </c>
    </row>
    <row r="423" spans="1:9" x14ac:dyDescent="0.3">
      <c r="A423" s="34">
        <v>422</v>
      </c>
      <c r="B423" s="34">
        <v>166</v>
      </c>
      <c r="C423" s="34" t="s">
        <v>5</v>
      </c>
      <c r="D423" s="34">
        <v>6</v>
      </c>
      <c r="E423" s="34">
        <v>2978</v>
      </c>
      <c r="F423" s="34">
        <v>32</v>
      </c>
      <c r="G423" s="34" t="s">
        <v>3</v>
      </c>
      <c r="H423" s="34" t="s">
        <v>4</v>
      </c>
      <c r="I423" s="39">
        <v>0.82845238322523784</v>
      </c>
    </row>
    <row r="424" spans="1:9" x14ac:dyDescent="0.3">
      <c r="A424" s="34">
        <v>423</v>
      </c>
      <c r="B424" s="34">
        <v>85</v>
      </c>
      <c r="C424" s="34" t="s">
        <v>5</v>
      </c>
      <c r="D424" s="34">
        <v>10</v>
      </c>
      <c r="E424" s="34">
        <v>2315</v>
      </c>
      <c r="F424" s="34">
        <v>52</v>
      </c>
      <c r="G424" s="34" t="s">
        <v>3</v>
      </c>
      <c r="H424" s="34" t="s">
        <v>4</v>
      </c>
      <c r="I424" s="39">
        <v>0.82975633981175423</v>
      </c>
    </row>
    <row r="425" spans="1:9" x14ac:dyDescent="0.3">
      <c r="A425" s="34">
        <v>424</v>
      </c>
      <c r="B425" s="34">
        <v>998</v>
      </c>
      <c r="C425" s="34" t="s">
        <v>5</v>
      </c>
      <c r="D425" s="34">
        <v>12</v>
      </c>
      <c r="E425" s="34">
        <v>804</v>
      </c>
      <c r="F425" s="34">
        <v>38</v>
      </c>
      <c r="G425" s="34" t="s">
        <v>3</v>
      </c>
      <c r="H425" s="34" t="s">
        <v>4</v>
      </c>
      <c r="I425" s="39">
        <v>0.8338131064746267</v>
      </c>
    </row>
    <row r="426" spans="1:9" x14ac:dyDescent="0.3">
      <c r="A426" s="34">
        <v>425</v>
      </c>
      <c r="B426" s="34">
        <v>99</v>
      </c>
      <c r="C426" s="34" t="s">
        <v>5</v>
      </c>
      <c r="D426" s="34">
        <v>36</v>
      </c>
      <c r="E426" s="34">
        <v>2337</v>
      </c>
      <c r="F426" s="34">
        <v>36</v>
      </c>
      <c r="G426" s="34" t="s">
        <v>3</v>
      </c>
      <c r="H426" s="34" t="s">
        <v>4</v>
      </c>
      <c r="I426" s="39">
        <v>0.83665621244387312</v>
      </c>
    </row>
    <row r="427" spans="1:9" x14ac:dyDescent="0.3">
      <c r="A427" s="34">
        <v>426</v>
      </c>
      <c r="B427" s="34">
        <v>165</v>
      </c>
      <c r="C427" s="34" t="s">
        <v>5</v>
      </c>
      <c r="D427" s="34">
        <v>36</v>
      </c>
      <c r="E427" s="34">
        <v>909</v>
      </c>
      <c r="F427" s="34">
        <v>36</v>
      </c>
      <c r="G427" s="34" t="s">
        <v>3</v>
      </c>
      <c r="H427" s="34" t="s">
        <v>4</v>
      </c>
      <c r="I427" s="39">
        <v>0.83835660266070144</v>
      </c>
    </row>
    <row r="428" spans="1:9" x14ac:dyDescent="0.3">
      <c r="A428" s="34">
        <v>427</v>
      </c>
      <c r="B428" s="34">
        <v>685</v>
      </c>
      <c r="C428" s="34" t="s">
        <v>5</v>
      </c>
      <c r="D428" s="34">
        <v>36</v>
      </c>
      <c r="E428" s="34">
        <v>9857</v>
      </c>
      <c r="F428" s="34">
        <v>31</v>
      </c>
      <c r="G428" s="34" t="s">
        <v>3</v>
      </c>
      <c r="H428" s="34" t="s">
        <v>4</v>
      </c>
      <c r="I428" s="39">
        <v>0.83962129245080996</v>
      </c>
    </row>
    <row r="429" spans="1:9" x14ac:dyDescent="0.3">
      <c r="A429" s="34">
        <v>428</v>
      </c>
      <c r="B429" s="34">
        <v>54</v>
      </c>
      <c r="C429" s="34" t="s">
        <v>5</v>
      </c>
      <c r="D429" s="34">
        <v>18</v>
      </c>
      <c r="E429" s="34">
        <v>3378</v>
      </c>
      <c r="F429" s="34">
        <v>31</v>
      </c>
      <c r="G429" s="34" t="s">
        <v>3</v>
      </c>
      <c r="H429" s="34" t="s">
        <v>4</v>
      </c>
      <c r="I429" s="39">
        <v>0.84098269038989737</v>
      </c>
    </row>
    <row r="430" spans="1:9" x14ac:dyDescent="0.3">
      <c r="A430" s="34">
        <v>429</v>
      </c>
      <c r="B430" s="34">
        <v>807</v>
      </c>
      <c r="C430" s="34" t="s">
        <v>5</v>
      </c>
      <c r="D430" s="34">
        <v>6</v>
      </c>
      <c r="E430" s="34">
        <v>590</v>
      </c>
      <c r="F430" s="34">
        <v>26</v>
      </c>
      <c r="G430" s="34" t="s">
        <v>11</v>
      </c>
      <c r="H430" s="34" t="s">
        <v>4</v>
      </c>
      <c r="I430" s="39">
        <v>0.84659733682928195</v>
      </c>
    </row>
    <row r="431" spans="1:9" x14ac:dyDescent="0.3">
      <c r="A431" s="34">
        <v>430</v>
      </c>
      <c r="B431" s="34">
        <v>372</v>
      </c>
      <c r="C431" s="34" t="s">
        <v>5</v>
      </c>
      <c r="D431" s="34">
        <v>18</v>
      </c>
      <c r="E431" s="34">
        <v>6070</v>
      </c>
      <c r="F431" s="34">
        <v>33</v>
      </c>
      <c r="G431" s="34" t="s">
        <v>3</v>
      </c>
      <c r="H431" s="34" t="s">
        <v>4</v>
      </c>
      <c r="I431" s="39">
        <v>0.84897158016302443</v>
      </c>
    </row>
    <row r="432" spans="1:9" x14ac:dyDescent="0.3">
      <c r="A432" s="34">
        <v>431</v>
      </c>
      <c r="B432" s="34">
        <v>849</v>
      </c>
      <c r="C432" s="34" t="s">
        <v>5</v>
      </c>
      <c r="D432" s="34">
        <v>9</v>
      </c>
      <c r="E432" s="34">
        <v>1364</v>
      </c>
      <c r="F432" s="34">
        <v>59</v>
      </c>
      <c r="G432" s="34" t="s">
        <v>3</v>
      </c>
      <c r="H432" s="34" t="s">
        <v>4</v>
      </c>
      <c r="I432" s="39">
        <v>0.85058469255505531</v>
      </c>
    </row>
    <row r="433" spans="1:9" x14ac:dyDescent="0.3">
      <c r="A433" s="34">
        <v>432</v>
      </c>
      <c r="B433" s="34">
        <v>123</v>
      </c>
      <c r="C433" s="34" t="s">
        <v>5</v>
      </c>
      <c r="D433" s="34">
        <v>12</v>
      </c>
      <c r="E433" s="34">
        <v>1768</v>
      </c>
      <c r="F433" s="34">
        <v>24</v>
      </c>
      <c r="G433" s="34" t="s">
        <v>3</v>
      </c>
      <c r="H433" s="34" t="s">
        <v>9</v>
      </c>
      <c r="I433" s="39">
        <v>0.85266243199018843</v>
      </c>
    </row>
    <row r="434" spans="1:9" x14ac:dyDescent="0.3">
      <c r="A434" s="34">
        <v>433</v>
      </c>
      <c r="B434" s="34">
        <v>809</v>
      </c>
      <c r="C434" s="34" t="s">
        <v>5</v>
      </c>
      <c r="D434" s="34">
        <v>42</v>
      </c>
      <c r="E434" s="34">
        <v>9283</v>
      </c>
      <c r="F434" s="34">
        <v>55</v>
      </c>
      <c r="G434" s="34" t="s">
        <v>3</v>
      </c>
      <c r="H434" s="34" t="s">
        <v>8</v>
      </c>
      <c r="I434" s="39">
        <v>0.85402682376745931</v>
      </c>
    </row>
    <row r="435" spans="1:9" x14ac:dyDescent="0.3">
      <c r="A435" s="34">
        <v>434</v>
      </c>
      <c r="B435" s="34">
        <v>3</v>
      </c>
      <c r="C435" s="34" t="s">
        <v>5</v>
      </c>
      <c r="D435" s="34">
        <v>12</v>
      </c>
      <c r="E435" s="34">
        <v>2096</v>
      </c>
      <c r="F435" s="34">
        <v>49</v>
      </c>
      <c r="G435" s="34" t="s">
        <v>3</v>
      </c>
      <c r="H435" s="34" t="s">
        <v>4</v>
      </c>
      <c r="I435" s="39">
        <v>0.85500290414863611</v>
      </c>
    </row>
    <row r="436" spans="1:9" x14ac:dyDescent="0.3">
      <c r="A436" s="34">
        <v>435</v>
      </c>
      <c r="B436" s="34">
        <v>433</v>
      </c>
      <c r="C436" s="34" t="s">
        <v>5</v>
      </c>
      <c r="D436" s="34">
        <v>6</v>
      </c>
      <c r="E436" s="34">
        <v>1872</v>
      </c>
      <c r="F436" s="34">
        <v>36</v>
      </c>
      <c r="G436" s="34" t="s">
        <v>3</v>
      </c>
      <c r="H436" s="34" t="s">
        <v>8</v>
      </c>
      <c r="I436" s="39">
        <v>0.85822919525039265</v>
      </c>
    </row>
    <row r="437" spans="1:9" x14ac:dyDescent="0.3">
      <c r="A437" s="34">
        <v>436</v>
      </c>
      <c r="B437" s="34">
        <v>645</v>
      </c>
      <c r="C437" s="34" t="s">
        <v>5</v>
      </c>
      <c r="D437" s="34">
        <v>18</v>
      </c>
      <c r="E437" s="34">
        <v>1880</v>
      </c>
      <c r="F437" s="34">
        <v>32</v>
      </c>
      <c r="G437" s="34" t="s">
        <v>11</v>
      </c>
      <c r="H437" s="34" t="s">
        <v>4</v>
      </c>
      <c r="I437" s="39">
        <v>0.85901280857578877</v>
      </c>
    </row>
    <row r="438" spans="1:9" x14ac:dyDescent="0.3">
      <c r="A438" s="34">
        <v>437</v>
      </c>
      <c r="B438" s="34">
        <v>957</v>
      </c>
      <c r="C438" s="34" t="s">
        <v>5</v>
      </c>
      <c r="D438" s="34">
        <v>30</v>
      </c>
      <c r="E438" s="34">
        <v>3656</v>
      </c>
      <c r="F438" s="34">
        <v>49</v>
      </c>
      <c r="G438" s="34" t="s">
        <v>3</v>
      </c>
      <c r="H438" s="34" t="s">
        <v>4</v>
      </c>
      <c r="I438" s="39">
        <v>0.86024746760830084</v>
      </c>
    </row>
    <row r="439" spans="1:9" x14ac:dyDescent="0.3">
      <c r="A439" s="34">
        <v>438</v>
      </c>
      <c r="B439" s="34">
        <v>31</v>
      </c>
      <c r="C439" s="34" t="s">
        <v>5</v>
      </c>
      <c r="D439" s="34">
        <v>18</v>
      </c>
      <c r="E439" s="34">
        <v>1913</v>
      </c>
      <c r="F439" s="34">
        <v>36</v>
      </c>
      <c r="G439" s="34" t="s">
        <v>11</v>
      </c>
      <c r="H439" s="34" t="s">
        <v>4</v>
      </c>
      <c r="I439" s="39">
        <v>0.86050851330578149</v>
      </c>
    </row>
    <row r="440" spans="1:9" x14ac:dyDescent="0.3">
      <c r="A440" s="34">
        <v>439</v>
      </c>
      <c r="B440" s="34">
        <v>792</v>
      </c>
      <c r="C440" s="34" t="s">
        <v>5</v>
      </c>
      <c r="D440" s="34">
        <v>24</v>
      </c>
      <c r="E440" s="34">
        <v>6313</v>
      </c>
      <c r="F440" s="34">
        <v>41</v>
      </c>
      <c r="G440" s="34" t="s">
        <v>3</v>
      </c>
      <c r="H440" s="34" t="s">
        <v>4</v>
      </c>
      <c r="I440" s="39">
        <v>0.86794620477284057</v>
      </c>
    </row>
    <row r="441" spans="1:9" x14ac:dyDescent="0.3">
      <c r="A441" s="34">
        <v>440</v>
      </c>
      <c r="B441" s="34">
        <v>868</v>
      </c>
      <c r="C441" s="34" t="s">
        <v>5</v>
      </c>
      <c r="D441" s="34">
        <v>12</v>
      </c>
      <c r="E441" s="34">
        <v>3331</v>
      </c>
      <c r="F441" s="34">
        <v>42</v>
      </c>
      <c r="G441" s="34" t="s">
        <v>3</v>
      </c>
      <c r="H441" s="34" t="s">
        <v>4</v>
      </c>
      <c r="I441" s="39">
        <v>0.87460905800434607</v>
      </c>
    </row>
    <row r="442" spans="1:9" x14ac:dyDescent="0.3">
      <c r="A442" s="34">
        <v>441</v>
      </c>
      <c r="B442" s="34">
        <v>134</v>
      </c>
      <c r="C442" s="34" t="s">
        <v>5</v>
      </c>
      <c r="D442" s="34">
        <v>18</v>
      </c>
      <c r="E442" s="34">
        <v>1984</v>
      </c>
      <c r="F442" s="34">
        <v>47</v>
      </c>
      <c r="G442" s="34" t="s">
        <v>3</v>
      </c>
      <c r="H442" s="34" t="s">
        <v>8</v>
      </c>
      <c r="I442" s="39">
        <v>0.87614220831556755</v>
      </c>
    </row>
    <row r="443" spans="1:9" x14ac:dyDescent="0.3">
      <c r="A443" s="34">
        <v>442</v>
      </c>
      <c r="B443" s="34">
        <v>727</v>
      </c>
      <c r="C443" s="34" t="s">
        <v>5</v>
      </c>
      <c r="D443" s="34">
        <v>15</v>
      </c>
      <c r="E443" s="34">
        <v>1316</v>
      </c>
      <c r="F443" s="34">
        <v>47</v>
      </c>
      <c r="G443" s="34" t="s">
        <v>11</v>
      </c>
      <c r="H443" s="34" t="s">
        <v>4</v>
      </c>
      <c r="I443" s="39">
        <v>0.87672503009129388</v>
      </c>
    </row>
    <row r="444" spans="1:9" x14ac:dyDescent="0.3">
      <c r="A444" s="34">
        <v>443</v>
      </c>
      <c r="B444" s="34">
        <v>159</v>
      </c>
      <c r="C444" s="34" t="s">
        <v>5</v>
      </c>
      <c r="D444" s="34">
        <v>24</v>
      </c>
      <c r="E444" s="34">
        <v>3512</v>
      </c>
      <c r="F444" s="34">
        <v>38</v>
      </c>
      <c r="G444" s="34" t="s">
        <v>3</v>
      </c>
      <c r="H444" s="34" t="s">
        <v>4</v>
      </c>
      <c r="I444" s="39">
        <v>0.87821213138227794</v>
      </c>
    </row>
    <row r="445" spans="1:9" x14ac:dyDescent="0.3">
      <c r="A445" s="34">
        <v>444</v>
      </c>
      <c r="B445" s="34">
        <v>691</v>
      </c>
      <c r="C445" s="34" t="s">
        <v>5</v>
      </c>
      <c r="D445" s="34">
        <v>15</v>
      </c>
      <c r="E445" s="34">
        <v>975</v>
      </c>
      <c r="F445" s="34">
        <v>25</v>
      </c>
      <c r="G445" s="34" t="s">
        <v>10</v>
      </c>
      <c r="H445" s="34" t="s">
        <v>4</v>
      </c>
      <c r="I445" s="39">
        <v>0.87833728539439515</v>
      </c>
    </row>
    <row r="446" spans="1:9" x14ac:dyDescent="0.3">
      <c r="A446" s="34">
        <v>445</v>
      </c>
      <c r="B446" s="34">
        <v>424</v>
      </c>
      <c r="C446" s="34" t="s">
        <v>5</v>
      </c>
      <c r="D446" s="34">
        <v>21</v>
      </c>
      <c r="E446" s="34">
        <v>1591</v>
      </c>
      <c r="F446" s="34">
        <v>34</v>
      </c>
      <c r="G446" s="34" t="s">
        <v>3</v>
      </c>
      <c r="H446" s="34" t="s">
        <v>4</v>
      </c>
      <c r="I446" s="39">
        <v>0.87842189604564813</v>
      </c>
    </row>
    <row r="447" spans="1:9" x14ac:dyDescent="0.3">
      <c r="A447" s="34">
        <v>446</v>
      </c>
      <c r="B447" s="34">
        <v>670</v>
      </c>
      <c r="C447" s="34" t="s">
        <v>5</v>
      </c>
      <c r="D447" s="34">
        <v>30</v>
      </c>
      <c r="E447" s="34">
        <v>3017</v>
      </c>
      <c r="F447" s="34">
        <v>47</v>
      </c>
      <c r="G447" s="34" t="s">
        <v>3</v>
      </c>
      <c r="H447" s="34" t="s">
        <v>4</v>
      </c>
      <c r="I447" s="39">
        <v>0.87867651115539669</v>
      </c>
    </row>
    <row r="448" spans="1:9" x14ac:dyDescent="0.3">
      <c r="A448" s="34">
        <v>447</v>
      </c>
      <c r="B448" s="34">
        <v>908</v>
      </c>
      <c r="C448" s="34" t="s">
        <v>5</v>
      </c>
      <c r="D448" s="34">
        <v>36</v>
      </c>
      <c r="E448" s="34">
        <v>3711</v>
      </c>
      <c r="F448" s="34">
        <v>27</v>
      </c>
      <c r="G448" s="34" t="s">
        <v>11</v>
      </c>
      <c r="H448" s="34" t="s">
        <v>4</v>
      </c>
      <c r="I448" s="39">
        <v>0.88024703276390071</v>
      </c>
    </row>
    <row r="449" spans="1:9" x14ac:dyDescent="0.3">
      <c r="A449" s="34">
        <v>448</v>
      </c>
      <c r="B449" s="34">
        <v>464</v>
      </c>
      <c r="C449" s="34" t="s">
        <v>5</v>
      </c>
      <c r="D449" s="34">
        <v>12</v>
      </c>
      <c r="E449" s="34">
        <v>754</v>
      </c>
      <c r="F449" s="34">
        <v>38</v>
      </c>
      <c r="G449" s="34" t="s">
        <v>3</v>
      </c>
      <c r="H449" s="34" t="s">
        <v>4</v>
      </c>
      <c r="I449" s="39">
        <v>0.88252427400288957</v>
      </c>
    </row>
    <row r="450" spans="1:9" x14ac:dyDescent="0.3">
      <c r="A450" s="34">
        <v>449</v>
      </c>
      <c r="B450" s="34">
        <v>666</v>
      </c>
      <c r="C450" s="34" t="s">
        <v>5</v>
      </c>
      <c r="D450" s="34">
        <v>24</v>
      </c>
      <c r="E450" s="34">
        <v>6314</v>
      </c>
      <c r="F450" s="34">
        <v>27</v>
      </c>
      <c r="G450" s="34" t="s">
        <v>3</v>
      </c>
      <c r="H450" s="34" t="s">
        <v>4</v>
      </c>
      <c r="I450" s="39">
        <v>0.88516248304255429</v>
      </c>
    </row>
    <row r="451" spans="1:9" x14ac:dyDescent="0.3">
      <c r="A451" s="34">
        <v>450</v>
      </c>
      <c r="B451" s="34">
        <v>51</v>
      </c>
      <c r="C451" s="34" t="s">
        <v>5</v>
      </c>
      <c r="D451" s="34">
        <v>24</v>
      </c>
      <c r="E451" s="34">
        <v>2333</v>
      </c>
      <c r="F451" s="34">
        <v>29</v>
      </c>
      <c r="G451" s="34" t="s">
        <v>3</v>
      </c>
      <c r="H451" s="34" t="s">
        <v>4</v>
      </c>
      <c r="I451" s="39">
        <v>0.89297038800559581</v>
      </c>
    </row>
    <row r="452" spans="1:9" x14ac:dyDescent="0.3">
      <c r="A452" s="34">
        <v>451</v>
      </c>
      <c r="B452" s="34">
        <v>730</v>
      </c>
      <c r="C452" s="34" t="s">
        <v>5</v>
      </c>
      <c r="D452" s="34">
        <v>24</v>
      </c>
      <c r="E452" s="34">
        <v>1275</v>
      </c>
      <c r="F452" s="34">
        <v>36</v>
      </c>
      <c r="G452" s="34" t="s">
        <v>10</v>
      </c>
      <c r="H452" s="34" t="s">
        <v>4</v>
      </c>
      <c r="I452" s="39">
        <v>0.89532378562021631</v>
      </c>
    </row>
    <row r="453" spans="1:9" x14ac:dyDescent="0.3">
      <c r="A453" s="34">
        <v>452</v>
      </c>
      <c r="B453" s="34">
        <v>600</v>
      </c>
      <c r="C453" s="34" t="s">
        <v>5</v>
      </c>
      <c r="D453" s="34">
        <v>24</v>
      </c>
      <c r="E453" s="34">
        <v>3863</v>
      </c>
      <c r="F453" s="34">
        <v>32</v>
      </c>
      <c r="G453" s="34" t="s">
        <v>3</v>
      </c>
      <c r="H453" s="34" t="s">
        <v>8</v>
      </c>
      <c r="I453" s="39">
        <v>0.89639706490128745</v>
      </c>
    </row>
    <row r="454" spans="1:9" x14ac:dyDescent="0.3">
      <c r="A454" s="34">
        <v>453</v>
      </c>
      <c r="B454" s="34">
        <v>180</v>
      </c>
      <c r="C454" s="34" t="s">
        <v>5</v>
      </c>
      <c r="D454" s="34">
        <v>21</v>
      </c>
      <c r="E454" s="34">
        <v>571</v>
      </c>
      <c r="F454" s="34">
        <v>65</v>
      </c>
      <c r="G454" s="34" t="s">
        <v>3</v>
      </c>
      <c r="H454" s="34" t="s">
        <v>4</v>
      </c>
      <c r="I454" s="39">
        <v>0.90445948153848676</v>
      </c>
    </row>
    <row r="455" spans="1:9" x14ac:dyDescent="0.3">
      <c r="A455" s="34">
        <v>454</v>
      </c>
      <c r="B455" s="34">
        <v>861</v>
      </c>
      <c r="C455" s="34" t="s">
        <v>5</v>
      </c>
      <c r="D455" s="34">
        <v>24</v>
      </c>
      <c r="E455" s="34">
        <v>5804</v>
      </c>
      <c r="F455" s="34">
        <v>27</v>
      </c>
      <c r="G455" s="34" t="s">
        <v>3</v>
      </c>
      <c r="H455" s="34" t="s">
        <v>4</v>
      </c>
      <c r="I455" s="39">
        <v>0.90578311788258115</v>
      </c>
    </row>
    <row r="456" spans="1:9" x14ac:dyDescent="0.3">
      <c r="A456" s="34">
        <v>455</v>
      </c>
      <c r="B456" s="34">
        <v>111</v>
      </c>
      <c r="C456" s="34" t="s">
        <v>5</v>
      </c>
      <c r="D456" s="34">
        <v>6</v>
      </c>
      <c r="E456" s="34">
        <v>1449</v>
      </c>
      <c r="F456" s="34">
        <v>31</v>
      </c>
      <c r="G456" s="34" t="s">
        <v>10</v>
      </c>
      <c r="H456" s="34" t="s">
        <v>4</v>
      </c>
      <c r="I456" s="39">
        <v>0.90704934348441468</v>
      </c>
    </row>
    <row r="457" spans="1:9" x14ac:dyDescent="0.3">
      <c r="A457" s="34">
        <v>456</v>
      </c>
      <c r="B457" s="34">
        <v>20</v>
      </c>
      <c r="C457" s="34" t="s">
        <v>5</v>
      </c>
      <c r="D457" s="34">
        <v>24</v>
      </c>
      <c r="E457" s="34">
        <v>3430</v>
      </c>
      <c r="F457" s="34">
        <v>31</v>
      </c>
      <c r="G457" s="34" t="s">
        <v>3</v>
      </c>
      <c r="H457" s="34" t="s">
        <v>4</v>
      </c>
      <c r="I457" s="39">
        <v>0.91262342904692961</v>
      </c>
    </row>
    <row r="458" spans="1:9" x14ac:dyDescent="0.3">
      <c r="A458" s="34">
        <v>457</v>
      </c>
      <c r="B458" s="34">
        <v>478</v>
      </c>
      <c r="C458" s="34" t="s">
        <v>5</v>
      </c>
      <c r="D458" s="34">
        <v>24</v>
      </c>
      <c r="E458" s="34">
        <v>5152</v>
      </c>
      <c r="F458" s="34">
        <v>25</v>
      </c>
      <c r="G458" s="34" t="s">
        <v>3</v>
      </c>
      <c r="H458" s="34" t="s">
        <v>4</v>
      </c>
      <c r="I458" s="39">
        <v>0.91905885099229112</v>
      </c>
    </row>
    <row r="459" spans="1:9" x14ac:dyDescent="0.3">
      <c r="A459" s="34">
        <v>458</v>
      </c>
      <c r="B459" s="34">
        <v>697</v>
      </c>
      <c r="C459" s="34" t="s">
        <v>5</v>
      </c>
      <c r="D459" s="34">
        <v>12</v>
      </c>
      <c r="E459" s="34">
        <v>1103</v>
      </c>
      <c r="F459" s="34">
        <v>29</v>
      </c>
      <c r="G459" s="34" t="s">
        <v>3</v>
      </c>
      <c r="H459" s="34" t="s">
        <v>4</v>
      </c>
      <c r="I459" s="39">
        <v>0.92283586728945244</v>
      </c>
    </row>
    <row r="460" spans="1:9" x14ac:dyDescent="0.3">
      <c r="A460" s="34">
        <v>459</v>
      </c>
      <c r="B460" s="34">
        <v>882</v>
      </c>
      <c r="C460" s="34" t="s">
        <v>5</v>
      </c>
      <c r="D460" s="34">
        <v>24</v>
      </c>
      <c r="E460" s="34">
        <v>9277</v>
      </c>
      <c r="F460" s="34">
        <v>48</v>
      </c>
      <c r="G460" s="34" t="s">
        <v>10</v>
      </c>
      <c r="H460" s="34" t="s">
        <v>8</v>
      </c>
      <c r="I460" s="39">
        <v>0.92872088288900612</v>
      </c>
    </row>
    <row r="461" spans="1:9" x14ac:dyDescent="0.3">
      <c r="A461" s="34">
        <v>460</v>
      </c>
      <c r="B461" s="34">
        <v>407</v>
      </c>
      <c r="C461" s="34" t="s">
        <v>5</v>
      </c>
      <c r="D461" s="34">
        <v>24</v>
      </c>
      <c r="E461" s="34">
        <v>2197</v>
      </c>
      <c r="F461" s="34">
        <v>43</v>
      </c>
      <c r="G461" s="34" t="s">
        <v>3</v>
      </c>
      <c r="H461" s="34" t="s">
        <v>4</v>
      </c>
      <c r="I461" s="39">
        <v>0.93153017558004503</v>
      </c>
    </row>
    <row r="462" spans="1:9" x14ac:dyDescent="0.3">
      <c r="A462" s="34">
        <v>461</v>
      </c>
      <c r="B462" s="34">
        <v>933</v>
      </c>
      <c r="C462" s="34" t="s">
        <v>5</v>
      </c>
      <c r="D462" s="34">
        <v>9</v>
      </c>
      <c r="E462" s="34">
        <v>1224</v>
      </c>
      <c r="F462" s="34">
        <v>30</v>
      </c>
      <c r="G462" s="34" t="s">
        <v>3</v>
      </c>
      <c r="H462" s="34" t="s">
        <v>4</v>
      </c>
      <c r="I462" s="39">
        <v>0.93182201820211341</v>
      </c>
    </row>
    <row r="463" spans="1:9" x14ac:dyDescent="0.3">
      <c r="A463" s="34">
        <v>462</v>
      </c>
      <c r="B463" s="34">
        <v>485</v>
      </c>
      <c r="C463" s="34" t="s">
        <v>5</v>
      </c>
      <c r="D463" s="34">
        <v>12</v>
      </c>
      <c r="E463" s="34">
        <v>1163</v>
      </c>
      <c r="F463" s="34">
        <v>44</v>
      </c>
      <c r="G463" s="34" t="s">
        <v>3</v>
      </c>
      <c r="H463" s="34" t="s">
        <v>4</v>
      </c>
      <c r="I463" s="39">
        <v>0.93679198296680311</v>
      </c>
    </row>
    <row r="464" spans="1:9" x14ac:dyDescent="0.3">
      <c r="A464" s="34">
        <v>463</v>
      </c>
      <c r="B464" s="34">
        <v>219</v>
      </c>
      <c r="C464" s="34" t="s">
        <v>5</v>
      </c>
      <c r="D464" s="34">
        <v>24</v>
      </c>
      <c r="E464" s="34">
        <v>3021</v>
      </c>
      <c r="F464" s="34">
        <v>24</v>
      </c>
      <c r="G464" s="34" t="s">
        <v>10</v>
      </c>
      <c r="H464" s="34" t="s">
        <v>9</v>
      </c>
      <c r="I464" s="39">
        <v>0.93708656765508125</v>
      </c>
    </row>
    <row r="465" spans="1:9" x14ac:dyDescent="0.3">
      <c r="A465" s="34">
        <v>464</v>
      </c>
      <c r="B465" s="34">
        <v>234</v>
      </c>
      <c r="C465" s="34" t="s">
        <v>5</v>
      </c>
      <c r="D465" s="34">
        <v>18</v>
      </c>
      <c r="E465" s="34">
        <v>866</v>
      </c>
      <c r="F465" s="34">
        <v>25</v>
      </c>
      <c r="G465" s="34" t="s">
        <v>11</v>
      </c>
      <c r="H465" s="34" t="s">
        <v>4</v>
      </c>
      <c r="I465" s="39">
        <v>0.93757904525964342</v>
      </c>
    </row>
    <row r="466" spans="1:9" x14ac:dyDescent="0.3">
      <c r="A466" s="34">
        <v>465</v>
      </c>
      <c r="B466" s="34">
        <v>718</v>
      </c>
      <c r="C466" s="34" t="s">
        <v>5</v>
      </c>
      <c r="D466" s="34">
        <v>18</v>
      </c>
      <c r="E466" s="34">
        <v>1505</v>
      </c>
      <c r="F466" s="34">
        <v>32</v>
      </c>
      <c r="G466" s="34" t="s">
        <v>3</v>
      </c>
      <c r="H466" s="34" t="s">
        <v>8</v>
      </c>
      <c r="I466" s="39">
        <v>0.94251706944335789</v>
      </c>
    </row>
    <row r="467" spans="1:9" x14ac:dyDescent="0.3">
      <c r="A467" s="34">
        <v>466</v>
      </c>
      <c r="B467" s="34">
        <v>412</v>
      </c>
      <c r="C467" s="34" t="s">
        <v>5</v>
      </c>
      <c r="D467" s="34">
        <v>33</v>
      </c>
      <c r="E467" s="34">
        <v>7253</v>
      </c>
      <c r="F467" s="34">
        <v>35</v>
      </c>
      <c r="G467" s="34" t="s">
        <v>3</v>
      </c>
      <c r="H467" s="34" t="s">
        <v>4</v>
      </c>
      <c r="I467" s="39">
        <v>0.94440004334962568</v>
      </c>
    </row>
    <row r="468" spans="1:9" x14ac:dyDescent="0.3">
      <c r="A468" s="34">
        <v>467</v>
      </c>
      <c r="B468" s="34">
        <v>323</v>
      </c>
      <c r="C468" s="34" t="s">
        <v>5</v>
      </c>
      <c r="D468" s="34">
        <v>24</v>
      </c>
      <c r="E468" s="34">
        <v>2910</v>
      </c>
      <c r="F468" s="34">
        <v>34</v>
      </c>
      <c r="G468" s="34" t="s">
        <v>3</v>
      </c>
      <c r="H468" s="34" t="s">
        <v>8</v>
      </c>
      <c r="I468" s="39">
        <v>0.94468020056179436</v>
      </c>
    </row>
    <row r="469" spans="1:9" x14ac:dyDescent="0.3">
      <c r="A469" s="34">
        <v>468</v>
      </c>
      <c r="B469" s="34">
        <v>474</v>
      </c>
      <c r="C469" s="34" t="s">
        <v>5</v>
      </c>
      <c r="D469" s="34">
        <v>6</v>
      </c>
      <c r="E469" s="34">
        <v>1238</v>
      </c>
      <c r="F469" s="34">
        <v>36</v>
      </c>
      <c r="G469" s="34" t="s">
        <v>3</v>
      </c>
      <c r="H469" s="34" t="s">
        <v>4</v>
      </c>
      <c r="I469" s="39">
        <v>0.94914482214483953</v>
      </c>
    </row>
    <row r="470" spans="1:9" x14ac:dyDescent="0.3">
      <c r="A470" s="34">
        <v>469</v>
      </c>
      <c r="B470" s="34">
        <v>349</v>
      </c>
      <c r="C470" s="34" t="s">
        <v>5</v>
      </c>
      <c r="D470" s="34">
        <v>6</v>
      </c>
      <c r="E470" s="34">
        <v>1743</v>
      </c>
      <c r="F470" s="34">
        <v>34</v>
      </c>
      <c r="G470" s="34" t="s">
        <v>3</v>
      </c>
      <c r="H470" s="34" t="s">
        <v>4</v>
      </c>
      <c r="I470" s="39">
        <v>0.94977777498771876</v>
      </c>
    </row>
    <row r="471" spans="1:9" x14ac:dyDescent="0.3">
      <c r="A471" s="34">
        <v>470</v>
      </c>
      <c r="B471" s="34">
        <v>499</v>
      </c>
      <c r="C471" s="34" t="s">
        <v>5</v>
      </c>
      <c r="D471" s="34">
        <v>18</v>
      </c>
      <c r="E471" s="34">
        <v>1301</v>
      </c>
      <c r="F471" s="34">
        <v>32</v>
      </c>
      <c r="G471" s="34" t="s">
        <v>11</v>
      </c>
      <c r="H471" s="34" t="s">
        <v>4</v>
      </c>
      <c r="I471" s="39">
        <v>0.95381151533777109</v>
      </c>
    </row>
    <row r="472" spans="1:9" x14ac:dyDescent="0.3">
      <c r="A472" s="34">
        <v>471</v>
      </c>
      <c r="B472" s="34">
        <v>137</v>
      </c>
      <c r="C472" s="34" t="s">
        <v>5</v>
      </c>
      <c r="D472" s="34">
        <v>27</v>
      </c>
      <c r="E472" s="34">
        <v>8613</v>
      </c>
      <c r="F472" s="34">
        <v>27</v>
      </c>
      <c r="G472" s="34" t="s">
        <v>3</v>
      </c>
      <c r="H472" s="34" t="s">
        <v>4</v>
      </c>
      <c r="I472" s="39">
        <v>0.95573667752554792</v>
      </c>
    </row>
    <row r="473" spans="1:9" x14ac:dyDescent="0.3">
      <c r="A473" s="34">
        <v>472</v>
      </c>
      <c r="B473" s="34">
        <v>906</v>
      </c>
      <c r="C473" s="34" t="s">
        <v>5</v>
      </c>
      <c r="D473" s="34">
        <v>12</v>
      </c>
      <c r="E473" s="34">
        <v>1107</v>
      </c>
      <c r="F473" s="34">
        <v>20</v>
      </c>
      <c r="G473" s="34" t="s">
        <v>3</v>
      </c>
      <c r="H473" s="34" t="s">
        <v>9</v>
      </c>
      <c r="I473" s="39">
        <v>0.95594998298152833</v>
      </c>
    </row>
    <row r="474" spans="1:9" x14ac:dyDescent="0.3">
      <c r="A474" s="34">
        <v>473</v>
      </c>
      <c r="B474" s="34">
        <v>331</v>
      </c>
      <c r="C474" s="34" t="s">
        <v>5</v>
      </c>
      <c r="D474" s="34">
        <v>24</v>
      </c>
      <c r="E474" s="34">
        <v>6615</v>
      </c>
      <c r="F474" s="34">
        <v>75</v>
      </c>
      <c r="G474" s="34" t="s">
        <v>3</v>
      </c>
      <c r="H474" s="34" t="s">
        <v>8</v>
      </c>
      <c r="I474" s="39">
        <v>0.9562800779084234</v>
      </c>
    </row>
    <row r="475" spans="1:9" x14ac:dyDescent="0.3">
      <c r="A475" s="34">
        <v>474</v>
      </c>
      <c r="B475" s="34">
        <v>993</v>
      </c>
      <c r="C475" s="34" t="s">
        <v>5</v>
      </c>
      <c r="D475" s="34">
        <v>18</v>
      </c>
      <c r="E475" s="34">
        <v>1936</v>
      </c>
      <c r="F475" s="34">
        <v>23</v>
      </c>
      <c r="G475" s="34" t="s">
        <v>11</v>
      </c>
      <c r="H475" s="34" t="s">
        <v>9</v>
      </c>
      <c r="I475" s="39">
        <v>0.96092779702675335</v>
      </c>
    </row>
    <row r="476" spans="1:9" x14ac:dyDescent="0.3">
      <c r="A476" s="34">
        <v>475</v>
      </c>
      <c r="B476" s="34">
        <v>47</v>
      </c>
      <c r="C476" s="34" t="s">
        <v>5</v>
      </c>
      <c r="D476" s="34">
        <v>36</v>
      </c>
      <c r="E476" s="34">
        <v>2299</v>
      </c>
      <c r="F476" s="34">
        <v>39</v>
      </c>
      <c r="G476" s="34" t="s">
        <v>3</v>
      </c>
      <c r="H476" s="34" t="s">
        <v>4</v>
      </c>
      <c r="I476" s="39">
        <v>0.96373466659385831</v>
      </c>
    </row>
    <row r="477" spans="1:9" x14ac:dyDescent="0.3">
      <c r="A477" s="34">
        <v>476</v>
      </c>
      <c r="B477" s="34">
        <v>531</v>
      </c>
      <c r="C477" s="34" t="s">
        <v>5</v>
      </c>
      <c r="D477" s="34">
        <v>36</v>
      </c>
      <c r="E477" s="34">
        <v>2273</v>
      </c>
      <c r="F477" s="34">
        <v>32</v>
      </c>
      <c r="G477" s="34" t="s">
        <v>3</v>
      </c>
      <c r="H477" s="34" t="s">
        <v>4</v>
      </c>
      <c r="I477" s="39">
        <v>0.96487264288272001</v>
      </c>
    </row>
    <row r="478" spans="1:9" x14ac:dyDescent="0.3">
      <c r="A478" s="34">
        <v>477</v>
      </c>
      <c r="B478" s="34">
        <v>794</v>
      </c>
      <c r="C478" s="34" t="s">
        <v>5</v>
      </c>
      <c r="D478" s="34">
        <v>24</v>
      </c>
      <c r="E478" s="34">
        <v>2892</v>
      </c>
      <c r="F478" s="34">
        <v>51</v>
      </c>
      <c r="G478" s="34" t="s">
        <v>10</v>
      </c>
      <c r="H478" s="34" t="s">
        <v>8</v>
      </c>
      <c r="I478" s="39">
        <v>0.96656316988373259</v>
      </c>
    </row>
    <row r="479" spans="1:9" x14ac:dyDescent="0.3">
      <c r="A479" s="34">
        <v>478</v>
      </c>
      <c r="B479" s="34">
        <v>963</v>
      </c>
      <c r="C479" s="34" t="s">
        <v>5</v>
      </c>
      <c r="D479" s="34">
        <v>15</v>
      </c>
      <c r="E479" s="34">
        <v>3556</v>
      </c>
      <c r="F479" s="34">
        <v>29</v>
      </c>
      <c r="G479" s="34" t="s">
        <v>3</v>
      </c>
      <c r="H479" s="34" t="s">
        <v>4</v>
      </c>
      <c r="I479" s="39">
        <v>0.96704838294393602</v>
      </c>
    </row>
    <row r="480" spans="1:9" x14ac:dyDescent="0.3">
      <c r="A480" s="34">
        <v>479</v>
      </c>
      <c r="B480" s="34">
        <v>129</v>
      </c>
      <c r="C480" s="34" t="s">
        <v>5</v>
      </c>
      <c r="D480" s="34">
        <v>12</v>
      </c>
      <c r="E480" s="34">
        <v>1860</v>
      </c>
      <c r="F480" s="34">
        <v>34</v>
      </c>
      <c r="G480" s="34" t="s">
        <v>3</v>
      </c>
      <c r="H480" s="34" t="s">
        <v>4</v>
      </c>
      <c r="I480" s="39">
        <v>0.9680141356558063</v>
      </c>
    </row>
    <row r="481" spans="1:9" x14ac:dyDescent="0.3">
      <c r="A481" s="34">
        <v>480</v>
      </c>
      <c r="B481" s="34">
        <v>448</v>
      </c>
      <c r="C481" s="34" t="s">
        <v>5</v>
      </c>
      <c r="D481" s="34">
        <v>7</v>
      </c>
      <c r="E481" s="34">
        <v>2576</v>
      </c>
      <c r="F481" s="34">
        <v>35</v>
      </c>
      <c r="G481" s="34" t="s">
        <v>3</v>
      </c>
      <c r="H481" s="34" t="s">
        <v>4</v>
      </c>
      <c r="I481" s="39">
        <v>0.96838454420737441</v>
      </c>
    </row>
    <row r="482" spans="1:9" x14ac:dyDescent="0.3">
      <c r="A482" s="34">
        <v>481</v>
      </c>
      <c r="B482" s="34">
        <v>395</v>
      </c>
      <c r="C482" s="34" t="s">
        <v>5</v>
      </c>
      <c r="D482" s="34">
        <v>9</v>
      </c>
      <c r="E482" s="34">
        <v>2406</v>
      </c>
      <c r="F482" s="34">
        <v>31</v>
      </c>
      <c r="G482" s="34" t="s">
        <v>3</v>
      </c>
      <c r="H482" s="34" t="s">
        <v>4</v>
      </c>
      <c r="I482" s="39">
        <v>0.96998976409672055</v>
      </c>
    </row>
    <row r="483" spans="1:9" x14ac:dyDescent="0.3">
      <c r="A483" s="34">
        <v>482</v>
      </c>
      <c r="B483" s="34">
        <v>682</v>
      </c>
      <c r="C483" s="34" t="s">
        <v>5</v>
      </c>
      <c r="D483" s="34">
        <v>12</v>
      </c>
      <c r="E483" s="34">
        <v>2279</v>
      </c>
      <c r="F483" s="34">
        <v>37</v>
      </c>
      <c r="G483" s="34" t="s">
        <v>3</v>
      </c>
      <c r="H483" s="34" t="s">
        <v>8</v>
      </c>
      <c r="I483" s="39">
        <v>0.9717337765249785</v>
      </c>
    </row>
    <row r="484" spans="1:9" x14ac:dyDescent="0.3">
      <c r="A484" s="34">
        <v>483</v>
      </c>
      <c r="B484" s="34">
        <v>671</v>
      </c>
      <c r="C484" s="34" t="s">
        <v>5</v>
      </c>
      <c r="D484" s="34">
        <v>24</v>
      </c>
      <c r="E484" s="34">
        <v>4139</v>
      </c>
      <c r="F484" s="34">
        <v>27</v>
      </c>
      <c r="G484" s="34" t="s">
        <v>3</v>
      </c>
      <c r="H484" s="34" t="s">
        <v>4</v>
      </c>
      <c r="I484" s="39">
        <v>0.97227375080204281</v>
      </c>
    </row>
    <row r="485" spans="1:9" x14ac:dyDescent="0.3">
      <c r="A485" s="34">
        <v>484</v>
      </c>
      <c r="B485" s="34">
        <v>256</v>
      </c>
      <c r="C485" s="34" t="s">
        <v>5</v>
      </c>
      <c r="D485" s="34">
        <v>60</v>
      </c>
      <c r="E485" s="34">
        <v>7418</v>
      </c>
      <c r="F485" s="34">
        <v>27</v>
      </c>
      <c r="G485" s="34" t="s">
        <v>3</v>
      </c>
      <c r="H485" s="34" t="s">
        <v>4</v>
      </c>
      <c r="I485" s="39">
        <v>0.97592650550920867</v>
      </c>
    </row>
    <row r="486" spans="1:9" x14ac:dyDescent="0.3">
      <c r="A486" s="34">
        <v>485</v>
      </c>
      <c r="B486" s="34">
        <v>779</v>
      </c>
      <c r="C486" s="34" t="s">
        <v>5</v>
      </c>
      <c r="D486" s="34">
        <v>36</v>
      </c>
      <c r="E486" s="34">
        <v>5711</v>
      </c>
      <c r="F486" s="34">
        <v>38</v>
      </c>
      <c r="G486" s="34" t="s">
        <v>3</v>
      </c>
      <c r="H486" s="34" t="s">
        <v>4</v>
      </c>
      <c r="I486" s="39">
        <v>0.97823966033045728</v>
      </c>
    </row>
    <row r="487" spans="1:9" x14ac:dyDescent="0.3">
      <c r="A487" s="34">
        <v>486</v>
      </c>
      <c r="B487" s="34">
        <v>542</v>
      </c>
      <c r="C487" s="34" t="s">
        <v>5</v>
      </c>
      <c r="D487" s="34">
        <v>24</v>
      </c>
      <c r="E487" s="34">
        <v>2032</v>
      </c>
      <c r="F487" s="34">
        <v>60</v>
      </c>
      <c r="G487" s="34" t="s">
        <v>3</v>
      </c>
      <c r="H487" s="34" t="s">
        <v>8</v>
      </c>
      <c r="I487" s="39">
        <v>0.97959270209642468</v>
      </c>
    </row>
    <row r="488" spans="1:9" x14ac:dyDescent="0.3">
      <c r="A488" s="34">
        <v>487</v>
      </c>
      <c r="B488" s="34">
        <v>329</v>
      </c>
      <c r="C488" s="34" t="s">
        <v>5</v>
      </c>
      <c r="D488" s="34">
        <v>36</v>
      </c>
      <c r="E488" s="34">
        <v>4473</v>
      </c>
      <c r="F488" s="34">
        <v>31</v>
      </c>
      <c r="G488" s="34" t="s">
        <v>3</v>
      </c>
      <c r="H488" s="34" t="s">
        <v>4</v>
      </c>
      <c r="I488" s="39">
        <v>0.98059485297695081</v>
      </c>
    </row>
    <row r="489" spans="1:9" x14ac:dyDescent="0.3">
      <c r="A489" s="34">
        <v>488</v>
      </c>
      <c r="B489" s="34">
        <v>765</v>
      </c>
      <c r="C489" s="34" t="s">
        <v>5</v>
      </c>
      <c r="D489" s="34">
        <v>24</v>
      </c>
      <c r="E489" s="34">
        <v>2463</v>
      </c>
      <c r="F489" s="34">
        <v>27</v>
      </c>
      <c r="G489" s="34" t="s">
        <v>11</v>
      </c>
      <c r="H489" s="34" t="s">
        <v>4</v>
      </c>
      <c r="I489" s="39">
        <v>0.98136481318271473</v>
      </c>
    </row>
    <row r="490" spans="1:9" x14ac:dyDescent="0.3">
      <c r="A490" s="34">
        <v>489</v>
      </c>
      <c r="B490" s="34">
        <v>247</v>
      </c>
      <c r="C490" s="34" t="s">
        <v>5</v>
      </c>
      <c r="D490" s="34">
        <v>12</v>
      </c>
      <c r="E490" s="34">
        <v>717</v>
      </c>
      <c r="F490" s="34">
        <v>52</v>
      </c>
      <c r="G490" s="34" t="s">
        <v>3</v>
      </c>
      <c r="H490" s="34" t="s">
        <v>4</v>
      </c>
      <c r="I490" s="39">
        <v>0.98157701741044345</v>
      </c>
    </row>
    <row r="491" spans="1:9" x14ac:dyDescent="0.3">
      <c r="A491" s="34">
        <v>490</v>
      </c>
      <c r="B491" s="34">
        <v>777</v>
      </c>
      <c r="C491" s="34" t="s">
        <v>5</v>
      </c>
      <c r="D491" s="34">
        <v>36</v>
      </c>
      <c r="E491" s="34">
        <v>3535</v>
      </c>
      <c r="F491" s="34">
        <v>37</v>
      </c>
      <c r="G491" s="34" t="s">
        <v>3</v>
      </c>
      <c r="H491" s="34" t="s">
        <v>4</v>
      </c>
      <c r="I491" s="39">
        <v>0.98178848554693587</v>
      </c>
    </row>
    <row r="492" spans="1:9" x14ac:dyDescent="0.3">
      <c r="A492" s="34">
        <v>491</v>
      </c>
      <c r="B492" s="34">
        <v>116</v>
      </c>
      <c r="C492" s="34" t="s">
        <v>5</v>
      </c>
      <c r="D492" s="34">
        <v>48</v>
      </c>
      <c r="E492" s="34">
        <v>3578</v>
      </c>
      <c r="F492" s="34">
        <v>47</v>
      </c>
      <c r="G492" s="34" t="s">
        <v>3</v>
      </c>
      <c r="H492" s="34" t="s">
        <v>4</v>
      </c>
      <c r="I492" s="39">
        <v>0.98375251342010395</v>
      </c>
    </row>
    <row r="493" spans="1:9" x14ac:dyDescent="0.3">
      <c r="A493" s="34">
        <v>492</v>
      </c>
      <c r="B493" s="34">
        <v>545</v>
      </c>
      <c r="C493" s="34" t="s">
        <v>5</v>
      </c>
      <c r="D493" s="34">
        <v>12</v>
      </c>
      <c r="E493" s="34">
        <v>1255</v>
      </c>
      <c r="F493" s="34">
        <v>61</v>
      </c>
      <c r="G493" s="34" t="s">
        <v>3</v>
      </c>
      <c r="H493" s="34" t="s">
        <v>4</v>
      </c>
      <c r="I493" s="39">
        <v>0.98516059268633849</v>
      </c>
    </row>
    <row r="494" spans="1:9" x14ac:dyDescent="0.3">
      <c r="A494" s="34">
        <v>493</v>
      </c>
      <c r="B494" s="34">
        <v>295</v>
      </c>
      <c r="C494" s="34" t="s">
        <v>5</v>
      </c>
      <c r="D494" s="34">
        <v>48</v>
      </c>
      <c r="E494" s="34">
        <v>7629</v>
      </c>
      <c r="F494" s="34">
        <v>46</v>
      </c>
      <c r="G494" s="34" t="s">
        <v>10</v>
      </c>
      <c r="H494" s="34" t="s">
        <v>4</v>
      </c>
      <c r="I494" s="39">
        <v>0.98546881483052806</v>
      </c>
    </row>
    <row r="495" spans="1:9" x14ac:dyDescent="0.3">
      <c r="A495" s="34">
        <v>494</v>
      </c>
      <c r="B495" s="34">
        <v>25</v>
      </c>
      <c r="C495" s="34" t="s">
        <v>5</v>
      </c>
      <c r="D495" s="34">
        <v>10</v>
      </c>
      <c r="E495" s="34">
        <v>2069</v>
      </c>
      <c r="F495" s="34">
        <v>26</v>
      </c>
      <c r="G495" s="34" t="s">
        <v>11</v>
      </c>
      <c r="H495" s="34" t="s">
        <v>4</v>
      </c>
      <c r="I495" s="39">
        <v>0.98723408603649798</v>
      </c>
    </row>
    <row r="496" spans="1:9" x14ac:dyDescent="0.3">
      <c r="A496" s="34">
        <v>495</v>
      </c>
      <c r="B496" s="34">
        <v>102</v>
      </c>
      <c r="C496" s="34" t="s">
        <v>5</v>
      </c>
      <c r="D496" s="34">
        <v>36</v>
      </c>
      <c r="E496" s="34">
        <v>2323</v>
      </c>
      <c r="F496" s="34">
        <v>24</v>
      </c>
      <c r="G496" s="34" t="s">
        <v>3</v>
      </c>
      <c r="H496" s="34" t="s">
        <v>9</v>
      </c>
      <c r="I496" s="39">
        <v>0.9878991353326354</v>
      </c>
    </row>
    <row r="497" spans="1:9" x14ac:dyDescent="0.3">
      <c r="A497" s="34">
        <v>496</v>
      </c>
      <c r="B497" s="34">
        <v>844</v>
      </c>
      <c r="C497" s="34" t="s">
        <v>5</v>
      </c>
      <c r="D497" s="34">
        <v>24</v>
      </c>
      <c r="E497" s="34">
        <v>1559</v>
      </c>
      <c r="F497" s="34">
        <v>50</v>
      </c>
      <c r="G497" s="34" t="s">
        <v>3</v>
      </c>
      <c r="H497" s="34" t="s">
        <v>4</v>
      </c>
      <c r="I497" s="39">
        <v>0.98889250657205197</v>
      </c>
    </row>
    <row r="498" spans="1:9" x14ac:dyDescent="0.3">
      <c r="A498" s="34">
        <v>497</v>
      </c>
      <c r="B498" s="34">
        <v>151</v>
      </c>
      <c r="C498" s="34" t="s">
        <v>5</v>
      </c>
      <c r="D498" s="34">
        <v>6</v>
      </c>
      <c r="E498" s="34">
        <v>1346</v>
      </c>
      <c r="F498" s="34">
        <v>42</v>
      </c>
      <c r="G498" s="34" t="s">
        <v>3</v>
      </c>
      <c r="H498" s="34" t="s">
        <v>8</v>
      </c>
      <c r="I498" s="39">
        <v>0.99007301975366613</v>
      </c>
    </row>
    <row r="499" spans="1:9" x14ac:dyDescent="0.3">
      <c r="A499" s="34">
        <v>498</v>
      </c>
      <c r="B499" s="34">
        <v>319</v>
      </c>
      <c r="C499" s="34" t="s">
        <v>5</v>
      </c>
      <c r="D499" s="34">
        <v>12</v>
      </c>
      <c r="E499" s="34">
        <v>701</v>
      </c>
      <c r="F499" s="34">
        <v>32</v>
      </c>
      <c r="G499" s="34" t="s">
        <v>3</v>
      </c>
      <c r="H499" s="34" t="s">
        <v>4</v>
      </c>
      <c r="I499" s="39">
        <v>0.99816497326948717</v>
      </c>
    </row>
    <row r="500" spans="1:9" x14ac:dyDescent="0.3">
      <c r="A500" s="35">
        <v>499</v>
      </c>
      <c r="B500" s="35">
        <v>104</v>
      </c>
      <c r="C500" s="35" t="s">
        <v>5</v>
      </c>
      <c r="D500" s="35">
        <v>9</v>
      </c>
      <c r="E500" s="35">
        <v>1919</v>
      </c>
      <c r="F500" s="35">
        <v>35</v>
      </c>
      <c r="G500" s="35" t="s">
        <v>3</v>
      </c>
      <c r="H500" s="35" t="s">
        <v>9</v>
      </c>
      <c r="I500" s="40">
        <v>0.9983475713797767</v>
      </c>
    </row>
  </sheetData>
  <sortState xmlns:xlrd2="http://schemas.microsoft.com/office/spreadsheetml/2017/richdata2" ref="B2:K500">
    <sortCondition ref="K2:K50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255A-7A67-4B13-99A7-4BFE632DCAB5}">
  <dimension ref="A1:I192"/>
  <sheetViews>
    <sheetView workbookViewId="0">
      <selection activeCell="N9" sqref="N9"/>
    </sheetView>
  </sheetViews>
  <sheetFormatPr defaultRowHeight="14.4" x14ac:dyDescent="0.3"/>
  <cols>
    <col min="1" max="1" width="7.6640625" customWidth="1"/>
    <col min="3" max="3" width="9.6640625" customWidth="1"/>
    <col min="4" max="4" width="12.33203125" bestFit="1" customWidth="1"/>
    <col min="5" max="5" width="14.109375" bestFit="1" customWidth="1"/>
    <col min="6" max="6" width="5.109375" bestFit="1" customWidth="1"/>
    <col min="7" max="7" width="22.6640625" bestFit="1" customWidth="1"/>
    <col min="8" max="8" width="11.109375" bestFit="1" customWidth="1"/>
    <col min="9" max="9" width="12" bestFit="1" customWidth="1"/>
  </cols>
  <sheetData>
    <row r="1" spans="1:9" x14ac:dyDescent="0.3">
      <c r="A1" s="37" t="s">
        <v>13</v>
      </c>
      <c r="B1" s="36" t="s">
        <v>12</v>
      </c>
      <c r="C1" s="37" t="s">
        <v>2</v>
      </c>
      <c r="D1" s="37" t="s">
        <v>63</v>
      </c>
      <c r="E1" s="37" t="s">
        <v>126</v>
      </c>
      <c r="F1" s="37" t="s">
        <v>0</v>
      </c>
      <c r="G1" s="37" t="s">
        <v>127</v>
      </c>
      <c r="H1" s="37" t="s">
        <v>1</v>
      </c>
      <c r="I1" s="37" t="s">
        <v>26</v>
      </c>
    </row>
    <row r="2" spans="1:9" x14ac:dyDescent="0.3">
      <c r="A2" s="34">
        <v>1</v>
      </c>
      <c r="B2" s="34">
        <v>553</v>
      </c>
      <c r="C2" s="34" t="s">
        <v>7</v>
      </c>
      <c r="D2" s="34">
        <v>48</v>
      </c>
      <c r="E2" s="34">
        <v>6999</v>
      </c>
      <c r="F2" s="34">
        <v>34</v>
      </c>
      <c r="G2" s="34" t="s">
        <v>11</v>
      </c>
      <c r="H2" s="34" t="s">
        <v>4</v>
      </c>
      <c r="I2" s="34">
        <v>1.1334508613435323E-3</v>
      </c>
    </row>
    <row r="3" spans="1:9" x14ac:dyDescent="0.3">
      <c r="A3" s="34">
        <v>2</v>
      </c>
      <c r="B3" s="34">
        <v>590</v>
      </c>
      <c r="C3" s="34" t="s">
        <v>7</v>
      </c>
      <c r="D3" s="34">
        <v>12</v>
      </c>
      <c r="E3" s="34">
        <v>2246</v>
      </c>
      <c r="F3" s="34">
        <v>60</v>
      </c>
      <c r="G3" s="34" t="s">
        <v>3</v>
      </c>
      <c r="H3" s="34" t="s">
        <v>4</v>
      </c>
      <c r="I3" s="34">
        <v>4.8299448458011263E-3</v>
      </c>
    </row>
    <row r="4" spans="1:9" x14ac:dyDescent="0.3">
      <c r="A4" s="34">
        <v>3</v>
      </c>
      <c r="B4" s="34">
        <v>274</v>
      </c>
      <c r="C4" s="34" t="s">
        <v>7</v>
      </c>
      <c r="D4" s="34">
        <v>48</v>
      </c>
      <c r="E4" s="34">
        <v>3060</v>
      </c>
      <c r="F4" s="34">
        <v>28</v>
      </c>
      <c r="G4" s="34" t="s">
        <v>3</v>
      </c>
      <c r="H4" s="34" t="s">
        <v>4</v>
      </c>
      <c r="I4" s="34">
        <v>1.2001765463390934E-2</v>
      </c>
    </row>
    <row r="5" spans="1:9" x14ac:dyDescent="0.3">
      <c r="A5" s="34">
        <v>4</v>
      </c>
      <c r="B5" s="34">
        <v>399</v>
      </c>
      <c r="C5" s="34" t="s">
        <v>7</v>
      </c>
      <c r="D5" s="34">
        <v>12</v>
      </c>
      <c r="E5" s="34">
        <v>1223</v>
      </c>
      <c r="F5" s="34">
        <v>46</v>
      </c>
      <c r="G5" s="34" t="s">
        <v>10</v>
      </c>
      <c r="H5" s="34" t="s">
        <v>9</v>
      </c>
      <c r="I5" s="34">
        <v>1.4587183857624697E-2</v>
      </c>
    </row>
    <row r="6" spans="1:9" x14ac:dyDescent="0.3">
      <c r="A6" s="34">
        <v>5</v>
      </c>
      <c r="B6" s="34">
        <v>191</v>
      </c>
      <c r="C6" s="34" t="s">
        <v>7</v>
      </c>
      <c r="D6" s="34">
        <v>24</v>
      </c>
      <c r="E6" s="34">
        <v>4591</v>
      </c>
      <c r="F6" s="34">
        <v>54</v>
      </c>
      <c r="G6" s="34" t="s">
        <v>3</v>
      </c>
      <c r="H6" s="34" t="s">
        <v>4</v>
      </c>
      <c r="I6" s="34">
        <v>3.4703088380913072E-2</v>
      </c>
    </row>
    <row r="7" spans="1:9" x14ac:dyDescent="0.3">
      <c r="A7" s="34">
        <v>6</v>
      </c>
      <c r="B7" s="34">
        <v>138</v>
      </c>
      <c r="C7" s="34" t="s">
        <v>7</v>
      </c>
      <c r="D7" s="34">
        <v>12</v>
      </c>
      <c r="E7" s="34">
        <v>766</v>
      </c>
      <c r="F7" s="34">
        <v>66</v>
      </c>
      <c r="G7" s="34" t="s">
        <v>3</v>
      </c>
      <c r="H7" s="34" t="s">
        <v>4</v>
      </c>
      <c r="I7" s="34">
        <v>3.6917125293871811E-2</v>
      </c>
    </row>
    <row r="8" spans="1:9" x14ac:dyDescent="0.3">
      <c r="A8" s="34">
        <v>7</v>
      </c>
      <c r="B8" s="34">
        <v>541</v>
      </c>
      <c r="C8" s="34" t="s">
        <v>7</v>
      </c>
      <c r="D8" s="34">
        <v>12</v>
      </c>
      <c r="E8" s="34">
        <v>1534</v>
      </c>
      <c r="F8" s="34">
        <v>23</v>
      </c>
      <c r="G8" s="34" t="s">
        <v>11</v>
      </c>
      <c r="H8" s="34" t="s">
        <v>9</v>
      </c>
      <c r="I8" s="34">
        <v>3.9962115880934568E-2</v>
      </c>
    </row>
    <row r="9" spans="1:9" x14ac:dyDescent="0.3">
      <c r="A9" s="34">
        <v>8</v>
      </c>
      <c r="B9" s="34">
        <v>475</v>
      </c>
      <c r="C9" s="34" t="s">
        <v>7</v>
      </c>
      <c r="D9" s="34">
        <v>18</v>
      </c>
      <c r="E9" s="34">
        <v>1245</v>
      </c>
      <c r="F9" s="34">
        <v>33</v>
      </c>
      <c r="G9" s="34" t="s">
        <v>11</v>
      </c>
      <c r="H9" s="34" t="s">
        <v>4</v>
      </c>
      <c r="I9" s="34">
        <v>4.4786045739404146E-2</v>
      </c>
    </row>
    <row r="10" spans="1:9" x14ac:dyDescent="0.3">
      <c r="A10" s="34">
        <v>9</v>
      </c>
      <c r="B10" s="34">
        <v>231</v>
      </c>
      <c r="C10" s="34" t="s">
        <v>7</v>
      </c>
      <c r="D10" s="34">
        <v>36</v>
      </c>
      <c r="E10" s="34">
        <v>4210</v>
      </c>
      <c r="F10" s="34">
        <v>26</v>
      </c>
      <c r="G10" s="34" t="s">
        <v>3</v>
      </c>
      <c r="H10" s="34" t="s">
        <v>4</v>
      </c>
      <c r="I10" s="34">
        <v>4.6169004814431536E-2</v>
      </c>
    </row>
    <row r="11" spans="1:9" x14ac:dyDescent="0.3">
      <c r="A11" s="34">
        <v>10</v>
      </c>
      <c r="B11" s="34">
        <v>598</v>
      </c>
      <c r="C11" s="34" t="s">
        <v>7</v>
      </c>
      <c r="D11" s="34">
        <v>24</v>
      </c>
      <c r="E11" s="34">
        <v>4241</v>
      </c>
      <c r="F11" s="34">
        <v>36</v>
      </c>
      <c r="G11" s="34" t="s">
        <v>3</v>
      </c>
      <c r="H11" s="34" t="s">
        <v>4</v>
      </c>
      <c r="I11" s="34">
        <v>4.9477943294925275E-2</v>
      </c>
    </row>
    <row r="12" spans="1:9" x14ac:dyDescent="0.3">
      <c r="A12" s="34">
        <v>11</v>
      </c>
      <c r="B12" s="34">
        <v>290</v>
      </c>
      <c r="C12" s="34" t="s">
        <v>7</v>
      </c>
      <c r="D12" s="34">
        <v>24</v>
      </c>
      <c r="E12" s="34">
        <v>1024</v>
      </c>
      <c r="F12" s="34">
        <v>48</v>
      </c>
      <c r="G12" s="34" t="s">
        <v>11</v>
      </c>
      <c r="H12" s="34" t="s">
        <v>4</v>
      </c>
      <c r="I12" s="34">
        <v>5.3256505399076337E-2</v>
      </c>
    </row>
    <row r="13" spans="1:9" x14ac:dyDescent="0.3">
      <c r="A13" s="34">
        <v>12</v>
      </c>
      <c r="B13" s="34">
        <v>132</v>
      </c>
      <c r="C13" s="34" t="s">
        <v>7</v>
      </c>
      <c r="D13" s="34">
        <v>36</v>
      </c>
      <c r="E13" s="34">
        <v>6887</v>
      </c>
      <c r="F13" s="34">
        <v>29</v>
      </c>
      <c r="G13" s="34" t="s">
        <v>3</v>
      </c>
      <c r="H13" s="34" t="s">
        <v>4</v>
      </c>
      <c r="I13" s="34">
        <v>6.8056854793950294E-2</v>
      </c>
    </row>
    <row r="14" spans="1:9" x14ac:dyDescent="0.3">
      <c r="A14" s="34">
        <v>13</v>
      </c>
      <c r="B14" s="34">
        <v>760</v>
      </c>
      <c r="C14" s="34" t="s">
        <v>7</v>
      </c>
      <c r="D14" s="34">
        <v>12</v>
      </c>
      <c r="E14" s="34">
        <v>691</v>
      </c>
      <c r="F14" s="34">
        <v>35</v>
      </c>
      <c r="G14" s="34" t="s">
        <v>3</v>
      </c>
      <c r="H14" s="34" t="s">
        <v>4</v>
      </c>
      <c r="I14" s="34">
        <v>6.9698249661351519E-2</v>
      </c>
    </row>
    <row r="15" spans="1:9" x14ac:dyDescent="0.3">
      <c r="A15" s="34">
        <v>14</v>
      </c>
      <c r="B15" s="34">
        <v>625</v>
      </c>
      <c r="C15" s="34" t="s">
        <v>7</v>
      </c>
      <c r="D15" s="34">
        <v>18</v>
      </c>
      <c r="E15" s="34">
        <v>2600</v>
      </c>
      <c r="F15" s="34">
        <v>65</v>
      </c>
      <c r="G15" s="34" t="s">
        <v>3</v>
      </c>
      <c r="H15" s="34" t="s">
        <v>8</v>
      </c>
      <c r="I15" s="34">
        <v>7.1799899062976347E-2</v>
      </c>
    </row>
    <row r="16" spans="1:9" x14ac:dyDescent="0.3">
      <c r="A16" s="34">
        <v>15</v>
      </c>
      <c r="B16" s="34">
        <v>496</v>
      </c>
      <c r="C16" s="34" t="s">
        <v>7</v>
      </c>
      <c r="D16" s="34">
        <v>24</v>
      </c>
      <c r="E16" s="34">
        <v>2996</v>
      </c>
      <c r="F16" s="34">
        <v>20</v>
      </c>
      <c r="G16" s="34" t="s">
        <v>11</v>
      </c>
      <c r="H16" s="34" t="s">
        <v>4</v>
      </c>
      <c r="I16" s="34">
        <v>7.3507442302913728E-2</v>
      </c>
    </row>
    <row r="17" spans="1:9" x14ac:dyDescent="0.3">
      <c r="A17" s="34">
        <v>16</v>
      </c>
      <c r="B17" s="34">
        <v>504</v>
      </c>
      <c r="C17" s="34" t="s">
        <v>7</v>
      </c>
      <c r="D17" s="34">
        <v>24</v>
      </c>
      <c r="E17" s="34">
        <v>1216</v>
      </c>
      <c r="F17" s="34">
        <v>38</v>
      </c>
      <c r="G17" s="34" t="s">
        <v>3</v>
      </c>
      <c r="H17" s="34" t="s">
        <v>4</v>
      </c>
      <c r="I17" s="34">
        <v>7.4862956648533485E-2</v>
      </c>
    </row>
    <row r="18" spans="1:9" x14ac:dyDescent="0.3">
      <c r="A18" s="34">
        <v>17</v>
      </c>
      <c r="B18" s="34">
        <v>662</v>
      </c>
      <c r="C18" s="34" t="s">
        <v>7</v>
      </c>
      <c r="D18" s="34">
        <v>12</v>
      </c>
      <c r="E18" s="34">
        <v>900</v>
      </c>
      <c r="F18" s="34">
        <v>23</v>
      </c>
      <c r="G18" s="34" t="s">
        <v>11</v>
      </c>
      <c r="H18" s="34" t="s">
        <v>4</v>
      </c>
      <c r="I18" s="34">
        <v>7.92856262044912E-2</v>
      </c>
    </row>
    <row r="19" spans="1:9" x14ac:dyDescent="0.3">
      <c r="A19" s="34">
        <v>18</v>
      </c>
      <c r="B19" s="34">
        <v>269</v>
      </c>
      <c r="C19" s="34" t="s">
        <v>7</v>
      </c>
      <c r="D19" s="34">
        <v>14</v>
      </c>
      <c r="E19" s="34">
        <v>8978</v>
      </c>
      <c r="F19" s="34">
        <v>45</v>
      </c>
      <c r="G19" s="34" t="s">
        <v>10</v>
      </c>
      <c r="H19" s="34" t="s">
        <v>4</v>
      </c>
      <c r="I19" s="34">
        <v>8.5430964597538295E-2</v>
      </c>
    </row>
    <row r="20" spans="1:9" x14ac:dyDescent="0.3">
      <c r="A20" s="34">
        <v>19</v>
      </c>
      <c r="B20" s="34">
        <v>654</v>
      </c>
      <c r="C20" s="34" t="s">
        <v>7</v>
      </c>
      <c r="D20" s="34">
        <v>36</v>
      </c>
      <c r="E20" s="34">
        <v>8086</v>
      </c>
      <c r="F20" s="34">
        <v>42</v>
      </c>
      <c r="G20" s="34" t="s">
        <v>3</v>
      </c>
      <c r="H20" s="34" t="s">
        <v>4</v>
      </c>
      <c r="I20" s="34">
        <v>8.9797454725034531E-2</v>
      </c>
    </row>
    <row r="21" spans="1:9" x14ac:dyDescent="0.3">
      <c r="A21" s="34">
        <v>20</v>
      </c>
      <c r="B21" s="34">
        <v>764</v>
      </c>
      <c r="C21" s="34" t="s">
        <v>7</v>
      </c>
      <c r="D21" s="34">
        <v>21</v>
      </c>
      <c r="E21" s="34">
        <v>12680</v>
      </c>
      <c r="F21" s="34">
        <v>30</v>
      </c>
      <c r="G21" s="34" t="s">
        <v>3</v>
      </c>
      <c r="H21" s="34" t="s">
        <v>8</v>
      </c>
      <c r="I21" s="34">
        <v>9.8808366938682113E-2</v>
      </c>
    </row>
    <row r="22" spans="1:9" x14ac:dyDescent="0.3">
      <c r="A22" s="34">
        <v>21</v>
      </c>
      <c r="B22" s="34">
        <v>984</v>
      </c>
      <c r="C22" s="34" t="s">
        <v>7</v>
      </c>
      <c r="D22" s="34">
        <v>36</v>
      </c>
      <c r="E22" s="34">
        <v>8229</v>
      </c>
      <c r="F22" s="34">
        <v>26</v>
      </c>
      <c r="G22" s="34" t="s">
        <v>3</v>
      </c>
      <c r="H22" s="34" t="s">
        <v>4</v>
      </c>
      <c r="I22" s="34">
        <v>0.10103957234279726</v>
      </c>
    </row>
    <row r="23" spans="1:9" x14ac:dyDescent="0.3">
      <c r="A23" s="34">
        <v>22</v>
      </c>
      <c r="B23" s="34">
        <v>523</v>
      </c>
      <c r="C23" s="34" t="s">
        <v>7</v>
      </c>
      <c r="D23" s="34">
        <v>48</v>
      </c>
      <c r="E23" s="34">
        <v>7119</v>
      </c>
      <c r="F23" s="34">
        <v>53</v>
      </c>
      <c r="G23" s="34" t="s">
        <v>3</v>
      </c>
      <c r="H23" s="34" t="s">
        <v>8</v>
      </c>
      <c r="I23" s="34">
        <v>0.10541139403487532</v>
      </c>
    </row>
    <row r="24" spans="1:9" x14ac:dyDescent="0.3">
      <c r="A24" s="34">
        <v>23</v>
      </c>
      <c r="B24" s="34">
        <v>813</v>
      </c>
      <c r="C24" s="34" t="s">
        <v>7</v>
      </c>
      <c r="D24" s="34">
        <v>36</v>
      </c>
      <c r="E24" s="34">
        <v>9629</v>
      </c>
      <c r="F24" s="34">
        <v>24</v>
      </c>
      <c r="G24" s="34" t="s">
        <v>3</v>
      </c>
      <c r="H24" s="34" t="s">
        <v>4</v>
      </c>
      <c r="I24" s="34">
        <v>0.10942501458523124</v>
      </c>
    </row>
    <row r="25" spans="1:9" x14ac:dyDescent="0.3">
      <c r="A25" s="34">
        <v>24</v>
      </c>
      <c r="B25" s="34">
        <v>107</v>
      </c>
      <c r="C25" s="34" t="s">
        <v>7</v>
      </c>
      <c r="D25" s="34">
        <v>18</v>
      </c>
      <c r="E25" s="34">
        <v>6458</v>
      </c>
      <c r="F25" s="34">
        <v>39</v>
      </c>
      <c r="G25" s="34" t="s">
        <v>3</v>
      </c>
      <c r="H25" s="34" t="s">
        <v>4</v>
      </c>
      <c r="I25" s="34">
        <v>0.11508087595038552</v>
      </c>
    </row>
    <row r="26" spans="1:9" x14ac:dyDescent="0.3">
      <c r="A26" s="34">
        <v>25</v>
      </c>
      <c r="B26" s="34">
        <v>640</v>
      </c>
      <c r="C26" s="34" t="s">
        <v>7</v>
      </c>
      <c r="D26" s="34">
        <v>42</v>
      </c>
      <c r="E26" s="34">
        <v>4370</v>
      </c>
      <c r="F26" s="34">
        <v>26</v>
      </c>
      <c r="G26" s="34" t="s">
        <v>3</v>
      </c>
      <c r="H26" s="34" t="s">
        <v>4</v>
      </c>
      <c r="I26" s="34">
        <v>0.11811125369041953</v>
      </c>
    </row>
    <row r="27" spans="1:9" x14ac:dyDescent="0.3">
      <c r="A27" s="34">
        <v>26</v>
      </c>
      <c r="B27" s="34">
        <v>815</v>
      </c>
      <c r="C27" s="34" t="s">
        <v>7</v>
      </c>
      <c r="D27" s="34">
        <v>48</v>
      </c>
      <c r="E27" s="34">
        <v>3931</v>
      </c>
      <c r="F27" s="34">
        <v>46</v>
      </c>
      <c r="G27" s="34" t="s">
        <v>3</v>
      </c>
      <c r="H27" s="34" t="s">
        <v>8</v>
      </c>
      <c r="I27" s="34">
        <v>0.12099760298681361</v>
      </c>
    </row>
    <row r="28" spans="1:9" x14ac:dyDescent="0.3">
      <c r="A28" s="34">
        <v>27</v>
      </c>
      <c r="B28" s="34">
        <v>854</v>
      </c>
      <c r="C28" s="34" t="s">
        <v>7</v>
      </c>
      <c r="D28" s="34">
        <v>18</v>
      </c>
      <c r="E28" s="34">
        <v>1442</v>
      </c>
      <c r="F28" s="34">
        <v>32</v>
      </c>
      <c r="G28" s="34" t="s">
        <v>3</v>
      </c>
      <c r="H28" s="34" t="s">
        <v>8</v>
      </c>
      <c r="I28" s="34">
        <v>0.1451286770881447</v>
      </c>
    </row>
    <row r="29" spans="1:9" x14ac:dyDescent="0.3">
      <c r="A29" s="34">
        <v>28</v>
      </c>
      <c r="B29" s="34">
        <v>308</v>
      </c>
      <c r="C29" s="34" t="s">
        <v>7</v>
      </c>
      <c r="D29" s="34">
        <v>12</v>
      </c>
      <c r="E29" s="34">
        <v>727</v>
      </c>
      <c r="F29" s="34">
        <v>33</v>
      </c>
      <c r="G29" s="34" t="s">
        <v>11</v>
      </c>
      <c r="H29" s="34" t="s">
        <v>4</v>
      </c>
      <c r="I29" s="34">
        <v>0.14708397500818771</v>
      </c>
    </row>
    <row r="30" spans="1:9" x14ac:dyDescent="0.3">
      <c r="A30" s="34">
        <v>29</v>
      </c>
      <c r="B30" s="34">
        <v>599</v>
      </c>
      <c r="C30" s="34" t="s">
        <v>7</v>
      </c>
      <c r="D30" s="34">
        <v>18</v>
      </c>
      <c r="E30" s="34">
        <v>2775</v>
      </c>
      <c r="F30" s="34">
        <v>31</v>
      </c>
      <c r="G30" s="34" t="s">
        <v>3</v>
      </c>
      <c r="H30" s="34" t="s">
        <v>4</v>
      </c>
      <c r="I30" s="34">
        <v>0.14962535577570435</v>
      </c>
    </row>
    <row r="31" spans="1:9" x14ac:dyDescent="0.3">
      <c r="A31" s="34">
        <v>30</v>
      </c>
      <c r="B31" s="34">
        <v>721</v>
      </c>
      <c r="C31" s="34" t="s">
        <v>7</v>
      </c>
      <c r="D31" s="34">
        <v>9</v>
      </c>
      <c r="E31" s="34">
        <v>1337</v>
      </c>
      <c r="F31" s="34">
        <v>34</v>
      </c>
      <c r="G31" s="34" t="s">
        <v>3</v>
      </c>
      <c r="H31" s="34" t="s">
        <v>4</v>
      </c>
      <c r="I31" s="34">
        <v>0.15706561094276683</v>
      </c>
    </row>
    <row r="32" spans="1:9" x14ac:dyDescent="0.3">
      <c r="A32" s="34">
        <v>31</v>
      </c>
      <c r="B32" s="34">
        <v>928</v>
      </c>
      <c r="C32" s="34" t="s">
        <v>7</v>
      </c>
      <c r="D32" s="34">
        <v>48</v>
      </c>
      <c r="E32" s="34">
        <v>10297</v>
      </c>
      <c r="F32" s="34">
        <v>39</v>
      </c>
      <c r="G32" s="34" t="s">
        <v>3</v>
      </c>
      <c r="H32" s="34" t="s">
        <v>8</v>
      </c>
      <c r="I32" s="34">
        <v>0.17102217047709023</v>
      </c>
    </row>
    <row r="33" spans="1:9" x14ac:dyDescent="0.3">
      <c r="A33" s="34">
        <v>32</v>
      </c>
      <c r="B33" s="34">
        <v>354</v>
      </c>
      <c r="C33" s="34" t="s">
        <v>7</v>
      </c>
      <c r="D33" s="34">
        <v>12</v>
      </c>
      <c r="E33" s="34">
        <v>6199</v>
      </c>
      <c r="F33" s="34">
        <v>28</v>
      </c>
      <c r="G33" s="34" t="s">
        <v>3</v>
      </c>
      <c r="H33" s="34" t="s">
        <v>9</v>
      </c>
      <c r="I33" s="34">
        <v>0.18472146207803486</v>
      </c>
    </row>
    <row r="34" spans="1:9" x14ac:dyDescent="0.3">
      <c r="A34" s="34">
        <v>33</v>
      </c>
      <c r="B34" s="34">
        <v>292</v>
      </c>
      <c r="C34" s="34" t="s">
        <v>7</v>
      </c>
      <c r="D34" s="34">
        <v>36</v>
      </c>
      <c r="E34" s="34">
        <v>9398</v>
      </c>
      <c r="F34" s="34">
        <v>28</v>
      </c>
      <c r="G34" s="34" t="s">
        <v>11</v>
      </c>
      <c r="H34" s="34" t="s">
        <v>9</v>
      </c>
      <c r="I34" s="34">
        <v>0.19369649974955994</v>
      </c>
    </row>
    <row r="35" spans="1:9" x14ac:dyDescent="0.3">
      <c r="A35" s="34">
        <v>34</v>
      </c>
      <c r="B35" s="34">
        <v>632</v>
      </c>
      <c r="C35" s="34" t="s">
        <v>7</v>
      </c>
      <c r="D35" s="34">
        <v>18</v>
      </c>
      <c r="E35" s="34">
        <v>1553</v>
      </c>
      <c r="F35" s="34">
        <v>44</v>
      </c>
      <c r="G35" s="34" t="s">
        <v>3</v>
      </c>
      <c r="H35" s="34" t="s">
        <v>4</v>
      </c>
      <c r="I35" s="34">
        <v>0.2053826209724231</v>
      </c>
    </row>
    <row r="36" spans="1:9" x14ac:dyDescent="0.3">
      <c r="A36" s="34">
        <v>35</v>
      </c>
      <c r="B36" s="34">
        <v>236</v>
      </c>
      <c r="C36" s="34" t="s">
        <v>7</v>
      </c>
      <c r="D36" s="34">
        <v>24</v>
      </c>
      <c r="E36" s="34">
        <v>1823</v>
      </c>
      <c r="F36" s="34">
        <v>30</v>
      </c>
      <c r="G36" s="34" t="s">
        <v>3</v>
      </c>
      <c r="H36" s="34" t="s">
        <v>4</v>
      </c>
      <c r="I36" s="34">
        <v>0.20754164941686237</v>
      </c>
    </row>
    <row r="37" spans="1:9" x14ac:dyDescent="0.3">
      <c r="A37" s="34">
        <v>36</v>
      </c>
      <c r="B37" s="34">
        <v>243</v>
      </c>
      <c r="C37" s="34" t="s">
        <v>7</v>
      </c>
      <c r="D37" s="34">
        <v>48</v>
      </c>
      <c r="E37" s="34">
        <v>4605</v>
      </c>
      <c r="F37" s="34">
        <v>24</v>
      </c>
      <c r="G37" s="34" t="s">
        <v>3</v>
      </c>
      <c r="H37" s="34" t="s">
        <v>8</v>
      </c>
      <c r="I37" s="34">
        <v>0.209552120326711</v>
      </c>
    </row>
    <row r="38" spans="1:9" x14ac:dyDescent="0.3">
      <c r="A38" s="34">
        <v>37</v>
      </c>
      <c r="B38" s="34">
        <v>628</v>
      </c>
      <c r="C38" s="34" t="s">
        <v>7</v>
      </c>
      <c r="D38" s="34">
        <v>9</v>
      </c>
      <c r="E38" s="34">
        <v>1437</v>
      </c>
      <c r="F38" s="34">
        <v>29</v>
      </c>
      <c r="G38" s="34" t="s">
        <v>3</v>
      </c>
      <c r="H38" s="34" t="s">
        <v>4</v>
      </c>
      <c r="I38" s="34">
        <v>0.21587671629477212</v>
      </c>
    </row>
    <row r="39" spans="1:9" x14ac:dyDescent="0.3">
      <c r="A39" s="34">
        <v>38</v>
      </c>
      <c r="B39" s="34">
        <v>379</v>
      </c>
      <c r="C39" s="34" t="s">
        <v>7</v>
      </c>
      <c r="D39" s="34">
        <v>36</v>
      </c>
      <c r="E39" s="34">
        <v>14318</v>
      </c>
      <c r="F39" s="34">
        <v>57</v>
      </c>
      <c r="G39" s="34" t="s">
        <v>3</v>
      </c>
      <c r="H39" s="34" t="s">
        <v>8</v>
      </c>
      <c r="I39" s="34">
        <v>0.22866992122924124</v>
      </c>
    </row>
    <row r="40" spans="1:9" x14ac:dyDescent="0.3">
      <c r="A40" s="34">
        <v>39</v>
      </c>
      <c r="B40" s="34">
        <v>96</v>
      </c>
      <c r="C40" s="34" t="s">
        <v>7</v>
      </c>
      <c r="D40" s="34">
        <v>54</v>
      </c>
      <c r="E40" s="34">
        <v>15945</v>
      </c>
      <c r="F40" s="34">
        <v>58</v>
      </c>
      <c r="G40" s="34" t="s">
        <v>3</v>
      </c>
      <c r="H40" s="34" t="s">
        <v>9</v>
      </c>
      <c r="I40" s="34">
        <v>0.23142735035932205</v>
      </c>
    </row>
    <row r="41" spans="1:9" x14ac:dyDescent="0.3">
      <c r="A41" s="34">
        <v>40</v>
      </c>
      <c r="B41" s="34">
        <v>238</v>
      </c>
      <c r="C41" s="34" t="s">
        <v>7</v>
      </c>
      <c r="D41" s="34">
        <v>21</v>
      </c>
      <c r="E41" s="34">
        <v>2767</v>
      </c>
      <c r="F41" s="34">
        <v>61</v>
      </c>
      <c r="G41" s="34" t="s">
        <v>10</v>
      </c>
      <c r="H41" s="34" t="s">
        <v>9</v>
      </c>
      <c r="I41" s="34">
        <v>0.23569872915172418</v>
      </c>
    </row>
    <row r="42" spans="1:9" x14ac:dyDescent="0.3">
      <c r="A42" s="34">
        <v>41</v>
      </c>
      <c r="B42" s="34">
        <v>314</v>
      </c>
      <c r="C42" s="34" t="s">
        <v>7</v>
      </c>
      <c r="D42" s="34">
        <v>12</v>
      </c>
      <c r="E42" s="34">
        <v>685</v>
      </c>
      <c r="F42" s="34">
        <v>25</v>
      </c>
      <c r="G42" s="34" t="s">
        <v>11</v>
      </c>
      <c r="H42" s="34" t="s">
        <v>4</v>
      </c>
      <c r="I42" s="34">
        <v>0.24524078903131519</v>
      </c>
    </row>
    <row r="43" spans="1:9" x14ac:dyDescent="0.3">
      <c r="A43" s="34">
        <v>42</v>
      </c>
      <c r="B43" s="34">
        <v>879</v>
      </c>
      <c r="C43" s="34" t="s">
        <v>7</v>
      </c>
      <c r="D43" s="34">
        <v>9</v>
      </c>
      <c r="E43" s="34">
        <v>1422</v>
      </c>
      <c r="F43" s="34">
        <v>27</v>
      </c>
      <c r="G43" s="34" t="s">
        <v>3</v>
      </c>
      <c r="H43" s="34" t="s">
        <v>8</v>
      </c>
      <c r="I43" s="34">
        <v>0.24826234648874668</v>
      </c>
    </row>
    <row r="44" spans="1:9" x14ac:dyDescent="0.3">
      <c r="A44" s="34">
        <v>43</v>
      </c>
      <c r="B44" s="34">
        <v>622</v>
      </c>
      <c r="C44" s="34" t="s">
        <v>7</v>
      </c>
      <c r="D44" s="34">
        <v>18</v>
      </c>
      <c r="E44" s="34">
        <v>1530</v>
      </c>
      <c r="F44" s="34">
        <v>32</v>
      </c>
      <c r="G44" s="34" t="s">
        <v>3</v>
      </c>
      <c r="H44" s="34" t="s">
        <v>4</v>
      </c>
      <c r="I44" s="34">
        <v>0.24996867553507052</v>
      </c>
    </row>
    <row r="45" spans="1:9" x14ac:dyDescent="0.3">
      <c r="A45" s="34">
        <v>44</v>
      </c>
      <c r="B45" s="34">
        <v>229</v>
      </c>
      <c r="C45" s="34" t="s">
        <v>7</v>
      </c>
      <c r="D45" s="34">
        <v>9</v>
      </c>
      <c r="E45" s="34">
        <v>1478</v>
      </c>
      <c r="F45" s="34">
        <v>22</v>
      </c>
      <c r="G45" s="34" t="s">
        <v>3</v>
      </c>
      <c r="H45" s="34" t="s">
        <v>4</v>
      </c>
      <c r="I45" s="34">
        <v>0.25565044955865068</v>
      </c>
    </row>
    <row r="46" spans="1:9" x14ac:dyDescent="0.3">
      <c r="A46" s="34">
        <v>45</v>
      </c>
      <c r="B46" s="34">
        <v>829</v>
      </c>
      <c r="C46" s="34" t="s">
        <v>7</v>
      </c>
      <c r="D46" s="34">
        <v>36</v>
      </c>
      <c r="E46" s="34">
        <v>8335</v>
      </c>
      <c r="F46" s="34">
        <v>47</v>
      </c>
      <c r="G46" s="34" t="s">
        <v>3</v>
      </c>
      <c r="H46" s="34" t="s">
        <v>8</v>
      </c>
      <c r="I46" s="34">
        <v>0.25611189945044022</v>
      </c>
    </row>
    <row r="47" spans="1:9" x14ac:dyDescent="0.3">
      <c r="A47" s="34">
        <v>46</v>
      </c>
      <c r="B47" s="34">
        <v>814</v>
      </c>
      <c r="C47" s="34" t="s">
        <v>7</v>
      </c>
      <c r="D47" s="34">
        <v>48</v>
      </c>
      <c r="E47" s="34">
        <v>3051</v>
      </c>
      <c r="F47" s="34">
        <v>54</v>
      </c>
      <c r="G47" s="34" t="s">
        <v>3</v>
      </c>
      <c r="H47" s="34" t="s">
        <v>4</v>
      </c>
      <c r="I47" s="34">
        <v>0.25886275188746666</v>
      </c>
    </row>
    <row r="48" spans="1:9" x14ac:dyDescent="0.3">
      <c r="A48" s="34">
        <v>47</v>
      </c>
      <c r="B48" s="34">
        <v>556</v>
      </c>
      <c r="C48" s="34" t="s">
        <v>7</v>
      </c>
      <c r="D48" s="34">
        <v>12</v>
      </c>
      <c r="E48" s="34">
        <v>1331</v>
      </c>
      <c r="F48" s="34">
        <v>22</v>
      </c>
      <c r="G48" s="34" t="s">
        <v>3</v>
      </c>
      <c r="H48" s="34" t="s">
        <v>4</v>
      </c>
      <c r="I48" s="34">
        <v>0.26065594034056339</v>
      </c>
    </row>
    <row r="49" spans="1:9" x14ac:dyDescent="0.3">
      <c r="A49" s="34">
        <v>48</v>
      </c>
      <c r="B49" s="34">
        <v>949</v>
      </c>
      <c r="C49" s="34" t="s">
        <v>7</v>
      </c>
      <c r="D49" s="34">
        <v>18</v>
      </c>
      <c r="E49" s="34">
        <v>1533</v>
      </c>
      <c r="F49" s="34">
        <v>43</v>
      </c>
      <c r="G49" s="34" t="s">
        <v>11</v>
      </c>
      <c r="H49" s="34" t="s">
        <v>4</v>
      </c>
      <c r="I49" s="34">
        <v>0.27493090248261476</v>
      </c>
    </row>
    <row r="50" spans="1:9" x14ac:dyDescent="0.3">
      <c r="A50" s="34">
        <v>49</v>
      </c>
      <c r="B50" s="34">
        <v>36</v>
      </c>
      <c r="C50" s="34" t="s">
        <v>7</v>
      </c>
      <c r="D50" s="34">
        <v>45</v>
      </c>
      <c r="E50" s="34">
        <v>4746</v>
      </c>
      <c r="F50" s="34">
        <v>25</v>
      </c>
      <c r="G50" s="34" t="s">
        <v>3</v>
      </c>
      <c r="H50" s="34" t="s">
        <v>4</v>
      </c>
      <c r="I50" s="34">
        <v>0.27540700581580502</v>
      </c>
    </row>
    <row r="51" spans="1:9" x14ac:dyDescent="0.3">
      <c r="A51" s="34">
        <v>50</v>
      </c>
      <c r="B51" s="34">
        <v>305</v>
      </c>
      <c r="C51" s="34" t="s">
        <v>7</v>
      </c>
      <c r="D51" s="34">
        <v>48</v>
      </c>
      <c r="E51" s="34">
        <v>10127</v>
      </c>
      <c r="F51" s="34">
        <v>44</v>
      </c>
      <c r="G51" s="34" t="s">
        <v>3</v>
      </c>
      <c r="H51" s="34" t="s">
        <v>8</v>
      </c>
      <c r="I51" s="34">
        <v>0.27767091496935215</v>
      </c>
    </row>
    <row r="52" spans="1:9" x14ac:dyDescent="0.3">
      <c r="A52" s="34">
        <v>51</v>
      </c>
      <c r="B52" s="34">
        <v>38</v>
      </c>
      <c r="C52" s="34" t="s">
        <v>7</v>
      </c>
      <c r="D52" s="34">
        <v>18</v>
      </c>
      <c r="E52" s="34">
        <v>2100</v>
      </c>
      <c r="F52" s="34">
        <v>37</v>
      </c>
      <c r="G52" s="34" t="s">
        <v>3</v>
      </c>
      <c r="H52" s="34" t="s">
        <v>4</v>
      </c>
      <c r="I52" s="34">
        <v>0.28003685768368658</v>
      </c>
    </row>
    <row r="53" spans="1:9" x14ac:dyDescent="0.3">
      <c r="A53" s="34">
        <v>52</v>
      </c>
      <c r="B53" s="34">
        <v>432</v>
      </c>
      <c r="C53" s="34" t="s">
        <v>7</v>
      </c>
      <c r="D53" s="34">
        <v>24</v>
      </c>
      <c r="E53" s="34">
        <v>11328</v>
      </c>
      <c r="F53" s="34">
        <v>29</v>
      </c>
      <c r="G53" s="34" t="s">
        <v>3</v>
      </c>
      <c r="H53" s="34" t="s">
        <v>4</v>
      </c>
      <c r="I53" s="34">
        <v>0.28483168569829387</v>
      </c>
    </row>
    <row r="54" spans="1:9" x14ac:dyDescent="0.3">
      <c r="A54" s="34">
        <v>53</v>
      </c>
      <c r="B54" s="34">
        <v>543</v>
      </c>
      <c r="C54" s="34" t="s">
        <v>7</v>
      </c>
      <c r="D54" s="34">
        <v>30</v>
      </c>
      <c r="E54" s="34">
        <v>6350</v>
      </c>
      <c r="F54" s="34">
        <v>31</v>
      </c>
      <c r="G54" s="34" t="s">
        <v>3</v>
      </c>
      <c r="H54" s="34" t="s">
        <v>4</v>
      </c>
      <c r="I54" s="34">
        <v>0.29097585635098544</v>
      </c>
    </row>
    <row r="55" spans="1:9" x14ac:dyDescent="0.3">
      <c r="A55" s="34">
        <v>54</v>
      </c>
      <c r="B55" s="34">
        <v>128</v>
      </c>
      <c r="C55" s="34" t="s">
        <v>7</v>
      </c>
      <c r="D55" s="34">
        <v>12</v>
      </c>
      <c r="E55" s="34">
        <v>639</v>
      </c>
      <c r="F55" s="34">
        <v>30</v>
      </c>
      <c r="G55" s="34" t="s">
        <v>3</v>
      </c>
      <c r="H55" s="34" t="s">
        <v>4</v>
      </c>
      <c r="I55" s="34">
        <v>0.29755457260172513</v>
      </c>
    </row>
    <row r="56" spans="1:9" x14ac:dyDescent="0.3">
      <c r="A56" s="34">
        <v>55</v>
      </c>
      <c r="B56" s="34">
        <v>14</v>
      </c>
      <c r="C56" s="34" t="s">
        <v>7</v>
      </c>
      <c r="D56" s="34">
        <v>24</v>
      </c>
      <c r="E56" s="34">
        <v>1199</v>
      </c>
      <c r="F56" s="34">
        <v>60</v>
      </c>
      <c r="G56" s="34" t="s">
        <v>3</v>
      </c>
      <c r="H56" s="34" t="s">
        <v>4</v>
      </c>
      <c r="I56" s="34">
        <v>0.30307383035644686</v>
      </c>
    </row>
    <row r="57" spans="1:9" x14ac:dyDescent="0.3">
      <c r="A57" s="34">
        <v>56</v>
      </c>
      <c r="B57" s="34">
        <v>980</v>
      </c>
      <c r="C57" s="34" t="s">
        <v>7</v>
      </c>
      <c r="D57" s="34">
        <v>15</v>
      </c>
      <c r="E57" s="34">
        <v>1264</v>
      </c>
      <c r="F57" s="34">
        <v>25</v>
      </c>
      <c r="G57" s="34" t="s">
        <v>11</v>
      </c>
      <c r="H57" s="34" t="s">
        <v>9</v>
      </c>
      <c r="I57" s="34">
        <v>0.31229162016021084</v>
      </c>
    </row>
    <row r="58" spans="1:9" x14ac:dyDescent="0.3">
      <c r="A58" s="34">
        <v>57</v>
      </c>
      <c r="B58" s="34">
        <v>939</v>
      </c>
      <c r="C58" s="34" t="s">
        <v>7</v>
      </c>
      <c r="D58" s="34">
        <v>60</v>
      </c>
      <c r="E58" s="34">
        <v>6288</v>
      </c>
      <c r="F58" s="34">
        <v>42</v>
      </c>
      <c r="G58" s="34" t="s">
        <v>3</v>
      </c>
      <c r="H58" s="34" t="s">
        <v>8</v>
      </c>
      <c r="I58" s="34">
        <v>0.32039098172103087</v>
      </c>
    </row>
    <row r="59" spans="1:9" x14ac:dyDescent="0.3">
      <c r="A59" s="34">
        <v>58</v>
      </c>
      <c r="B59" s="34">
        <v>369</v>
      </c>
      <c r="C59" s="34" t="s">
        <v>7</v>
      </c>
      <c r="D59" s="34">
        <v>36</v>
      </c>
      <c r="E59" s="34">
        <v>3446</v>
      </c>
      <c r="F59" s="34">
        <v>42</v>
      </c>
      <c r="G59" s="34" t="s">
        <v>3</v>
      </c>
      <c r="H59" s="34" t="s">
        <v>4</v>
      </c>
      <c r="I59" s="34">
        <v>0.32129672281631771</v>
      </c>
    </row>
    <row r="60" spans="1:9" x14ac:dyDescent="0.3">
      <c r="A60" s="34">
        <v>59</v>
      </c>
      <c r="B60" s="34">
        <v>888</v>
      </c>
      <c r="C60" s="34" t="s">
        <v>7</v>
      </c>
      <c r="D60" s="34">
        <v>48</v>
      </c>
      <c r="E60" s="34">
        <v>15672</v>
      </c>
      <c r="F60" s="34">
        <v>23</v>
      </c>
      <c r="G60" s="34" t="s">
        <v>3</v>
      </c>
      <c r="H60" s="34" t="s">
        <v>4</v>
      </c>
      <c r="I60" s="34">
        <v>0.3255766720781994</v>
      </c>
    </row>
    <row r="61" spans="1:9" x14ac:dyDescent="0.3">
      <c r="A61" s="34">
        <v>60</v>
      </c>
      <c r="B61" s="34">
        <v>417</v>
      </c>
      <c r="C61" s="34" t="s">
        <v>7</v>
      </c>
      <c r="D61" s="34">
        <v>12</v>
      </c>
      <c r="E61" s="34">
        <v>2579</v>
      </c>
      <c r="F61" s="34">
        <v>33</v>
      </c>
      <c r="G61" s="34" t="s">
        <v>3</v>
      </c>
      <c r="H61" s="34" t="s">
        <v>4</v>
      </c>
      <c r="I61" s="34">
        <v>0.32758351355812942</v>
      </c>
    </row>
    <row r="62" spans="1:9" x14ac:dyDescent="0.3">
      <c r="A62" s="34">
        <v>61</v>
      </c>
      <c r="B62" s="34">
        <v>581</v>
      </c>
      <c r="C62" s="34" t="s">
        <v>7</v>
      </c>
      <c r="D62" s="34">
        <v>18</v>
      </c>
      <c r="E62" s="34">
        <v>1056</v>
      </c>
      <c r="F62" s="34">
        <v>30</v>
      </c>
      <c r="G62" s="34" t="s">
        <v>3</v>
      </c>
      <c r="H62" s="34" t="s">
        <v>4</v>
      </c>
      <c r="I62" s="34">
        <v>0.3314832887580591</v>
      </c>
    </row>
    <row r="63" spans="1:9" x14ac:dyDescent="0.3">
      <c r="A63" s="34">
        <v>62</v>
      </c>
      <c r="B63" s="34">
        <v>204</v>
      </c>
      <c r="C63" s="34" t="s">
        <v>7</v>
      </c>
      <c r="D63" s="34">
        <v>12</v>
      </c>
      <c r="E63" s="34">
        <v>902</v>
      </c>
      <c r="F63" s="34">
        <v>21</v>
      </c>
      <c r="G63" s="34" t="s">
        <v>11</v>
      </c>
      <c r="H63" s="34" t="s">
        <v>9</v>
      </c>
      <c r="I63" s="34">
        <v>0.33158959266693311</v>
      </c>
    </row>
    <row r="64" spans="1:9" x14ac:dyDescent="0.3">
      <c r="A64" s="34">
        <v>63</v>
      </c>
      <c r="B64" s="34">
        <v>797</v>
      </c>
      <c r="C64" s="34" t="s">
        <v>7</v>
      </c>
      <c r="D64" s="34">
        <v>18</v>
      </c>
      <c r="E64" s="34">
        <v>7511</v>
      </c>
      <c r="F64" s="34">
        <v>51</v>
      </c>
      <c r="G64" s="34" t="s">
        <v>3</v>
      </c>
      <c r="H64" s="34" t="s">
        <v>8</v>
      </c>
      <c r="I64" s="34">
        <v>0.33711004526064148</v>
      </c>
    </row>
    <row r="65" spans="1:9" x14ac:dyDescent="0.3">
      <c r="A65" s="34">
        <v>64</v>
      </c>
      <c r="B65" s="34">
        <v>851</v>
      </c>
      <c r="C65" s="34" t="s">
        <v>7</v>
      </c>
      <c r="D65" s="34">
        <v>20</v>
      </c>
      <c r="E65" s="34">
        <v>2235</v>
      </c>
      <c r="F65" s="34">
        <v>33</v>
      </c>
      <c r="G65" s="34" t="s">
        <v>11</v>
      </c>
      <c r="H65" s="34" t="s">
        <v>9</v>
      </c>
      <c r="I65" s="34">
        <v>0.33716302205467918</v>
      </c>
    </row>
    <row r="66" spans="1:9" x14ac:dyDescent="0.3">
      <c r="A66" s="34">
        <v>65</v>
      </c>
      <c r="B66" s="34">
        <v>823</v>
      </c>
      <c r="C66" s="34" t="s">
        <v>7</v>
      </c>
      <c r="D66" s="34">
        <v>36</v>
      </c>
      <c r="E66" s="34">
        <v>2712</v>
      </c>
      <c r="F66" s="34">
        <v>41</v>
      </c>
      <c r="G66" s="34" t="s">
        <v>3</v>
      </c>
      <c r="H66" s="34" t="s">
        <v>4</v>
      </c>
      <c r="I66" s="34">
        <v>0.34305960129335999</v>
      </c>
    </row>
    <row r="67" spans="1:9" x14ac:dyDescent="0.3">
      <c r="A67" s="34">
        <v>66</v>
      </c>
      <c r="B67" s="34">
        <v>707</v>
      </c>
      <c r="C67" s="34" t="s">
        <v>7</v>
      </c>
      <c r="D67" s="34">
        <v>48</v>
      </c>
      <c r="E67" s="34">
        <v>6560</v>
      </c>
      <c r="F67" s="34">
        <v>24</v>
      </c>
      <c r="G67" s="34" t="s">
        <v>3</v>
      </c>
      <c r="H67" s="34" t="s">
        <v>4</v>
      </c>
      <c r="I67" s="34">
        <v>0.34468274242937402</v>
      </c>
    </row>
    <row r="68" spans="1:9" x14ac:dyDescent="0.3">
      <c r="A68" s="34">
        <v>67</v>
      </c>
      <c r="B68" s="34">
        <v>227</v>
      </c>
      <c r="C68" s="34" t="s">
        <v>7</v>
      </c>
      <c r="D68" s="34">
        <v>48</v>
      </c>
      <c r="E68" s="34">
        <v>10961</v>
      </c>
      <c r="F68" s="34">
        <v>27</v>
      </c>
      <c r="G68" s="34" t="s">
        <v>3</v>
      </c>
      <c r="H68" s="34" t="s">
        <v>4</v>
      </c>
      <c r="I68" s="34">
        <v>0.34939229877221023</v>
      </c>
    </row>
    <row r="69" spans="1:9" x14ac:dyDescent="0.3">
      <c r="A69" s="34">
        <v>68</v>
      </c>
      <c r="B69" s="34">
        <v>789</v>
      </c>
      <c r="C69" s="34" t="s">
        <v>7</v>
      </c>
      <c r="D69" s="34">
        <v>48</v>
      </c>
      <c r="E69" s="34">
        <v>6224</v>
      </c>
      <c r="F69" s="34">
        <v>50</v>
      </c>
      <c r="G69" s="34" t="s">
        <v>3</v>
      </c>
      <c r="H69" s="34" t="s">
        <v>8</v>
      </c>
      <c r="I69" s="34">
        <v>0.3518435069779654</v>
      </c>
    </row>
    <row r="70" spans="1:9" x14ac:dyDescent="0.3">
      <c r="A70" s="34">
        <v>69</v>
      </c>
      <c r="B70" s="34">
        <v>511</v>
      </c>
      <c r="C70" s="34" t="s">
        <v>7</v>
      </c>
      <c r="D70" s="34">
        <v>12</v>
      </c>
      <c r="E70" s="34">
        <v>759</v>
      </c>
      <c r="F70" s="34">
        <v>26</v>
      </c>
      <c r="G70" s="34" t="s">
        <v>3</v>
      </c>
      <c r="H70" s="34" t="s">
        <v>4</v>
      </c>
      <c r="I70" s="34">
        <v>0.37629931977264497</v>
      </c>
    </row>
    <row r="71" spans="1:9" x14ac:dyDescent="0.3">
      <c r="A71" s="34">
        <v>70</v>
      </c>
      <c r="B71" s="34">
        <v>75</v>
      </c>
      <c r="C71" s="34" t="s">
        <v>7</v>
      </c>
      <c r="D71" s="34">
        <v>36</v>
      </c>
      <c r="E71" s="34">
        <v>1977</v>
      </c>
      <c r="F71" s="34">
        <v>40</v>
      </c>
      <c r="G71" s="34" t="s">
        <v>3</v>
      </c>
      <c r="H71" s="34" t="s">
        <v>4</v>
      </c>
      <c r="I71" s="34">
        <v>0.37719275607064828</v>
      </c>
    </row>
    <row r="72" spans="1:9" x14ac:dyDescent="0.3">
      <c r="A72" s="34">
        <v>71</v>
      </c>
      <c r="B72" s="34">
        <v>144</v>
      </c>
      <c r="C72" s="34" t="s">
        <v>7</v>
      </c>
      <c r="D72" s="34">
        <v>18</v>
      </c>
      <c r="E72" s="34">
        <v>2462</v>
      </c>
      <c r="F72" s="34">
        <v>22</v>
      </c>
      <c r="G72" s="34" t="s">
        <v>3</v>
      </c>
      <c r="H72" s="34" t="s">
        <v>4</v>
      </c>
      <c r="I72" s="34">
        <v>0.38044270880724351</v>
      </c>
    </row>
    <row r="73" spans="1:9" x14ac:dyDescent="0.3">
      <c r="A73" s="34">
        <v>72</v>
      </c>
      <c r="B73" s="34">
        <v>865</v>
      </c>
      <c r="C73" s="34" t="s">
        <v>7</v>
      </c>
      <c r="D73" s="34">
        <v>10</v>
      </c>
      <c r="E73" s="34">
        <v>2210</v>
      </c>
      <c r="F73" s="34">
        <v>25</v>
      </c>
      <c r="G73" s="34" t="s">
        <v>3</v>
      </c>
      <c r="H73" s="34" t="s">
        <v>9</v>
      </c>
      <c r="I73" s="34">
        <v>0.39019698564019312</v>
      </c>
    </row>
    <row r="74" spans="1:9" x14ac:dyDescent="0.3">
      <c r="A74" s="34">
        <v>73</v>
      </c>
      <c r="B74" s="34">
        <v>458</v>
      </c>
      <c r="C74" s="34" t="s">
        <v>7</v>
      </c>
      <c r="D74" s="34">
        <v>12</v>
      </c>
      <c r="E74" s="34">
        <v>3386</v>
      </c>
      <c r="F74" s="34">
        <v>35</v>
      </c>
      <c r="G74" s="34" t="s">
        <v>3</v>
      </c>
      <c r="H74" s="34" t="s">
        <v>8</v>
      </c>
      <c r="I74" s="34">
        <v>0.40124253271270216</v>
      </c>
    </row>
    <row r="75" spans="1:9" x14ac:dyDescent="0.3">
      <c r="A75" s="34">
        <v>74</v>
      </c>
      <c r="B75" s="34">
        <v>947</v>
      </c>
      <c r="C75" s="34" t="s">
        <v>7</v>
      </c>
      <c r="D75" s="34">
        <v>24</v>
      </c>
      <c r="E75" s="34">
        <v>3349</v>
      </c>
      <c r="F75" s="34">
        <v>30</v>
      </c>
      <c r="G75" s="34" t="s">
        <v>3</v>
      </c>
      <c r="H75" s="34" t="s">
        <v>8</v>
      </c>
      <c r="I75" s="34">
        <v>0.40307235307405453</v>
      </c>
    </row>
    <row r="76" spans="1:9" x14ac:dyDescent="0.3">
      <c r="A76" s="34">
        <v>75</v>
      </c>
      <c r="B76" s="34">
        <v>559</v>
      </c>
      <c r="C76" s="34" t="s">
        <v>7</v>
      </c>
      <c r="D76" s="34">
        <v>24</v>
      </c>
      <c r="E76" s="34">
        <v>3552</v>
      </c>
      <c r="F76" s="34">
        <v>27</v>
      </c>
      <c r="G76" s="34" t="s">
        <v>3</v>
      </c>
      <c r="H76" s="34" t="s">
        <v>4</v>
      </c>
      <c r="I76" s="34">
        <v>0.40395866243610346</v>
      </c>
    </row>
    <row r="77" spans="1:9" x14ac:dyDescent="0.3">
      <c r="A77" s="34">
        <v>76</v>
      </c>
      <c r="B77" s="34">
        <v>974</v>
      </c>
      <c r="C77" s="34" t="s">
        <v>7</v>
      </c>
      <c r="D77" s="34">
        <v>60</v>
      </c>
      <c r="E77" s="34">
        <v>7297</v>
      </c>
      <c r="F77" s="34">
        <v>36</v>
      </c>
      <c r="G77" s="34" t="s">
        <v>3</v>
      </c>
      <c r="H77" s="34" t="s">
        <v>9</v>
      </c>
      <c r="I77" s="34">
        <v>0.40398908333144923</v>
      </c>
    </row>
    <row r="78" spans="1:9" x14ac:dyDescent="0.3">
      <c r="A78" s="34">
        <v>77</v>
      </c>
      <c r="B78" s="34">
        <v>589</v>
      </c>
      <c r="C78" s="34" t="s">
        <v>7</v>
      </c>
      <c r="D78" s="34">
        <v>18</v>
      </c>
      <c r="E78" s="34">
        <v>1217</v>
      </c>
      <c r="F78" s="34">
        <v>47</v>
      </c>
      <c r="G78" s="34" t="s">
        <v>11</v>
      </c>
      <c r="H78" s="34" t="s">
        <v>4</v>
      </c>
      <c r="I78" s="34">
        <v>0.42009431354609028</v>
      </c>
    </row>
    <row r="79" spans="1:9" x14ac:dyDescent="0.3">
      <c r="A79" s="34">
        <v>78</v>
      </c>
      <c r="B79" s="34">
        <v>669</v>
      </c>
      <c r="C79" s="34" t="s">
        <v>7</v>
      </c>
      <c r="D79" s="34">
        <v>12</v>
      </c>
      <c r="E79" s="34">
        <v>4843</v>
      </c>
      <c r="F79" s="34">
        <v>43</v>
      </c>
      <c r="G79" s="34" t="s">
        <v>3</v>
      </c>
      <c r="H79" s="34" t="s">
        <v>9</v>
      </c>
      <c r="I79" s="34">
        <v>0.42086443697973841</v>
      </c>
    </row>
    <row r="80" spans="1:9" x14ac:dyDescent="0.3">
      <c r="A80" s="34">
        <v>79</v>
      </c>
      <c r="B80" s="34">
        <v>90</v>
      </c>
      <c r="C80" s="34" t="s">
        <v>7</v>
      </c>
      <c r="D80" s="34">
        <v>12</v>
      </c>
      <c r="E80" s="34">
        <v>1108</v>
      </c>
      <c r="F80" s="34">
        <v>28</v>
      </c>
      <c r="G80" s="34" t="s">
        <v>3</v>
      </c>
      <c r="H80" s="34" t="s">
        <v>4</v>
      </c>
      <c r="I80" s="34">
        <v>0.42501120875396969</v>
      </c>
    </row>
    <row r="81" spans="1:9" x14ac:dyDescent="0.3">
      <c r="A81" s="34">
        <v>80</v>
      </c>
      <c r="B81" s="34">
        <v>959</v>
      </c>
      <c r="C81" s="34" t="s">
        <v>7</v>
      </c>
      <c r="D81" s="34">
        <v>28</v>
      </c>
      <c r="E81" s="34">
        <v>4006</v>
      </c>
      <c r="F81" s="34">
        <v>45</v>
      </c>
      <c r="G81" s="34" t="s">
        <v>3</v>
      </c>
      <c r="H81" s="34" t="s">
        <v>4</v>
      </c>
      <c r="I81" s="34">
        <v>0.42659928202481423</v>
      </c>
    </row>
    <row r="82" spans="1:9" x14ac:dyDescent="0.3">
      <c r="A82" s="34">
        <v>81</v>
      </c>
      <c r="B82" s="34">
        <v>356</v>
      </c>
      <c r="C82" s="34" t="s">
        <v>7</v>
      </c>
      <c r="D82" s="34">
        <v>24</v>
      </c>
      <c r="E82" s="34">
        <v>1246</v>
      </c>
      <c r="F82" s="34">
        <v>23</v>
      </c>
      <c r="G82" s="34" t="s">
        <v>3</v>
      </c>
      <c r="H82" s="34" t="s">
        <v>4</v>
      </c>
      <c r="I82" s="34">
        <v>0.43677130445668033</v>
      </c>
    </row>
    <row r="83" spans="1:9" x14ac:dyDescent="0.3">
      <c r="A83" s="34">
        <v>82</v>
      </c>
      <c r="B83" s="34">
        <v>258</v>
      </c>
      <c r="C83" s="34" t="s">
        <v>7</v>
      </c>
      <c r="D83" s="34">
        <v>12</v>
      </c>
      <c r="E83" s="34">
        <v>2149</v>
      </c>
      <c r="F83" s="34">
        <v>29</v>
      </c>
      <c r="G83" s="34" t="s">
        <v>10</v>
      </c>
      <c r="H83" s="34" t="s">
        <v>8</v>
      </c>
      <c r="I83" s="34">
        <v>0.43949424919469227</v>
      </c>
    </row>
    <row r="84" spans="1:9" x14ac:dyDescent="0.3">
      <c r="A84" s="34">
        <v>83</v>
      </c>
      <c r="B84" s="34">
        <v>536</v>
      </c>
      <c r="C84" s="34" t="s">
        <v>7</v>
      </c>
      <c r="D84" s="34">
        <v>21</v>
      </c>
      <c r="E84" s="34">
        <v>2319</v>
      </c>
      <c r="F84" s="34">
        <v>33</v>
      </c>
      <c r="G84" s="34" t="s">
        <v>10</v>
      </c>
      <c r="H84" s="34" t="s">
        <v>9</v>
      </c>
      <c r="I84" s="34">
        <v>0.44842882744315349</v>
      </c>
    </row>
    <row r="85" spans="1:9" x14ac:dyDescent="0.3">
      <c r="A85" s="34">
        <v>84</v>
      </c>
      <c r="B85" s="34">
        <v>316</v>
      </c>
      <c r="C85" s="34" t="s">
        <v>7</v>
      </c>
      <c r="D85" s="34">
        <v>36</v>
      </c>
      <c r="E85" s="34">
        <v>2746</v>
      </c>
      <c r="F85" s="34">
        <v>31</v>
      </c>
      <c r="G85" s="34" t="s">
        <v>3</v>
      </c>
      <c r="H85" s="34" t="s">
        <v>4</v>
      </c>
      <c r="I85" s="34">
        <v>0.45530679366175097</v>
      </c>
    </row>
    <row r="86" spans="1:9" x14ac:dyDescent="0.3">
      <c r="A86" s="34">
        <v>85</v>
      </c>
      <c r="B86" s="34">
        <v>649</v>
      </c>
      <c r="C86" s="34" t="s">
        <v>7</v>
      </c>
      <c r="D86" s="34">
        <v>24</v>
      </c>
      <c r="E86" s="34">
        <v>947</v>
      </c>
      <c r="F86" s="34">
        <v>38</v>
      </c>
      <c r="G86" s="34" t="s">
        <v>3</v>
      </c>
      <c r="H86" s="34" t="s">
        <v>8</v>
      </c>
      <c r="I86" s="34">
        <v>0.45969180456747927</v>
      </c>
    </row>
    <row r="87" spans="1:9" x14ac:dyDescent="0.3">
      <c r="A87" s="34">
        <v>86</v>
      </c>
      <c r="B87" s="34">
        <v>862</v>
      </c>
      <c r="C87" s="34" t="s">
        <v>7</v>
      </c>
      <c r="D87" s="34">
        <v>18</v>
      </c>
      <c r="E87" s="34">
        <v>2169</v>
      </c>
      <c r="F87" s="34">
        <v>28</v>
      </c>
      <c r="G87" s="34" t="s">
        <v>11</v>
      </c>
      <c r="H87" s="34" t="s">
        <v>4</v>
      </c>
      <c r="I87" s="34">
        <v>0.46764712157831123</v>
      </c>
    </row>
    <row r="88" spans="1:9" x14ac:dyDescent="0.3">
      <c r="A88" s="34">
        <v>87</v>
      </c>
      <c r="B88" s="34">
        <v>410</v>
      </c>
      <c r="C88" s="34" t="s">
        <v>7</v>
      </c>
      <c r="D88" s="34">
        <v>12</v>
      </c>
      <c r="E88" s="34">
        <v>939</v>
      </c>
      <c r="F88" s="34">
        <v>28</v>
      </c>
      <c r="G88" s="34" t="s">
        <v>11</v>
      </c>
      <c r="H88" s="34" t="s">
        <v>4</v>
      </c>
      <c r="I88" s="34">
        <v>0.47357246932451336</v>
      </c>
    </row>
    <row r="89" spans="1:9" x14ac:dyDescent="0.3">
      <c r="A89" s="34">
        <v>88</v>
      </c>
      <c r="B89" s="34">
        <v>584</v>
      </c>
      <c r="C89" s="34" t="s">
        <v>7</v>
      </c>
      <c r="D89" s="34">
        <v>36</v>
      </c>
      <c r="E89" s="34">
        <v>2384</v>
      </c>
      <c r="F89" s="34">
        <v>33</v>
      </c>
      <c r="G89" s="34" t="s">
        <v>3</v>
      </c>
      <c r="H89" s="34" t="s">
        <v>9</v>
      </c>
      <c r="I89" s="34">
        <v>0.47362224459712421</v>
      </c>
    </row>
    <row r="90" spans="1:9" x14ac:dyDescent="0.3">
      <c r="A90" s="34">
        <v>89</v>
      </c>
      <c r="B90" s="34">
        <v>925</v>
      </c>
      <c r="C90" s="34" t="s">
        <v>7</v>
      </c>
      <c r="D90" s="34">
        <v>24</v>
      </c>
      <c r="E90" s="34">
        <v>6872</v>
      </c>
      <c r="F90" s="34">
        <v>55</v>
      </c>
      <c r="G90" s="34" t="s">
        <v>10</v>
      </c>
      <c r="H90" s="34" t="s">
        <v>4</v>
      </c>
      <c r="I90" s="34">
        <v>0.47980150256619458</v>
      </c>
    </row>
    <row r="91" spans="1:9" x14ac:dyDescent="0.3">
      <c r="A91" s="34">
        <v>90</v>
      </c>
      <c r="B91" s="34">
        <v>214</v>
      </c>
      <c r="C91" s="34" t="s">
        <v>7</v>
      </c>
      <c r="D91" s="34">
        <v>30</v>
      </c>
      <c r="E91" s="34">
        <v>1908</v>
      </c>
      <c r="F91" s="34">
        <v>66</v>
      </c>
      <c r="G91" s="34" t="s">
        <v>3</v>
      </c>
      <c r="H91" s="34" t="s">
        <v>4</v>
      </c>
      <c r="I91" s="34">
        <v>0.48610309455194878</v>
      </c>
    </row>
    <row r="92" spans="1:9" x14ac:dyDescent="0.3">
      <c r="A92" s="34">
        <v>91</v>
      </c>
      <c r="B92" s="34">
        <v>850</v>
      </c>
      <c r="C92" s="34" t="s">
        <v>7</v>
      </c>
      <c r="D92" s="34">
        <v>12</v>
      </c>
      <c r="E92" s="34">
        <v>709</v>
      </c>
      <c r="F92" s="34">
        <v>57</v>
      </c>
      <c r="G92" s="34" t="s">
        <v>3</v>
      </c>
      <c r="H92" s="34" t="s">
        <v>4</v>
      </c>
      <c r="I92" s="34">
        <v>0.487360028974133</v>
      </c>
    </row>
    <row r="93" spans="1:9" x14ac:dyDescent="0.3">
      <c r="A93" s="34">
        <v>92</v>
      </c>
      <c r="B93" s="34">
        <v>30</v>
      </c>
      <c r="C93" s="34" t="s">
        <v>7</v>
      </c>
      <c r="D93" s="34">
        <v>60</v>
      </c>
      <c r="E93" s="34">
        <v>6836</v>
      </c>
      <c r="F93" s="34">
        <v>63</v>
      </c>
      <c r="G93" s="34" t="s">
        <v>3</v>
      </c>
      <c r="H93" s="34" t="s">
        <v>4</v>
      </c>
      <c r="I93" s="34">
        <v>0.48754131205311757</v>
      </c>
    </row>
    <row r="94" spans="1:9" x14ac:dyDescent="0.3">
      <c r="A94" s="34">
        <v>93</v>
      </c>
      <c r="B94" s="34">
        <v>952</v>
      </c>
      <c r="C94" s="34" t="s">
        <v>7</v>
      </c>
      <c r="D94" s="34">
        <v>36</v>
      </c>
      <c r="E94" s="34">
        <v>2145</v>
      </c>
      <c r="F94" s="34">
        <v>24</v>
      </c>
      <c r="G94" s="34" t="s">
        <v>3</v>
      </c>
      <c r="H94" s="34" t="s">
        <v>4</v>
      </c>
      <c r="I94" s="34">
        <v>0.49382104484572786</v>
      </c>
    </row>
    <row r="95" spans="1:9" x14ac:dyDescent="0.3">
      <c r="A95" s="34">
        <v>94</v>
      </c>
      <c r="B95" s="34">
        <v>471</v>
      </c>
      <c r="C95" s="34" t="s">
        <v>7</v>
      </c>
      <c r="D95" s="34">
        <v>24</v>
      </c>
      <c r="E95" s="34">
        <v>3092</v>
      </c>
      <c r="F95" s="34">
        <v>22</v>
      </c>
      <c r="G95" s="34" t="s">
        <v>11</v>
      </c>
      <c r="H95" s="34" t="s">
        <v>9</v>
      </c>
      <c r="I95" s="34">
        <v>0.49442382713038702</v>
      </c>
    </row>
    <row r="96" spans="1:9" x14ac:dyDescent="0.3">
      <c r="A96" s="34">
        <v>95</v>
      </c>
      <c r="B96" s="34">
        <v>170</v>
      </c>
      <c r="C96" s="34" t="s">
        <v>7</v>
      </c>
      <c r="D96" s="34">
        <v>24</v>
      </c>
      <c r="E96" s="34">
        <v>1935</v>
      </c>
      <c r="F96" s="34">
        <v>31</v>
      </c>
      <c r="G96" s="34" t="s">
        <v>10</v>
      </c>
      <c r="H96" s="34" t="s">
        <v>4</v>
      </c>
      <c r="I96" s="34">
        <v>0.49545078835510747</v>
      </c>
    </row>
    <row r="97" spans="1:9" x14ac:dyDescent="0.3">
      <c r="A97" s="34">
        <v>96</v>
      </c>
      <c r="B97" s="34">
        <v>450</v>
      </c>
      <c r="C97" s="34" t="s">
        <v>7</v>
      </c>
      <c r="D97" s="34">
        <v>15</v>
      </c>
      <c r="E97" s="34">
        <v>1512</v>
      </c>
      <c r="F97" s="34">
        <v>61</v>
      </c>
      <c r="G97" s="34" t="s">
        <v>11</v>
      </c>
      <c r="H97" s="34" t="s">
        <v>4</v>
      </c>
      <c r="I97" s="34">
        <v>0.50097773562942338</v>
      </c>
    </row>
    <row r="98" spans="1:9" x14ac:dyDescent="0.3">
      <c r="A98" s="34">
        <v>97</v>
      </c>
      <c r="B98" s="34">
        <v>413</v>
      </c>
      <c r="C98" s="34" t="s">
        <v>7</v>
      </c>
      <c r="D98" s="34">
        <v>12</v>
      </c>
      <c r="E98" s="34">
        <v>2292</v>
      </c>
      <c r="F98" s="34">
        <v>42</v>
      </c>
      <c r="G98" s="34" t="s">
        <v>3</v>
      </c>
      <c r="H98" s="34" t="s">
        <v>4</v>
      </c>
      <c r="I98" s="34">
        <v>0.50159247237846982</v>
      </c>
    </row>
    <row r="99" spans="1:9" x14ac:dyDescent="0.3">
      <c r="A99" s="34">
        <v>98</v>
      </c>
      <c r="B99" s="34">
        <v>560</v>
      </c>
      <c r="C99" s="34" t="s">
        <v>7</v>
      </c>
      <c r="D99" s="34">
        <v>18</v>
      </c>
      <c r="E99" s="34">
        <v>1928</v>
      </c>
      <c r="F99" s="34">
        <v>31</v>
      </c>
      <c r="G99" s="34" t="s">
        <v>3</v>
      </c>
      <c r="H99" s="34" t="s">
        <v>4</v>
      </c>
      <c r="I99" s="34">
        <v>0.51312572842813731</v>
      </c>
    </row>
    <row r="100" spans="1:9" x14ac:dyDescent="0.3">
      <c r="A100" s="34">
        <v>99</v>
      </c>
      <c r="B100" s="34">
        <v>336</v>
      </c>
      <c r="C100" s="34" t="s">
        <v>7</v>
      </c>
      <c r="D100" s="34">
        <v>6</v>
      </c>
      <c r="E100" s="34">
        <v>3384</v>
      </c>
      <c r="F100" s="34">
        <v>44</v>
      </c>
      <c r="G100" s="34" t="s">
        <v>10</v>
      </c>
      <c r="H100" s="34" t="s">
        <v>9</v>
      </c>
      <c r="I100" s="34">
        <v>0.51559454677082084</v>
      </c>
    </row>
    <row r="101" spans="1:9" x14ac:dyDescent="0.3">
      <c r="A101" s="34">
        <v>100</v>
      </c>
      <c r="B101" s="34">
        <v>828</v>
      </c>
      <c r="C101" s="34" t="s">
        <v>7</v>
      </c>
      <c r="D101" s="34">
        <v>18</v>
      </c>
      <c r="E101" s="34">
        <v>4165</v>
      </c>
      <c r="F101" s="34">
        <v>36</v>
      </c>
      <c r="G101" s="34" t="s">
        <v>3</v>
      </c>
      <c r="H101" s="34" t="s">
        <v>4</v>
      </c>
      <c r="I101" s="34">
        <v>0.51635559857018654</v>
      </c>
    </row>
    <row r="102" spans="1:9" x14ac:dyDescent="0.3">
      <c r="A102" s="34">
        <v>101</v>
      </c>
      <c r="B102" s="34">
        <v>444</v>
      </c>
      <c r="C102" s="34" t="s">
        <v>7</v>
      </c>
      <c r="D102" s="34">
        <v>12</v>
      </c>
      <c r="E102" s="34">
        <v>719</v>
      </c>
      <c r="F102" s="34">
        <v>41</v>
      </c>
      <c r="G102" s="34" t="s">
        <v>3</v>
      </c>
      <c r="H102" s="34" t="s">
        <v>4</v>
      </c>
      <c r="I102" s="34">
        <v>0.51989937691791421</v>
      </c>
    </row>
    <row r="103" spans="1:9" x14ac:dyDescent="0.3">
      <c r="A103" s="34">
        <v>102</v>
      </c>
      <c r="B103" s="34">
        <v>836</v>
      </c>
      <c r="C103" s="34" t="s">
        <v>7</v>
      </c>
      <c r="D103" s="34">
        <v>12</v>
      </c>
      <c r="E103" s="34">
        <v>1082</v>
      </c>
      <c r="F103" s="34">
        <v>48</v>
      </c>
      <c r="G103" s="34" t="s">
        <v>3</v>
      </c>
      <c r="H103" s="34" t="s">
        <v>4</v>
      </c>
      <c r="I103" s="34">
        <v>0.5207310215435722</v>
      </c>
    </row>
    <row r="104" spans="1:9" x14ac:dyDescent="0.3">
      <c r="A104" s="34">
        <v>103</v>
      </c>
      <c r="B104" s="34">
        <v>539</v>
      </c>
      <c r="C104" s="34" t="s">
        <v>7</v>
      </c>
      <c r="D104" s="34">
        <v>48</v>
      </c>
      <c r="E104" s="34">
        <v>7763</v>
      </c>
      <c r="F104" s="34">
        <v>42</v>
      </c>
      <c r="G104" s="34" t="s">
        <v>3</v>
      </c>
      <c r="H104" s="34" t="s">
        <v>8</v>
      </c>
      <c r="I104" s="34">
        <v>0.52746487104616979</v>
      </c>
    </row>
    <row r="105" spans="1:9" x14ac:dyDescent="0.3">
      <c r="A105" s="34">
        <v>104</v>
      </c>
      <c r="B105" s="34">
        <v>455</v>
      </c>
      <c r="C105" s="34" t="s">
        <v>7</v>
      </c>
      <c r="D105" s="34">
        <v>24</v>
      </c>
      <c r="E105" s="34">
        <v>4817</v>
      </c>
      <c r="F105" s="34">
        <v>31</v>
      </c>
      <c r="G105" s="34" t="s">
        <v>3</v>
      </c>
      <c r="H105" s="34" t="s">
        <v>4</v>
      </c>
      <c r="I105" s="34">
        <v>0.54351353609756203</v>
      </c>
    </row>
    <row r="106" spans="1:9" x14ac:dyDescent="0.3">
      <c r="A106" s="34">
        <v>105</v>
      </c>
      <c r="B106" s="34">
        <v>790</v>
      </c>
      <c r="C106" s="34" t="s">
        <v>7</v>
      </c>
      <c r="D106" s="34">
        <v>40</v>
      </c>
      <c r="E106" s="34">
        <v>5998</v>
      </c>
      <c r="F106" s="34">
        <v>27</v>
      </c>
      <c r="G106" s="34" t="s">
        <v>3</v>
      </c>
      <c r="H106" s="34" t="s">
        <v>4</v>
      </c>
      <c r="I106" s="34">
        <v>0.55483849753441628</v>
      </c>
    </row>
    <row r="107" spans="1:9" x14ac:dyDescent="0.3">
      <c r="A107" s="34">
        <v>106</v>
      </c>
      <c r="B107" s="34">
        <v>915</v>
      </c>
      <c r="C107" s="34" t="s">
        <v>7</v>
      </c>
      <c r="D107" s="34">
        <v>24</v>
      </c>
      <c r="E107" s="34">
        <v>3161</v>
      </c>
      <c r="F107" s="34">
        <v>31</v>
      </c>
      <c r="G107" s="34" t="s">
        <v>3</v>
      </c>
      <c r="H107" s="34" t="s">
        <v>9</v>
      </c>
      <c r="I107" s="34">
        <v>0.55659944979922182</v>
      </c>
    </row>
    <row r="108" spans="1:9" x14ac:dyDescent="0.3">
      <c r="A108" s="34">
        <v>107</v>
      </c>
      <c r="B108" s="34">
        <v>350</v>
      </c>
      <c r="C108" s="34" t="s">
        <v>7</v>
      </c>
      <c r="D108" s="34">
        <v>9</v>
      </c>
      <c r="E108" s="34">
        <v>1136</v>
      </c>
      <c r="F108" s="34">
        <v>32</v>
      </c>
      <c r="G108" s="34" t="s">
        <v>3</v>
      </c>
      <c r="H108" s="34" t="s">
        <v>8</v>
      </c>
      <c r="I108" s="34">
        <v>0.5620288838307308</v>
      </c>
    </row>
    <row r="109" spans="1:9" x14ac:dyDescent="0.3">
      <c r="A109" s="34">
        <v>108</v>
      </c>
      <c r="B109" s="34">
        <v>175</v>
      </c>
      <c r="C109" s="34" t="s">
        <v>7</v>
      </c>
      <c r="D109" s="34">
        <v>21</v>
      </c>
      <c r="E109" s="34">
        <v>3414</v>
      </c>
      <c r="F109" s="34">
        <v>26</v>
      </c>
      <c r="G109" s="34" t="s">
        <v>3</v>
      </c>
      <c r="H109" s="34" t="s">
        <v>4</v>
      </c>
      <c r="I109" s="34">
        <v>0.56423787302787676</v>
      </c>
    </row>
    <row r="110" spans="1:9" x14ac:dyDescent="0.3">
      <c r="A110" s="34">
        <v>109</v>
      </c>
      <c r="B110" s="34">
        <v>847</v>
      </c>
      <c r="C110" s="34" t="s">
        <v>7</v>
      </c>
      <c r="D110" s="34">
        <v>18</v>
      </c>
      <c r="E110" s="34">
        <v>6761</v>
      </c>
      <c r="F110" s="34">
        <v>68</v>
      </c>
      <c r="G110" s="34" t="s">
        <v>3</v>
      </c>
      <c r="H110" s="34" t="s">
        <v>9</v>
      </c>
      <c r="I110" s="34">
        <v>0.57937293913577381</v>
      </c>
    </row>
    <row r="111" spans="1:9" x14ac:dyDescent="0.3">
      <c r="A111" s="34">
        <v>110</v>
      </c>
      <c r="B111" s="34">
        <v>652</v>
      </c>
      <c r="C111" s="34" t="s">
        <v>7</v>
      </c>
      <c r="D111" s="34">
        <v>12</v>
      </c>
      <c r="E111" s="34">
        <v>1922</v>
      </c>
      <c r="F111" s="34">
        <v>37</v>
      </c>
      <c r="G111" s="34" t="s">
        <v>3</v>
      </c>
      <c r="H111" s="34" t="s">
        <v>4</v>
      </c>
      <c r="I111" s="34">
        <v>0.58472837677230538</v>
      </c>
    </row>
    <row r="112" spans="1:9" x14ac:dyDescent="0.3">
      <c r="A112" s="34">
        <v>111</v>
      </c>
      <c r="B112" s="34">
        <v>189</v>
      </c>
      <c r="C112" s="34" t="s">
        <v>7</v>
      </c>
      <c r="D112" s="34">
        <v>12</v>
      </c>
      <c r="E112" s="34">
        <v>674</v>
      </c>
      <c r="F112" s="34">
        <v>20</v>
      </c>
      <c r="G112" s="34" t="s">
        <v>11</v>
      </c>
      <c r="H112" s="34" t="s">
        <v>4</v>
      </c>
      <c r="I112" s="34">
        <v>0.59071056531884336</v>
      </c>
    </row>
    <row r="113" spans="1:9" x14ac:dyDescent="0.3">
      <c r="A113" s="34">
        <v>112</v>
      </c>
      <c r="B113" s="34">
        <v>967</v>
      </c>
      <c r="C113" s="34" t="s">
        <v>7</v>
      </c>
      <c r="D113" s="34">
        <v>27</v>
      </c>
      <c r="E113" s="34">
        <v>2520</v>
      </c>
      <c r="F113" s="34">
        <v>23</v>
      </c>
      <c r="G113" s="34" t="s">
        <v>3</v>
      </c>
      <c r="H113" s="34" t="s">
        <v>4</v>
      </c>
      <c r="I113" s="34">
        <v>0.59856299143388514</v>
      </c>
    </row>
    <row r="114" spans="1:9" x14ac:dyDescent="0.3">
      <c r="A114" s="34">
        <v>113</v>
      </c>
      <c r="B114" s="34">
        <v>675</v>
      </c>
      <c r="C114" s="34" t="s">
        <v>7</v>
      </c>
      <c r="D114" s="34">
        <v>21</v>
      </c>
      <c r="E114" s="34">
        <v>2580</v>
      </c>
      <c r="F114" s="34">
        <v>41</v>
      </c>
      <c r="G114" s="34" t="s">
        <v>3</v>
      </c>
      <c r="H114" s="34" t="s">
        <v>4</v>
      </c>
      <c r="I114" s="34">
        <v>0.60150323313619802</v>
      </c>
    </row>
    <row r="115" spans="1:9" x14ac:dyDescent="0.3">
      <c r="A115" s="34">
        <v>114</v>
      </c>
      <c r="B115" s="34">
        <v>406</v>
      </c>
      <c r="C115" s="34" t="s">
        <v>7</v>
      </c>
      <c r="D115" s="34">
        <v>24</v>
      </c>
      <c r="E115" s="34">
        <v>2039</v>
      </c>
      <c r="F115" s="34">
        <v>22</v>
      </c>
      <c r="G115" s="34" t="s">
        <v>11</v>
      </c>
      <c r="H115" s="34" t="s">
        <v>4</v>
      </c>
      <c r="I115" s="34">
        <v>0.60173989989308185</v>
      </c>
    </row>
    <row r="116" spans="1:9" x14ac:dyDescent="0.3">
      <c r="A116" s="34">
        <v>115</v>
      </c>
      <c r="B116" s="34">
        <v>88</v>
      </c>
      <c r="C116" s="34" t="s">
        <v>7</v>
      </c>
      <c r="D116" s="34">
        <v>36</v>
      </c>
      <c r="E116" s="34">
        <v>12612</v>
      </c>
      <c r="F116" s="34">
        <v>47</v>
      </c>
      <c r="G116" s="34" t="s">
        <v>3</v>
      </c>
      <c r="H116" s="34" t="s">
        <v>8</v>
      </c>
      <c r="I116" s="34">
        <v>0.60753569590435008</v>
      </c>
    </row>
    <row r="117" spans="1:9" x14ac:dyDescent="0.3">
      <c r="A117" s="34">
        <v>116</v>
      </c>
      <c r="B117" s="34">
        <v>64</v>
      </c>
      <c r="C117" s="34" t="s">
        <v>7</v>
      </c>
      <c r="D117" s="34">
        <v>48</v>
      </c>
      <c r="E117" s="34">
        <v>14421</v>
      </c>
      <c r="F117" s="34">
        <v>25</v>
      </c>
      <c r="G117" s="34" t="s">
        <v>3</v>
      </c>
      <c r="H117" s="34" t="s">
        <v>4</v>
      </c>
      <c r="I117" s="34">
        <v>0.6092923684130066</v>
      </c>
    </row>
    <row r="118" spans="1:9" x14ac:dyDescent="0.3">
      <c r="A118" s="34">
        <v>117</v>
      </c>
      <c r="B118" s="34">
        <v>486</v>
      </c>
      <c r="C118" s="34" t="s">
        <v>7</v>
      </c>
      <c r="D118" s="34">
        <v>6</v>
      </c>
      <c r="E118" s="34">
        <v>1209</v>
      </c>
      <c r="F118" s="34">
        <v>47</v>
      </c>
      <c r="G118" s="34" t="s">
        <v>3</v>
      </c>
      <c r="H118" s="34" t="s">
        <v>4</v>
      </c>
      <c r="I118" s="34">
        <v>0.60931904014764815</v>
      </c>
    </row>
    <row r="119" spans="1:9" x14ac:dyDescent="0.3">
      <c r="A119" s="34">
        <v>118</v>
      </c>
      <c r="B119" s="34">
        <v>403</v>
      </c>
      <c r="C119" s="34" t="s">
        <v>7</v>
      </c>
      <c r="D119" s="34">
        <v>24</v>
      </c>
      <c r="E119" s="34">
        <v>8648</v>
      </c>
      <c r="F119" s="34">
        <v>27</v>
      </c>
      <c r="G119" s="34" t="s">
        <v>3</v>
      </c>
      <c r="H119" s="34" t="s">
        <v>4</v>
      </c>
      <c r="I119" s="34">
        <v>0.61032781115151535</v>
      </c>
    </row>
    <row r="120" spans="1:9" x14ac:dyDescent="0.3">
      <c r="A120" s="34">
        <v>119</v>
      </c>
      <c r="B120" s="34">
        <v>918</v>
      </c>
      <c r="C120" s="34" t="s">
        <v>7</v>
      </c>
      <c r="D120" s="34">
        <v>6</v>
      </c>
      <c r="E120" s="34">
        <v>14896</v>
      </c>
      <c r="F120" s="34">
        <v>68</v>
      </c>
      <c r="G120" s="34" t="s">
        <v>3</v>
      </c>
      <c r="H120" s="34" t="s">
        <v>4</v>
      </c>
      <c r="I120" s="34">
        <v>0.6253061212015264</v>
      </c>
    </row>
    <row r="121" spans="1:9" x14ac:dyDescent="0.3">
      <c r="A121" s="34">
        <v>120</v>
      </c>
      <c r="B121" s="34">
        <v>546</v>
      </c>
      <c r="C121" s="34" t="s">
        <v>7</v>
      </c>
      <c r="D121" s="34">
        <v>24</v>
      </c>
      <c r="E121" s="34">
        <v>1333</v>
      </c>
      <c r="F121" s="34">
        <v>43</v>
      </c>
      <c r="G121" s="34" t="s">
        <v>3</v>
      </c>
      <c r="H121" s="34" t="s">
        <v>8</v>
      </c>
      <c r="I121" s="34">
        <v>0.62694175451456846</v>
      </c>
    </row>
    <row r="122" spans="1:9" x14ac:dyDescent="0.3">
      <c r="A122" s="34">
        <v>121</v>
      </c>
      <c r="B122" s="34">
        <v>564</v>
      </c>
      <c r="C122" s="34" t="s">
        <v>7</v>
      </c>
      <c r="D122" s="34">
        <v>36</v>
      </c>
      <c r="E122" s="34">
        <v>12389</v>
      </c>
      <c r="F122" s="34">
        <v>37</v>
      </c>
      <c r="G122" s="34" t="s">
        <v>3</v>
      </c>
      <c r="H122" s="34" t="s">
        <v>8</v>
      </c>
      <c r="I122" s="34">
        <v>0.62764612840749845</v>
      </c>
    </row>
    <row r="123" spans="1:9" x14ac:dyDescent="0.3">
      <c r="A123" s="34">
        <v>122</v>
      </c>
      <c r="B123" s="34">
        <v>266</v>
      </c>
      <c r="C123" s="34" t="s">
        <v>7</v>
      </c>
      <c r="D123" s="34">
        <v>15</v>
      </c>
      <c r="E123" s="34">
        <v>802</v>
      </c>
      <c r="F123" s="34">
        <v>37</v>
      </c>
      <c r="G123" s="34" t="s">
        <v>3</v>
      </c>
      <c r="H123" s="34" t="s">
        <v>4</v>
      </c>
      <c r="I123" s="34">
        <v>0.62791862686275657</v>
      </c>
    </row>
    <row r="124" spans="1:9" x14ac:dyDescent="0.3">
      <c r="A124" s="34">
        <v>123</v>
      </c>
      <c r="B124" s="34">
        <v>192</v>
      </c>
      <c r="C124" s="34" t="s">
        <v>7</v>
      </c>
      <c r="D124" s="34">
        <v>48</v>
      </c>
      <c r="E124" s="34">
        <v>3844</v>
      </c>
      <c r="F124" s="34">
        <v>34</v>
      </c>
      <c r="G124" s="34" t="s">
        <v>3</v>
      </c>
      <c r="H124" s="34" t="s">
        <v>8</v>
      </c>
      <c r="I124" s="34">
        <v>0.64121246138162791</v>
      </c>
    </row>
    <row r="125" spans="1:9" x14ac:dyDescent="0.3">
      <c r="A125" s="34">
        <v>124</v>
      </c>
      <c r="B125" s="34">
        <v>623</v>
      </c>
      <c r="C125" s="34" t="s">
        <v>7</v>
      </c>
      <c r="D125" s="34">
        <v>48</v>
      </c>
      <c r="E125" s="34">
        <v>3914</v>
      </c>
      <c r="F125" s="34">
        <v>38</v>
      </c>
      <c r="G125" s="34" t="s">
        <v>10</v>
      </c>
      <c r="H125" s="34" t="s">
        <v>4</v>
      </c>
      <c r="I125" s="34">
        <v>0.6427037229717254</v>
      </c>
    </row>
    <row r="126" spans="1:9" x14ac:dyDescent="0.3">
      <c r="A126" s="34">
        <v>125</v>
      </c>
      <c r="B126" s="34">
        <v>171</v>
      </c>
      <c r="C126" s="34" t="s">
        <v>7</v>
      </c>
      <c r="D126" s="34">
        <v>15</v>
      </c>
      <c r="E126" s="34">
        <v>950</v>
      </c>
      <c r="F126" s="34">
        <v>33</v>
      </c>
      <c r="G126" s="34" t="s">
        <v>3</v>
      </c>
      <c r="H126" s="34" t="s">
        <v>9</v>
      </c>
      <c r="I126" s="34">
        <v>0.64342605995514568</v>
      </c>
    </row>
    <row r="127" spans="1:9" x14ac:dyDescent="0.3">
      <c r="A127" s="34">
        <v>126</v>
      </c>
      <c r="B127" s="34">
        <v>964</v>
      </c>
      <c r="C127" s="34" t="s">
        <v>7</v>
      </c>
      <c r="D127" s="34">
        <v>24</v>
      </c>
      <c r="E127" s="34">
        <v>2397</v>
      </c>
      <c r="F127" s="34">
        <v>35</v>
      </c>
      <c r="G127" s="34" t="s">
        <v>3</v>
      </c>
      <c r="H127" s="34" t="s">
        <v>4</v>
      </c>
      <c r="I127" s="34">
        <v>0.64761028987950564</v>
      </c>
    </row>
    <row r="128" spans="1:9" x14ac:dyDescent="0.3">
      <c r="A128" s="34">
        <v>127</v>
      </c>
      <c r="B128" s="34">
        <v>715</v>
      </c>
      <c r="C128" s="34" t="s">
        <v>7</v>
      </c>
      <c r="D128" s="34">
        <v>60</v>
      </c>
      <c r="E128" s="34">
        <v>14027</v>
      </c>
      <c r="F128" s="34">
        <v>27</v>
      </c>
      <c r="G128" s="34" t="s">
        <v>3</v>
      </c>
      <c r="H128" s="34" t="s">
        <v>4</v>
      </c>
      <c r="I128" s="34">
        <v>0.64874120769799171</v>
      </c>
    </row>
    <row r="129" spans="1:9" x14ac:dyDescent="0.3">
      <c r="A129" s="34">
        <v>128</v>
      </c>
      <c r="B129" s="34">
        <v>981</v>
      </c>
      <c r="C129" s="34" t="s">
        <v>7</v>
      </c>
      <c r="D129" s="34">
        <v>30</v>
      </c>
      <c r="E129" s="34">
        <v>8386</v>
      </c>
      <c r="F129" s="34">
        <v>49</v>
      </c>
      <c r="G129" s="34" t="s">
        <v>3</v>
      </c>
      <c r="H129" s="34" t="s">
        <v>4</v>
      </c>
      <c r="I129" s="34">
        <v>0.65335054295548711</v>
      </c>
    </row>
    <row r="130" spans="1:9" x14ac:dyDescent="0.3">
      <c r="A130" s="34">
        <v>129</v>
      </c>
      <c r="B130" s="34">
        <v>77</v>
      </c>
      <c r="C130" s="34" t="s">
        <v>7</v>
      </c>
      <c r="D130" s="34">
        <v>42</v>
      </c>
      <c r="E130" s="34">
        <v>3965</v>
      </c>
      <c r="F130" s="34">
        <v>34</v>
      </c>
      <c r="G130" s="34" t="s">
        <v>3</v>
      </c>
      <c r="H130" s="34" t="s">
        <v>4</v>
      </c>
      <c r="I130" s="34">
        <v>0.68371488792511015</v>
      </c>
    </row>
    <row r="131" spans="1:9" x14ac:dyDescent="0.3">
      <c r="A131" s="34">
        <v>130</v>
      </c>
      <c r="B131" s="34">
        <v>508</v>
      </c>
      <c r="C131" s="34" t="s">
        <v>7</v>
      </c>
      <c r="D131" s="34">
        <v>15</v>
      </c>
      <c r="E131" s="34">
        <v>6850</v>
      </c>
      <c r="F131" s="34">
        <v>34</v>
      </c>
      <c r="G131" s="34" t="s">
        <v>3</v>
      </c>
      <c r="H131" s="34" t="s">
        <v>4</v>
      </c>
      <c r="I131" s="34">
        <v>0.68906753428765044</v>
      </c>
    </row>
    <row r="132" spans="1:9" x14ac:dyDescent="0.3">
      <c r="A132" s="34">
        <v>131</v>
      </c>
      <c r="B132" s="34">
        <v>183</v>
      </c>
      <c r="C132" s="34" t="s">
        <v>7</v>
      </c>
      <c r="D132" s="34">
        <v>21</v>
      </c>
      <c r="E132" s="34">
        <v>1647</v>
      </c>
      <c r="F132" s="34">
        <v>40</v>
      </c>
      <c r="G132" s="34" t="s">
        <v>3</v>
      </c>
      <c r="H132" s="34" t="s">
        <v>4</v>
      </c>
      <c r="I132" s="34">
        <v>0.69082484956655488</v>
      </c>
    </row>
    <row r="133" spans="1:9" x14ac:dyDescent="0.3">
      <c r="A133" s="34">
        <v>132</v>
      </c>
      <c r="B133" s="34">
        <v>182</v>
      </c>
      <c r="C133" s="34" t="s">
        <v>7</v>
      </c>
      <c r="D133" s="34">
        <v>36</v>
      </c>
      <c r="E133" s="34">
        <v>4455</v>
      </c>
      <c r="F133" s="34">
        <v>30</v>
      </c>
      <c r="G133" s="34" t="s">
        <v>10</v>
      </c>
      <c r="H133" s="34" t="s">
        <v>4</v>
      </c>
      <c r="I133" s="34">
        <v>0.69432845418026468</v>
      </c>
    </row>
    <row r="134" spans="1:9" x14ac:dyDescent="0.3">
      <c r="A134" s="34">
        <v>133</v>
      </c>
      <c r="B134" s="34">
        <v>303</v>
      </c>
      <c r="C134" s="34" t="s">
        <v>7</v>
      </c>
      <c r="D134" s="34">
        <v>24</v>
      </c>
      <c r="E134" s="34">
        <v>1344</v>
      </c>
      <c r="F134" s="34">
        <v>37</v>
      </c>
      <c r="G134" s="34" t="s">
        <v>3</v>
      </c>
      <c r="H134" s="34" t="s">
        <v>4</v>
      </c>
      <c r="I134" s="34">
        <v>0.70729134661143278</v>
      </c>
    </row>
    <row r="135" spans="1:9" x14ac:dyDescent="0.3">
      <c r="A135" s="34">
        <v>134</v>
      </c>
      <c r="B135" s="34">
        <v>200</v>
      </c>
      <c r="C135" s="34" t="s">
        <v>7</v>
      </c>
      <c r="D135" s="34">
        <v>18</v>
      </c>
      <c r="E135" s="34">
        <v>4297</v>
      </c>
      <c r="F135" s="34">
        <v>40</v>
      </c>
      <c r="G135" s="34" t="s">
        <v>10</v>
      </c>
      <c r="H135" s="34" t="s">
        <v>4</v>
      </c>
      <c r="I135" s="34">
        <v>0.71055265350421848</v>
      </c>
    </row>
    <row r="136" spans="1:9" x14ac:dyDescent="0.3">
      <c r="A136" s="34">
        <v>135</v>
      </c>
      <c r="B136" s="34">
        <v>982</v>
      </c>
      <c r="C136" s="34" t="s">
        <v>7</v>
      </c>
      <c r="D136" s="34">
        <v>48</v>
      </c>
      <c r="E136" s="34">
        <v>4844</v>
      </c>
      <c r="F136" s="34">
        <v>33</v>
      </c>
      <c r="G136" s="34" t="s">
        <v>3</v>
      </c>
      <c r="H136" s="34" t="s">
        <v>9</v>
      </c>
      <c r="I136" s="34">
        <v>0.71880209961621555</v>
      </c>
    </row>
    <row r="137" spans="1:9" x14ac:dyDescent="0.3">
      <c r="A137" s="34">
        <v>136</v>
      </c>
      <c r="B137" s="34">
        <v>646</v>
      </c>
      <c r="C137" s="34" t="s">
        <v>7</v>
      </c>
      <c r="D137" s="34">
        <v>36</v>
      </c>
      <c r="E137" s="34">
        <v>7980</v>
      </c>
      <c r="F137" s="34">
        <v>27</v>
      </c>
      <c r="G137" s="34" t="s">
        <v>3</v>
      </c>
      <c r="H137" s="34" t="s">
        <v>9</v>
      </c>
      <c r="I137" s="34">
        <v>0.72236448594136549</v>
      </c>
    </row>
    <row r="138" spans="1:9" x14ac:dyDescent="0.3">
      <c r="A138" s="34">
        <v>137</v>
      </c>
      <c r="B138" s="34">
        <v>755</v>
      </c>
      <c r="C138" s="34" t="s">
        <v>7</v>
      </c>
      <c r="D138" s="34">
        <v>12</v>
      </c>
      <c r="E138" s="34">
        <v>1555</v>
      </c>
      <c r="F138" s="34">
        <v>55</v>
      </c>
      <c r="G138" s="34" t="s">
        <v>3</v>
      </c>
      <c r="H138" s="34" t="s">
        <v>8</v>
      </c>
      <c r="I138" s="34">
        <v>0.72734927549861872</v>
      </c>
    </row>
    <row r="139" spans="1:9" x14ac:dyDescent="0.3">
      <c r="A139" s="34">
        <v>138</v>
      </c>
      <c r="B139" s="34">
        <v>436</v>
      </c>
      <c r="C139" s="34" t="s">
        <v>7</v>
      </c>
      <c r="D139" s="34">
        <v>12</v>
      </c>
      <c r="E139" s="34">
        <v>1484</v>
      </c>
      <c r="F139" s="34">
        <v>25</v>
      </c>
      <c r="G139" s="34" t="s">
        <v>11</v>
      </c>
      <c r="H139" s="34" t="s">
        <v>4</v>
      </c>
      <c r="I139" s="34">
        <v>0.73257094844844384</v>
      </c>
    </row>
    <row r="140" spans="1:9" x14ac:dyDescent="0.3">
      <c r="A140" s="34">
        <v>139</v>
      </c>
      <c r="B140" s="34">
        <v>841</v>
      </c>
      <c r="C140" s="34" t="s">
        <v>7</v>
      </c>
      <c r="D140" s="34">
        <v>36</v>
      </c>
      <c r="E140" s="34">
        <v>5179</v>
      </c>
      <c r="F140" s="34">
        <v>29</v>
      </c>
      <c r="G140" s="34" t="s">
        <v>3</v>
      </c>
      <c r="H140" s="34" t="s">
        <v>4</v>
      </c>
      <c r="I140" s="34">
        <v>0.74161640491669223</v>
      </c>
    </row>
    <row r="141" spans="1:9" x14ac:dyDescent="0.3">
      <c r="A141" s="34">
        <v>140</v>
      </c>
      <c r="B141" s="34">
        <v>919</v>
      </c>
      <c r="C141" s="34" t="s">
        <v>7</v>
      </c>
      <c r="D141" s="34">
        <v>24</v>
      </c>
      <c r="E141" s="34">
        <v>2359</v>
      </c>
      <c r="F141" s="34">
        <v>33</v>
      </c>
      <c r="G141" s="34" t="s">
        <v>10</v>
      </c>
      <c r="H141" s="34" t="s">
        <v>4</v>
      </c>
      <c r="I141" s="34">
        <v>0.74284209638230703</v>
      </c>
    </row>
    <row r="142" spans="1:9" x14ac:dyDescent="0.3">
      <c r="A142" s="34">
        <v>141</v>
      </c>
      <c r="B142" s="34">
        <v>322</v>
      </c>
      <c r="C142" s="34" t="s">
        <v>7</v>
      </c>
      <c r="D142" s="34">
        <v>24</v>
      </c>
      <c r="E142" s="34">
        <v>1938</v>
      </c>
      <c r="F142" s="34">
        <v>32</v>
      </c>
      <c r="G142" s="34" t="s">
        <v>10</v>
      </c>
      <c r="H142" s="34" t="s">
        <v>4</v>
      </c>
      <c r="I142" s="34">
        <v>0.7497197380575451</v>
      </c>
    </row>
    <row r="143" spans="1:9" x14ac:dyDescent="0.3">
      <c r="A143" s="34">
        <v>142</v>
      </c>
      <c r="B143" s="34">
        <v>365</v>
      </c>
      <c r="C143" s="34" t="s">
        <v>7</v>
      </c>
      <c r="D143" s="34">
        <v>18</v>
      </c>
      <c r="E143" s="34">
        <v>2473</v>
      </c>
      <c r="F143" s="34">
        <v>25</v>
      </c>
      <c r="G143" s="34" t="s">
        <v>3</v>
      </c>
      <c r="H143" s="34" t="s">
        <v>4</v>
      </c>
      <c r="I143" s="34">
        <v>0.76680454978116563</v>
      </c>
    </row>
    <row r="144" spans="1:9" x14ac:dyDescent="0.3">
      <c r="A144" s="34">
        <v>143</v>
      </c>
      <c r="B144" s="34">
        <v>579</v>
      </c>
      <c r="C144" s="34" t="s">
        <v>7</v>
      </c>
      <c r="D144" s="34">
        <v>36</v>
      </c>
      <c r="E144" s="34">
        <v>2820</v>
      </c>
      <c r="F144" s="34">
        <v>27</v>
      </c>
      <c r="G144" s="34" t="s">
        <v>10</v>
      </c>
      <c r="H144" s="34" t="s">
        <v>4</v>
      </c>
      <c r="I144" s="34">
        <v>0.76998479654508589</v>
      </c>
    </row>
    <row r="145" spans="1:9" x14ac:dyDescent="0.3">
      <c r="A145" s="34">
        <v>144</v>
      </c>
      <c r="B145" s="34">
        <v>926</v>
      </c>
      <c r="C145" s="34" t="s">
        <v>7</v>
      </c>
      <c r="D145" s="34">
        <v>12</v>
      </c>
      <c r="E145" s="34">
        <v>697</v>
      </c>
      <c r="F145" s="34">
        <v>46</v>
      </c>
      <c r="G145" s="34" t="s">
        <v>3</v>
      </c>
      <c r="H145" s="34" t="s">
        <v>4</v>
      </c>
      <c r="I145" s="34">
        <v>0.77677398616839699</v>
      </c>
    </row>
    <row r="146" spans="1:9" x14ac:dyDescent="0.3">
      <c r="A146" s="34">
        <v>145</v>
      </c>
      <c r="B146" s="34">
        <v>650</v>
      </c>
      <c r="C146" s="34" t="s">
        <v>7</v>
      </c>
      <c r="D146" s="34">
        <v>12</v>
      </c>
      <c r="E146" s="34">
        <v>684</v>
      </c>
      <c r="F146" s="34">
        <v>40</v>
      </c>
      <c r="G146" s="34" t="s">
        <v>3</v>
      </c>
      <c r="H146" s="34" t="s">
        <v>9</v>
      </c>
      <c r="I146" s="34">
        <v>0.80086014034329167</v>
      </c>
    </row>
    <row r="147" spans="1:9" x14ac:dyDescent="0.3">
      <c r="A147" s="34">
        <v>146</v>
      </c>
      <c r="B147" s="34">
        <v>950</v>
      </c>
      <c r="C147" s="34" t="s">
        <v>7</v>
      </c>
      <c r="D147" s="34">
        <v>24</v>
      </c>
      <c r="E147" s="34">
        <v>3621</v>
      </c>
      <c r="F147" s="34">
        <v>31</v>
      </c>
      <c r="G147" s="34" t="s">
        <v>3</v>
      </c>
      <c r="H147" s="34" t="s">
        <v>4</v>
      </c>
      <c r="I147" s="34">
        <v>0.80518076211341882</v>
      </c>
    </row>
    <row r="148" spans="1:9" x14ac:dyDescent="0.3">
      <c r="A148" s="34">
        <v>147</v>
      </c>
      <c r="B148" s="34">
        <v>237</v>
      </c>
      <c r="C148" s="34" t="s">
        <v>7</v>
      </c>
      <c r="D148" s="34">
        <v>6</v>
      </c>
      <c r="E148" s="34">
        <v>14555</v>
      </c>
      <c r="F148" s="34">
        <v>23</v>
      </c>
      <c r="G148" s="34" t="s">
        <v>3</v>
      </c>
      <c r="H148" s="34" t="s">
        <v>4</v>
      </c>
      <c r="I148" s="34">
        <v>0.81122333110420841</v>
      </c>
    </row>
    <row r="149" spans="1:9" x14ac:dyDescent="0.3">
      <c r="A149" s="34">
        <v>148</v>
      </c>
      <c r="B149" s="34">
        <v>653</v>
      </c>
      <c r="C149" s="34" t="s">
        <v>7</v>
      </c>
      <c r="D149" s="34">
        <v>24</v>
      </c>
      <c r="E149" s="34">
        <v>2303</v>
      </c>
      <c r="F149" s="34">
        <v>45</v>
      </c>
      <c r="G149" s="34" t="s">
        <v>3</v>
      </c>
      <c r="H149" s="34" t="s">
        <v>4</v>
      </c>
      <c r="I149" s="34">
        <v>0.82367404496121388</v>
      </c>
    </row>
    <row r="150" spans="1:9" x14ac:dyDescent="0.3">
      <c r="A150" s="34">
        <v>149</v>
      </c>
      <c r="B150" s="34">
        <v>63</v>
      </c>
      <c r="C150" s="34" t="s">
        <v>7</v>
      </c>
      <c r="D150" s="34">
        <v>36</v>
      </c>
      <c r="E150" s="34">
        <v>1953</v>
      </c>
      <c r="F150" s="34">
        <v>61</v>
      </c>
      <c r="G150" s="34" t="s">
        <v>3</v>
      </c>
      <c r="H150" s="34" t="s">
        <v>8</v>
      </c>
      <c r="I150" s="34">
        <v>0.82541450517095449</v>
      </c>
    </row>
    <row r="151" spans="1:9" x14ac:dyDescent="0.3">
      <c r="A151" s="34">
        <v>150</v>
      </c>
      <c r="B151" s="34">
        <v>781</v>
      </c>
      <c r="C151" s="34" t="s">
        <v>7</v>
      </c>
      <c r="D151" s="34">
        <v>39</v>
      </c>
      <c r="E151" s="34">
        <v>4933</v>
      </c>
      <c r="F151" s="34">
        <v>25</v>
      </c>
      <c r="G151" s="34" t="s">
        <v>3</v>
      </c>
      <c r="H151" s="34" t="s">
        <v>4</v>
      </c>
      <c r="I151" s="34">
        <v>0.82597411487492667</v>
      </c>
    </row>
    <row r="152" spans="1:9" x14ac:dyDescent="0.3">
      <c r="A152" s="34">
        <v>151</v>
      </c>
      <c r="B152" s="34">
        <v>833</v>
      </c>
      <c r="C152" s="34" t="s">
        <v>7</v>
      </c>
      <c r="D152" s="34">
        <v>45</v>
      </c>
      <c r="E152" s="34">
        <v>11816</v>
      </c>
      <c r="F152" s="34">
        <v>29</v>
      </c>
      <c r="G152" s="34" t="s">
        <v>3</v>
      </c>
      <c r="H152" s="34" t="s">
        <v>9</v>
      </c>
      <c r="I152" s="34">
        <v>0.82649845188002979</v>
      </c>
    </row>
    <row r="153" spans="1:9" x14ac:dyDescent="0.3">
      <c r="A153" s="34">
        <v>152</v>
      </c>
      <c r="B153" s="34">
        <v>885</v>
      </c>
      <c r="C153" s="34" t="s">
        <v>7</v>
      </c>
      <c r="D153" s="34">
        <v>24</v>
      </c>
      <c r="E153" s="34">
        <v>4057</v>
      </c>
      <c r="F153" s="34">
        <v>43</v>
      </c>
      <c r="G153" s="34" t="s">
        <v>10</v>
      </c>
      <c r="H153" s="34" t="s">
        <v>4</v>
      </c>
      <c r="I153" s="34">
        <v>0.84247109921847563</v>
      </c>
    </row>
    <row r="154" spans="1:9" x14ac:dyDescent="0.3">
      <c r="A154" s="34">
        <v>153</v>
      </c>
      <c r="B154" s="34">
        <v>185</v>
      </c>
      <c r="C154" s="34" t="s">
        <v>7</v>
      </c>
      <c r="D154" s="34">
        <v>18</v>
      </c>
      <c r="E154" s="34">
        <v>884</v>
      </c>
      <c r="F154" s="34">
        <v>36</v>
      </c>
      <c r="G154" s="34" t="s">
        <v>3</v>
      </c>
      <c r="H154" s="34" t="s">
        <v>4</v>
      </c>
      <c r="I154" s="34">
        <v>0.8424939023727559</v>
      </c>
    </row>
    <row r="155" spans="1:9" x14ac:dyDescent="0.3">
      <c r="A155" s="34">
        <v>154</v>
      </c>
      <c r="B155" s="34">
        <v>544</v>
      </c>
      <c r="C155" s="34" t="s">
        <v>7</v>
      </c>
      <c r="D155" s="34">
        <v>18</v>
      </c>
      <c r="E155" s="34">
        <v>2864</v>
      </c>
      <c r="F155" s="34">
        <v>34</v>
      </c>
      <c r="G155" s="34" t="s">
        <v>3</v>
      </c>
      <c r="H155" s="34" t="s">
        <v>4</v>
      </c>
      <c r="I155" s="34">
        <v>0.84821519676282808</v>
      </c>
    </row>
    <row r="156" spans="1:9" x14ac:dyDescent="0.3">
      <c r="A156" s="34">
        <v>155</v>
      </c>
      <c r="B156" s="34">
        <v>195</v>
      </c>
      <c r="C156" s="34" t="s">
        <v>7</v>
      </c>
      <c r="D156" s="34">
        <v>45</v>
      </c>
      <c r="E156" s="34">
        <v>3031</v>
      </c>
      <c r="F156" s="34">
        <v>21</v>
      </c>
      <c r="G156" s="34" t="s">
        <v>3</v>
      </c>
      <c r="H156" s="34" t="s">
        <v>9</v>
      </c>
      <c r="I156" s="34">
        <v>0.85084662423156809</v>
      </c>
    </row>
    <row r="157" spans="1:9" x14ac:dyDescent="0.3">
      <c r="A157" s="34">
        <v>156</v>
      </c>
      <c r="B157" s="34">
        <v>473</v>
      </c>
      <c r="C157" s="34" t="s">
        <v>7</v>
      </c>
      <c r="D157" s="34">
        <v>9</v>
      </c>
      <c r="E157" s="34">
        <v>654</v>
      </c>
      <c r="F157" s="34">
        <v>28</v>
      </c>
      <c r="G157" s="34" t="s">
        <v>3</v>
      </c>
      <c r="H157" s="34" t="s">
        <v>4</v>
      </c>
      <c r="I157" s="34">
        <v>0.85194243148678017</v>
      </c>
    </row>
    <row r="158" spans="1:9" x14ac:dyDescent="0.3">
      <c r="A158" s="34">
        <v>157</v>
      </c>
      <c r="B158" s="34">
        <v>321</v>
      </c>
      <c r="C158" s="34" t="s">
        <v>7</v>
      </c>
      <c r="D158" s="34">
        <v>30</v>
      </c>
      <c r="E158" s="34">
        <v>4249</v>
      </c>
      <c r="F158" s="34">
        <v>28</v>
      </c>
      <c r="G158" s="34" t="s">
        <v>11</v>
      </c>
      <c r="H158" s="34" t="s">
        <v>4</v>
      </c>
      <c r="I158" s="34">
        <v>0.8547790296235126</v>
      </c>
    </row>
    <row r="159" spans="1:9" x14ac:dyDescent="0.3">
      <c r="A159" s="34">
        <v>158</v>
      </c>
      <c r="B159" s="34">
        <v>920</v>
      </c>
      <c r="C159" s="34" t="s">
        <v>7</v>
      </c>
      <c r="D159" s="34">
        <v>24</v>
      </c>
      <c r="E159" s="34">
        <v>3345</v>
      </c>
      <c r="F159" s="34">
        <v>39</v>
      </c>
      <c r="G159" s="34" t="s">
        <v>3</v>
      </c>
      <c r="H159" s="34" t="s">
        <v>9</v>
      </c>
      <c r="I159" s="34">
        <v>0.85552929426457014</v>
      </c>
    </row>
    <row r="160" spans="1:9" x14ac:dyDescent="0.3">
      <c r="A160" s="34">
        <v>159</v>
      </c>
      <c r="B160" s="34">
        <v>193</v>
      </c>
      <c r="C160" s="34" t="s">
        <v>7</v>
      </c>
      <c r="D160" s="34">
        <v>27</v>
      </c>
      <c r="E160" s="34">
        <v>3915</v>
      </c>
      <c r="F160" s="34">
        <v>36</v>
      </c>
      <c r="G160" s="34" t="s">
        <v>3</v>
      </c>
      <c r="H160" s="34" t="s">
        <v>4</v>
      </c>
      <c r="I160" s="34">
        <v>0.86660958721596737</v>
      </c>
    </row>
    <row r="161" spans="1:9" x14ac:dyDescent="0.3">
      <c r="A161" s="34">
        <v>160</v>
      </c>
      <c r="B161" s="34">
        <v>595</v>
      </c>
      <c r="C161" s="34" t="s">
        <v>7</v>
      </c>
      <c r="D161" s="34">
        <v>24</v>
      </c>
      <c r="E161" s="34">
        <v>1358</v>
      </c>
      <c r="F161" s="34">
        <v>40</v>
      </c>
      <c r="G161" s="34" t="s">
        <v>3</v>
      </c>
      <c r="H161" s="34" t="s">
        <v>4</v>
      </c>
      <c r="I161" s="34">
        <v>0.86933277702314471</v>
      </c>
    </row>
    <row r="162" spans="1:9" x14ac:dyDescent="0.3">
      <c r="A162" s="34">
        <v>161</v>
      </c>
      <c r="B162" s="34">
        <v>181</v>
      </c>
      <c r="C162" s="34" t="s">
        <v>7</v>
      </c>
      <c r="D162" s="34">
        <v>36</v>
      </c>
      <c r="E162" s="34">
        <v>9572</v>
      </c>
      <c r="F162" s="34">
        <v>28</v>
      </c>
      <c r="G162" s="34" t="s">
        <v>10</v>
      </c>
      <c r="H162" s="34" t="s">
        <v>4</v>
      </c>
      <c r="I162" s="34">
        <v>0.86973256006665101</v>
      </c>
    </row>
    <row r="163" spans="1:9" x14ac:dyDescent="0.3">
      <c r="A163" s="34">
        <v>162</v>
      </c>
      <c r="B163" s="34">
        <v>106</v>
      </c>
      <c r="C163" s="34" t="s">
        <v>7</v>
      </c>
      <c r="D163" s="34">
        <v>24</v>
      </c>
      <c r="E163" s="34">
        <v>11938</v>
      </c>
      <c r="F163" s="34">
        <v>39</v>
      </c>
      <c r="G163" s="34" t="s">
        <v>3</v>
      </c>
      <c r="H163" s="34" t="s">
        <v>4</v>
      </c>
      <c r="I163" s="34">
        <v>0.87134622357449942</v>
      </c>
    </row>
    <row r="164" spans="1:9" x14ac:dyDescent="0.3">
      <c r="A164" s="34">
        <v>163</v>
      </c>
      <c r="B164" s="34">
        <v>57</v>
      </c>
      <c r="C164" s="34" t="s">
        <v>7</v>
      </c>
      <c r="D164" s="34">
        <v>12</v>
      </c>
      <c r="E164" s="34">
        <v>6468</v>
      </c>
      <c r="F164" s="34">
        <v>52</v>
      </c>
      <c r="G164" s="34" t="s">
        <v>3</v>
      </c>
      <c r="H164" s="34" t="s">
        <v>4</v>
      </c>
      <c r="I164" s="34">
        <v>0.87642189577376728</v>
      </c>
    </row>
    <row r="165" spans="1:9" x14ac:dyDescent="0.3">
      <c r="A165" s="34">
        <v>164</v>
      </c>
      <c r="B165" s="34">
        <v>529</v>
      </c>
      <c r="C165" s="34" t="s">
        <v>7</v>
      </c>
      <c r="D165" s="34">
        <v>36</v>
      </c>
      <c r="E165" s="34">
        <v>2302</v>
      </c>
      <c r="F165" s="34">
        <v>31</v>
      </c>
      <c r="G165" s="34" t="s">
        <v>10</v>
      </c>
      <c r="H165" s="34" t="s">
        <v>9</v>
      </c>
      <c r="I165" s="34">
        <v>0.88326583608574105</v>
      </c>
    </row>
    <row r="166" spans="1:9" x14ac:dyDescent="0.3">
      <c r="A166" s="34">
        <v>165</v>
      </c>
      <c r="B166" s="34">
        <v>5</v>
      </c>
      <c r="C166" s="34" t="s">
        <v>7</v>
      </c>
      <c r="D166" s="34">
        <v>24</v>
      </c>
      <c r="E166" s="34">
        <v>4870</v>
      </c>
      <c r="F166" s="34">
        <v>53</v>
      </c>
      <c r="G166" s="34" t="s">
        <v>3</v>
      </c>
      <c r="H166" s="34" t="s">
        <v>8</v>
      </c>
      <c r="I166" s="34">
        <v>0.89259563305107825</v>
      </c>
    </row>
    <row r="167" spans="1:9" x14ac:dyDescent="0.3">
      <c r="A167" s="34">
        <v>166</v>
      </c>
      <c r="B167" s="34">
        <v>643</v>
      </c>
      <c r="C167" s="34" t="s">
        <v>7</v>
      </c>
      <c r="D167" s="34">
        <v>15</v>
      </c>
      <c r="E167" s="34">
        <v>4623</v>
      </c>
      <c r="F167" s="34">
        <v>40</v>
      </c>
      <c r="G167" s="34" t="s">
        <v>3</v>
      </c>
      <c r="H167" s="34" t="s">
        <v>4</v>
      </c>
      <c r="I167" s="34">
        <v>0.89607837449091299</v>
      </c>
    </row>
    <row r="168" spans="1:9" x14ac:dyDescent="0.3">
      <c r="A168" s="34">
        <v>167</v>
      </c>
      <c r="B168" s="34">
        <v>900</v>
      </c>
      <c r="C168" s="34" t="s">
        <v>7</v>
      </c>
      <c r="D168" s="34">
        <v>18</v>
      </c>
      <c r="E168" s="34">
        <v>4153</v>
      </c>
      <c r="F168" s="34">
        <v>42</v>
      </c>
      <c r="G168" s="34" t="s">
        <v>3</v>
      </c>
      <c r="H168" s="34" t="s">
        <v>4</v>
      </c>
      <c r="I168" s="34">
        <v>0.89659846206825333</v>
      </c>
    </row>
    <row r="169" spans="1:9" x14ac:dyDescent="0.3">
      <c r="A169" s="34">
        <v>168</v>
      </c>
      <c r="B169" s="34">
        <v>69</v>
      </c>
      <c r="C169" s="34" t="s">
        <v>7</v>
      </c>
      <c r="D169" s="34">
        <v>36</v>
      </c>
      <c r="E169" s="34">
        <v>1819</v>
      </c>
      <c r="F169" s="34">
        <v>37</v>
      </c>
      <c r="G169" s="34" t="s">
        <v>3</v>
      </c>
      <c r="H169" s="34" t="s">
        <v>8</v>
      </c>
      <c r="I169" s="34">
        <v>0.90021990406692987</v>
      </c>
    </row>
    <row r="170" spans="1:9" x14ac:dyDescent="0.3">
      <c r="A170" s="34">
        <v>169</v>
      </c>
      <c r="B170" s="34">
        <v>999</v>
      </c>
      <c r="C170" s="34" t="s">
        <v>7</v>
      </c>
      <c r="D170" s="34">
        <v>45</v>
      </c>
      <c r="E170" s="34">
        <v>1845</v>
      </c>
      <c r="F170" s="34">
        <v>23</v>
      </c>
      <c r="G170" s="34" t="s">
        <v>3</v>
      </c>
      <c r="H170" s="34" t="s">
        <v>8</v>
      </c>
      <c r="I170" s="34">
        <v>0.90953624509481035</v>
      </c>
    </row>
    <row r="171" spans="1:9" x14ac:dyDescent="0.3">
      <c r="A171" s="34">
        <v>170</v>
      </c>
      <c r="B171" s="34">
        <v>702</v>
      </c>
      <c r="C171" s="34" t="s">
        <v>7</v>
      </c>
      <c r="D171" s="34">
        <v>48</v>
      </c>
      <c r="E171" s="34">
        <v>6331</v>
      </c>
      <c r="F171" s="34">
        <v>46</v>
      </c>
      <c r="G171" s="34" t="s">
        <v>3</v>
      </c>
      <c r="H171" s="34" t="s">
        <v>8</v>
      </c>
      <c r="I171" s="34">
        <v>0.910968877181909</v>
      </c>
    </row>
    <row r="172" spans="1:9" x14ac:dyDescent="0.3">
      <c r="A172" s="34">
        <v>171</v>
      </c>
      <c r="B172" s="34">
        <v>213</v>
      </c>
      <c r="C172" s="34" t="s">
        <v>7</v>
      </c>
      <c r="D172" s="34">
        <v>27</v>
      </c>
      <c r="E172" s="34">
        <v>5293</v>
      </c>
      <c r="F172" s="34">
        <v>50</v>
      </c>
      <c r="G172" s="34" t="s">
        <v>3</v>
      </c>
      <c r="H172" s="34" t="s">
        <v>4</v>
      </c>
      <c r="I172" s="34">
        <v>0.91126876662966549</v>
      </c>
    </row>
    <row r="173" spans="1:9" x14ac:dyDescent="0.3">
      <c r="A173" s="34">
        <v>172</v>
      </c>
      <c r="B173" s="34">
        <v>806</v>
      </c>
      <c r="C173" s="34" t="s">
        <v>7</v>
      </c>
      <c r="D173" s="34">
        <v>36</v>
      </c>
      <c r="E173" s="34">
        <v>9271</v>
      </c>
      <c r="F173" s="34">
        <v>24</v>
      </c>
      <c r="G173" s="34" t="s">
        <v>3</v>
      </c>
      <c r="H173" s="34" t="s">
        <v>4</v>
      </c>
      <c r="I173" s="34">
        <v>0.93913826236846321</v>
      </c>
    </row>
    <row r="174" spans="1:9" x14ac:dyDescent="0.3">
      <c r="A174" s="34">
        <v>173</v>
      </c>
      <c r="B174" s="34">
        <v>901</v>
      </c>
      <c r="C174" s="34" t="s">
        <v>7</v>
      </c>
      <c r="D174" s="34">
        <v>16</v>
      </c>
      <c r="E174" s="34">
        <v>2625</v>
      </c>
      <c r="F174" s="34">
        <v>43</v>
      </c>
      <c r="G174" s="34" t="s">
        <v>3</v>
      </c>
      <c r="H174" s="34" t="s">
        <v>9</v>
      </c>
      <c r="I174" s="34">
        <v>0.94375381278217596</v>
      </c>
    </row>
    <row r="175" spans="1:9" x14ac:dyDescent="0.3">
      <c r="A175" s="34">
        <v>174</v>
      </c>
      <c r="B175" s="34">
        <v>10</v>
      </c>
      <c r="C175" s="34" t="s">
        <v>7</v>
      </c>
      <c r="D175" s="34">
        <v>30</v>
      </c>
      <c r="E175" s="34">
        <v>5234</v>
      </c>
      <c r="F175" s="34">
        <v>28</v>
      </c>
      <c r="G175" s="34" t="s">
        <v>11</v>
      </c>
      <c r="H175" s="34" t="s">
        <v>4</v>
      </c>
      <c r="I175" s="34">
        <v>0.94387750043245111</v>
      </c>
    </row>
    <row r="176" spans="1:9" x14ac:dyDescent="0.3">
      <c r="A176" s="34">
        <v>175</v>
      </c>
      <c r="B176" s="34">
        <v>562</v>
      </c>
      <c r="C176" s="34" t="s">
        <v>7</v>
      </c>
      <c r="D176" s="34">
        <v>24</v>
      </c>
      <c r="E176" s="34">
        <v>1546</v>
      </c>
      <c r="F176" s="34">
        <v>24</v>
      </c>
      <c r="G176" s="34" t="s">
        <v>3</v>
      </c>
      <c r="H176" s="34" t="s">
        <v>9</v>
      </c>
      <c r="I176" s="34">
        <v>0.94519435979951905</v>
      </c>
    </row>
    <row r="177" spans="1:9" x14ac:dyDescent="0.3">
      <c r="A177" s="34">
        <v>176</v>
      </c>
      <c r="B177" s="34">
        <v>275</v>
      </c>
      <c r="C177" s="34" t="s">
        <v>7</v>
      </c>
      <c r="D177" s="34">
        <v>30</v>
      </c>
      <c r="E177" s="34">
        <v>11998</v>
      </c>
      <c r="F177" s="34">
        <v>34</v>
      </c>
      <c r="G177" s="34" t="s">
        <v>10</v>
      </c>
      <c r="H177" s="34" t="s">
        <v>4</v>
      </c>
      <c r="I177" s="34">
        <v>0.94843274941713462</v>
      </c>
    </row>
    <row r="178" spans="1:9" x14ac:dyDescent="0.3">
      <c r="A178" s="34">
        <v>177</v>
      </c>
      <c r="B178" s="34">
        <v>55</v>
      </c>
      <c r="C178" s="34" t="s">
        <v>7</v>
      </c>
      <c r="D178" s="34">
        <v>36</v>
      </c>
      <c r="E178" s="34">
        <v>2225</v>
      </c>
      <c r="F178" s="34">
        <v>57</v>
      </c>
      <c r="G178" s="34" t="s">
        <v>3</v>
      </c>
      <c r="H178" s="34" t="s">
        <v>8</v>
      </c>
      <c r="I178" s="34">
        <v>0.9512192397859458</v>
      </c>
    </row>
    <row r="179" spans="1:9" x14ac:dyDescent="0.3">
      <c r="A179" s="34">
        <v>178</v>
      </c>
      <c r="B179" s="34">
        <v>678</v>
      </c>
      <c r="C179" s="34" t="s">
        <v>7</v>
      </c>
      <c r="D179" s="34">
        <v>72</v>
      </c>
      <c r="E179" s="34">
        <v>5595</v>
      </c>
      <c r="F179" s="34">
        <v>24</v>
      </c>
      <c r="G179" s="34" t="s">
        <v>11</v>
      </c>
      <c r="H179" s="34" t="s">
        <v>4</v>
      </c>
      <c r="I179" s="34">
        <v>0.95490573292952285</v>
      </c>
    </row>
    <row r="180" spans="1:9" x14ac:dyDescent="0.3">
      <c r="A180" s="34">
        <v>179</v>
      </c>
      <c r="B180" s="34">
        <v>732</v>
      </c>
      <c r="C180" s="34" t="s">
        <v>7</v>
      </c>
      <c r="D180" s="34">
        <v>24</v>
      </c>
      <c r="E180" s="34">
        <v>1987</v>
      </c>
      <c r="F180" s="34">
        <v>21</v>
      </c>
      <c r="G180" s="34" t="s">
        <v>3</v>
      </c>
      <c r="H180" s="34" t="s">
        <v>9</v>
      </c>
      <c r="I180" s="34">
        <v>0.95651933387891819</v>
      </c>
    </row>
    <row r="181" spans="1:9" x14ac:dyDescent="0.3">
      <c r="A181" s="34">
        <v>180</v>
      </c>
      <c r="B181" s="34">
        <v>936</v>
      </c>
      <c r="C181" s="34" t="s">
        <v>7</v>
      </c>
      <c r="D181" s="34">
        <v>30</v>
      </c>
      <c r="E181" s="34">
        <v>1919</v>
      </c>
      <c r="F181" s="34">
        <v>30</v>
      </c>
      <c r="G181" s="34" t="s">
        <v>3</v>
      </c>
      <c r="H181" s="34" t="s">
        <v>4</v>
      </c>
      <c r="I181" s="34">
        <v>0.96198317889483786</v>
      </c>
    </row>
    <row r="182" spans="1:9" x14ac:dyDescent="0.3">
      <c r="A182" s="34">
        <v>181</v>
      </c>
      <c r="B182" s="34">
        <v>567</v>
      </c>
      <c r="C182" s="34" t="s">
        <v>7</v>
      </c>
      <c r="D182" s="34">
        <v>12</v>
      </c>
      <c r="E182" s="34">
        <v>1372</v>
      </c>
      <c r="F182" s="34">
        <v>36</v>
      </c>
      <c r="G182" s="34" t="s">
        <v>10</v>
      </c>
      <c r="H182" s="34" t="s">
        <v>4</v>
      </c>
      <c r="I182" s="34">
        <v>0.9626289940912589</v>
      </c>
    </row>
    <row r="183" spans="1:9" x14ac:dyDescent="0.3">
      <c r="A183" s="34">
        <v>182</v>
      </c>
      <c r="B183" s="34">
        <v>358</v>
      </c>
      <c r="C183" s="34" t="s">
        <v>7</v>
      </c>
      <c r="D183" s="34">
        <v>36</v>
      </c>
      <c r="E183" s="34">
        <v>4463</v>
      </c>
      <c r="F183" s="34">
        <v>26</v>
      </c>
      <c r="G183" s="34" t="s">
        <v>3</v>
      </c>
      <c r="H183" s="34" t="s">
        <v>4</v>
      </c>
      <c r="I183" s="34">
        <v>0.96315114608749519</v>
      </c>
    </row>
    <row r="184" spans="1:9" x14ac:dyDescent="0.3">
      <c r="A184" s="34">
        <v>183</v>
      </c>
      <c r="B184" s="34">
        <v>657</v>
      </c>
      <c r="C184" s="34" t="s">
        <v>7</v>
      </c>
      <c r="D184" s="34">
        <v>12</v>
      </c>
      <c r="E184" s="34">
        <v>888</v>
      </c>
      <c r="F184" s="34">
        <v>41</v>
      </c>
      <c r="G184" s="34" t="s">
        <v>3</v>
      </c>
      <c r="H184" s="34" t="s">
        <v>4</v>
      </c>
      <c r="I184" s="34">
        <v>0.96591268254450047</v>
      </c>
    </row>
    <row r="185" spans="1:9" x14ac:dyDescent="0.3">
      <c r="A185" s="34">
        <v>184</v>
      </c>
      <c r="B185" s="34">
        <v>758</v>
      </c>
      <c r="C185" s="34" t="s">
        <v>7</v>
      </c>
      <c r="D185" s="34">
        <v>15</v>
      </c>
      <c r="E185" s="34">
        <v>1271</v>
      </c>
      <c r="F185" s="34">
        <v>39</v>
      </c>
      <c r="G185" s="34" t="s">
        <v>3</v>
      </c>
      <c r="H185" s="34" t="s">
        <v>8</v>
      </c>
      <c r="I185" s="34">
        <v>0.97220028841090356</v>
      </c>
    </row>
    <row r="186" spans="1:9" x14ac:dyDescent="0.3">
      <c r="A186" s="34">
        <v>185</v>
      </c>
      <c r="B186" s="34">
        <v>506</v>
      </c>
      <c r="C186" s="34" t="s">
        <v>7</v>
      </c>
      <c r="D186" s="34">
        <v>10</v>
      </c>
      <c r="E186" s="34">
        <v>1309</v>
      </c>
      <c r="F186" s="34">
        <v>27</v>
      </c>
      <c r="G186" s="34" t="s">
        <v>3</v>
      </c>
      <c r="H186" s="34" t="s">
        <v>4</v>
      </c>
      <c r="I186" s="34">
        <v>0.97228128965382443</v>
      </c>
    </row>
    <row r="187" spans="1:9" x14ac:dyDescent="0.3">
      <c r="A187" s="34">
        <v>186</v>
      </c>
      <c r="B187" s="34">
        <v>335</v>
      </c>
      <c r="C187" s="34" t="s">
        <v>7</v>
      </c>
      <c r="D187" s="34">
        <v>24</v>
      </c>
      <c r="E187" s="34">
        <v>4110</v>
      </c>
      <c r="F187" s="34">
        <v>23</v>
      </c>
      <c r="G187" s="34" t="s">
        <v>3</v>
      </c>
      <c r="H187" s="34" t="s">
        <v>9</v>
      </c>
      <c r="I187" s="34">
        <v>0.97294797654840748</v>
      </c>
    </row>
    <row r="188" spans="1:9" x14ac:dyDescent="0.3">
      <c r="A188" s="34">
        <v>187</v>
      </c>
      <c r="B188" s="34">
        <v>228</v>
      </c>
      <c r="C188" s="34" t="s">
        <v>7</v>
      </c>
      <c r="D188" s="34">
        <v>12</v>
      </c>
      <c r="E188" s="34">
        <v>7865</v>
      </c>
      <c r="F188" s="34">
        <v>53</v>
      </c>
      <c r="G188" s="34" t="s">
        <v>3</v>
      </c>
      <c r="H188" s="34" t="s">
        <v>8</v>
      </c>
      <c r="I188" s="34">
        <v>0.97332153075080163</v>
      </c>
    </row>
    <row r="189" spans="1:9" x14ac:dyDescent="0.3">
      <c r="A189" s="34">
        <v>188</v>
      </c>
      <c r="B189" s="34">
        <v>820</v>
      </c>
      <c r="C189" s="34" t="s">
        <v>7</v>
      </c>
      <c r="D189" s="34">
        <v>18</v>
      </c>
      <c r="E189" s="34">
        <v>1345</v>
      </c>
      <c r="F189" s="34">
        <v>26</v>
      </c>
      <c r="G189" s="34" t="s">
        <v>11</v>
      </c>
      <c r="H189" s="34" t="s">
        <v>4</v>
      </c>
      <c r="I189" s="34">
        <v>0.98191606983717294</v>
      </c>
    </row>
    <row r="190" spans="1:9" x14ac:dyDescent="0.3">
      <c r="A190" s="34">
        <v>189</v>
      </c>
      <c r="B190" s="34">
        <v>767</v>
      </c>
      <c r="C190" s="34" t="s">
        <v>7</v>
      </c>
      <c r="D190" s="34">
        <v>30</v>
      </c>
      <c r="E190" s="34">
        <v>3108</v>
      </c>
      <c r="F190" s="34">
        <v>31</v>
      </c>
      <c r="G190" s="34" t="s">
        <v>10</v>
      </c>
      <c r="H190" s="34" t="s">
        <v>4</v>
      </c>
      <c r="I190" s="34">
        <v>0.98461772226388278</v>
      </c>
    </row>
    <row r="191" spans="1:9" x14ac:dyDescent="0.3">
      <c r="A191" s="34">
        <v>190</v>
      </c>
      <c r="B191" s="34">
        <v>497</v>
      </c>
      <c r="C191" s="34" t="s">
        <v>7</v>
      </c>
      <c r="D191" s="34">
        <v>36</v>
      </c>
      <c r="E191" s="34">
        <v>9034</v>
      </c>
      <c r="F191" s="34">
        <v>29</v>
      </c>
      <c r="G191" s="34" t="s">
        <v>3</v>
      </c>
      <c r="H191" s="34" t="s">
        <v>9</v>
      </c>
      <c r="I191" s="34">
        <v>0.98870157993963037</v>
      </c>
    </row>
    <row r="192" spans="1:9" x14ac:dyDescent="0.3">
      <c r="A192" s="35">
        <v>191</v>
      </c>
      <c r="B192" s="35">
        <v>979</v>
      </c>
      <c r="C192" s="35" t="s">
        <v>7</v>
      </c>
      <c r="D192" s="35">
        <v>24</v>
      </c>
      <c r="E192" s="35">
        <v>2538</v>
      </c>
      <c r="F192" s="35">
        <v>47</v>
      </c>
      <c r="G192" s="35" t="s">
        <v>3</v>
      </c>
      <c r="H192" s="35" t="s">
        <v>4</v>
      </c>
      <c r="I192" s="35">
        <v>0.98947508444339149</v>
      </c>
    </row>
  </sheetData>
  <sortState xmlns:xlrd2="http://schemas.microsoft.com/office/spreadsheetml/2017/richdata2" ref="B2:L192">
    <sortCondition ref="L2:L19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0F84-76CD-4A99-8838-51F917F98335}">
  <dimension ref="A1:I202"/>
  <sheetViews>
    <sheetView workbookViewId="0">
      <selection activeCell="M8" sqref="M8"/>
    </sheetView>
  </sheetViews>
  <sheetFormatPr defaultRowHeight="14.4" x14ac:dyDescent="0.3"/>
  <cols>
    <col min="3" max="3" width="8" customWidth="1"/>
    <col min="4" max="4" width="12.33203125" bestFit="1" customWidth="1"/>
    <col min="5" max="5" width="14.109375" bestFit="1" customWidth="1"/>
    <col min="6" max="6" width="8.88671875" customWidth="1"/>
    <col min="7" max="7" width="11.33203125" bestFit="1" customWidth="1"/>
    <col min="8" max="8" width="11.109375" bestFit="1" customWidth="1"/>
    <col min="9" max="9" width="12" bestFit="1" customWidth="1"/>
  </cols>
  <sheetData>
    <row r="1" spans="1:9" x14ac:dyDescent="0.3">
      <c r="A1" s="37" t="s">
        <v>13</v>
      </c>
      <c r="B1" s="36" t="s">
        <v>12</v>
      </c>
      <c r="C1" s="37" t="s">
        <v>2</v>
      </c>
      <c r="D1" s="37" t="s">
        <v>63</v>
      </c>
      <c r="E1" s="37" t="s">
        <v>126</v>
      </c>
      <c r="F1" s="37" t="s">
        <v>0</v>
      </c>
      <c r="G1" s="37" t="s">
        <v>127</v>
      </c>
      <c r="H1" s="37" t="s">
        <v>1</v>
      </c>
      <c r="I1" s="37" t="s">
        <v>26</v>
      </c>
    </row>
    <row r="2" spans="1:9" x14ac:dyDescent="0.3">
      <c r="A2" s="34">
        <v>1</v>
      </c>
      <c r="B2" s="34">
        <v>733</v>
      </c>
      <c r="C2" s="34" t="s">
        <v>5</v>
      </c>
      <c r="D2" s="34">
        <v>8</v>
      </c>
      <c r="E2" s="34">
        <v>760</v>
      </c>
      <c r="F2" s="34">
        <v>44</v>
      </c>
      <c r="G2" s="34" t="s">
        <v>6</v>
      </c>
      <c r="H2" s="34" t="s">
        <v>4</v>
      </c>
      <c r="I2" s="34">
        <v>1.4657559655999464E-3</v>
      </c>
    </row>
    <row r="3" spans="1:9" x14ac:dyDescent="0.3">
      <c r="A3" s="34">
        <v>2</v>
      </c>
      <c r="B3" s="34">
        <v>212</v>
      </c>
      <c r="C3" s="34" t="s">
        <v>5</v>
      </c>
      <c r="D3" s="34">
        <v>36</v>
      </c>
      <c r="E3" s="34">
        <v>3835</v>
      </c>
      <c r="F3" s="34">
        <v>45</v>
      </c>
      <c r="G3" s="34" t="s">
        <v>6</v>
      </c>
      <c r="H3" s="34" t="s">
        <v>4</v>
      </c>
      <c r="I3" s="34">
        <v>7.3352072145698166E-3</v>
      </c>
    </row>
    <row r="4" spans="1:9" x14ac:dyDescent="0.3">
      <c r="A4" s="34">
        <v>3</v>
      </c>
      <c r="B4" s="34">
        <v>706</v>
      </c>
      <c r="C4" s="34" t="s">
        <v>5</v>
      </c>
      <c r="D4" s="34">
        <v>15</v>
      </c>
      <c r="E4" s="34">
        <v>5324</v>
      </c>
      <c r="F4" s="34">
        <v>35</v>
      </c>
      <c r="G4" s="34" t="s">
        <v>6</v>
      </c>
      <c r="H4" s="34" t="s">
        <v>8</v>
      </c>
      <c r="I4" s="34">
        <v>1.3940571582112815E-2</v>
      </c>
    </row>
    <row r="5" spans="1:9" x14ac:dyDescent="0.3">
      <c r="A5" s="34">
        <v>4</v>
      </c>
      <c r="B5" s="34">
        <v>538</v>
      </c>
      <c r="C5" s="34" t="s">
        <v>5</v>
      </c>
      <c r="D5" s="34">
        <v>18</v>
      </c>
      <c r="E5" s="34">
        <v>3612</v>
      </c>
      <c r="F5" s="34">
        <v>37</v>
      </c>
      <c r="G5" s="34" t="s">
        <v>6</v>
      </c>
      <c r="H5" s="34" t="s">
        <v>4</v>
      </c>
      <c r="I5" s="34">
        <v>2.0133868702545632E-2</v>
      </c>
    </row>
    <row r="6" spans="1:9" x14ac:dyDescent="0.3">
      <c r="A6" s="34">
        <v>5</v>
      </c>
      <c r="B6" s="34">
        <v>761</v>
      </c>
      <c r="C6" s="34" t="s">
        <v>5</v>
      </c>
      <c r="D6" s="34">
        <v>15</v>
      </c>
      <c r="E6" s="34">
        <v>5045</v>
      </c>
      <c r="F6" s="34">
        <v>59</v>
      </c>
      <c r="G6" s="34" t="s">
        <v>6</v>
      </c>
      <c r="H6" s="34" t="s">
        <v>4</v>
      </c>
      <c r="I6" s="34">
        <v>3.2058233219321552E-2</v>
      </c>
    </row>
    <row r="7" spans="1:9" x14ac:dyDescent="0.3">
      <c r="A7" s="34">
        <v>6</v>
      </c>
      <c r="B7" s="34">
        <v>370</v>
      </c>
      <c r="C7" s="34" t="s">
        <v>5</v>
      </c>
      <c r="D7" s="34">
        <v>18</v>
      </c>
      <c r="E7" s="34">
        <v>3001</v>
      </c>
      <c r="F7" s="34">
        <v>40</v>
      </c>
      <c r="G7" s="34" t="s">
        <v>6</v>
      </c>
      <c r="H7" s="34" t="s">
        <v>9</v>
      </c>
      <c r="I7" s="34">
        <v>3.4007575623684172E-2</v>
      </c>
    </row>
    <row r="8" spans="1:9" x14ac:dyDescent="0.3">
      <c r="A8" s="34">
        <v>7</v>
      </c>
      <c r="B8" s="34">
        <v>874</v>
      </c>
      <c r="C8" s="34" t="s">
        <v>5</v>
      </c>
      <c r="D8" s="34">
        <v>15</v>
      </c>
      <c r="E8" s="34">
        <v>874</v>
      </c>
      <c r="F8" s="34">
        <v>24</v>
      </c>
      <c r="G8" s="34" t="s">
        <v>6</v>
      </c>
      <c r="H8" s="34" t="s">
        <v>4</v>
      </c>
      <c r="I8" s="34">
        <v>3.7331716805840021E-2</v>
      </c>
    </row>
    <row r="9" spans="1:9" x14ac:dyDescent="0.3">
      <c r="A9" s="34">
        <v>8</v>
      </c>
      <c r="B9" s="34">
        <v>50</v>
      </c>
      <c r="C9" s="34" t="s">
        <v>5</v>
      </c>
      <c r="D9" s="34">
        <v>12</v>
      </c>
      <c r="E9" s="34">
        <v>2073</v>
      </c>
      <c r="F9" s="34">
        <v>28</v>
      </c>
      <c r="G9" s="34" t="s">
        <v>6</v>
      </c>
      <c r="H9" s="34" t="s">
        <v>4</v>
      </c>
      <c r="I9" s="34">
        <v>3.966452218364791E-2</v>
      </c>
    </row>
    <row r="10" spans="1:9" x14ac:dyDescent="0.3">
      <c r="A10" s="34">
        <v>9</v>
      </c>
      <c r="B10" s="34">
        <v>576</v>
      </c>
      <c r="C10" s="34" t="s">
        <v>5</v>
      </c>
      <c r="D10" s="34">
        <v>15</v>
      </c>
      <c r="E10" s="34">
        <v>2788</v>
      </c>
      <c r="F10" s="34">
        <v>24</v>
      </c>
      <c r="G10" s="34" t="s">
        <v>6</v>
      </c>
      <c r="H10" s="34" t="s">
        <v>4</v>
      </c>
      <c r="I10" s="34">
        <v>4.0750154934693916E-2</v>
      </c>
    </row>
    <row r="11" spans="1:9" x14ac:dyDescent="0.3">
      <c r="A11" s="34">
        <v>10</v>
      </c>
      <c r="B11" s="34">
        <v>516</v>
      </c>
      <c r="C11" s="34" t="s">
        <v>5</v>
      </c>
      <c r="D11" s="34">
        <v>6</v>
      </c>
      <c r="E11" s="34">
        <v>609</v>
      </c>
      <c r="F11" s="34">
        <v>37</v>
      </c>
      <c r="G11" s="34" t="s">
        <v>6</v>
      </c>
      <c r="H11" s="34" t="s">
        <v>4</v>
      </c>
      <c r="I11" s="34">
        <v>4.7688750120481793E-2</v>
      </c>
    </row>
    <row r="12" spans="1:9" x14ac:dyDescent="0.3">
      <c r="A12" s="34">
        <v>11</v>
      </c>
      <c r="B12" s="34">
        <v>469</v>
      </c>
      <c r="C12" s="34" t="s">
        <v>5</v>
      </c>
      <c r="D12" s="34">
        <v>33</v>
      </c>
      <c r="E12" s="34">
        <v>2764</v>
      </c>
      <c r="F12" s="34">
        <v>26</v>
      </c>
      <c r="G12" s="34" t="s">
        <v>6</v>
      </c>
      <c r="H12" s="34" t="s">
        <v>4</v>
      </c>
      <c r="I12" s="34">
        <v>4.9726156445484393E-2</v>
      </c>
    </row>
    <row r="13" spans="1:9" x14ac:dyDescent="0.3">
      <c r="A13" s="34">
        <v>12</v>
      </c>
      <c r="B13" s="34">
        <v>346</v>
      </c>
      <c r="C13" s="34" t="s">
        <v>5</v>
      </c>
      <c r="D13" s="34">
        <v>15</v>
      </c>
      <c r="E13" s="34">
        <v>1459</v>
      </c>
      <c r="F13" s="34">
        <v>43</v>
      </c>
      <c r="G13" s="34" t="s">
        <v>6</v>
      </c>
      <c r="H13" s="34" t="s">
        <v>4</v>
      </c>
      <c r="I13" s="34">
        <v>5.2666241588569807E-2</v>
      </c>
    </row>
    <row r="14" spans="1:9" x14ac:dyDescent="0.3">
      <c r="A14" s="34">
        <v>13</v>
      </c>
      <c r="B14" s="34">
        <v>703</v>
      </c>
      <c r="C14" s="34" t="s">
        <v>5</v>
      </c>
      <c r="D14" s="34">
        <v>24</v>
      </c>
      <c r="E14" s="34">
        <v>1377</v>
      </c>
      <c r="F14" s="34">
        <v>47</v>
      </c>
      <c r="G14" s="34" t="s">
        <v>6</v>
      </c>
      <c r="H14" s="34" t="s">
        <v>8</v>
      </c>
      <c r="I14" s="34">
        <v>5.7790493761189055E-2</v>
      </c>
    </row>
    <row r="15" spans="1:9" x14ac:dyDescent="0.3">
      <c r="A15" s="34">
        <v>14</v>
      </c>
      <c r="B15" s="34">
        <v>172</v>
      </c>
      <c r="C15" s="34" t="s">
        <v>5</v>
      </c>
      <c r="D15" s="34">
        <v>12</v>
      </c>
      <c r="E15" s="34">
        <v>763</v>
      </c>
      <c r="F15" s="34">
        <v>26</v>
      </c>
      <c r="G15" s="34" t="s">
        <v>6</v>
      </c>
      <c r="H15" s="34" t="s">
        <v>4</v>
      </c>
      <c r="I15" s="34">
        <v>7.6310673895879866E-2</v>
      </c>
    </row>
    <row r="16" spans="1:9" x14ac:dyDescent="0.3">
      <c r="A16" s="34">
        <v>15</v>
      </c>
      <c r="B16" s="34">
        <v>676</v>
      </c>
      <c r="C16" s="34" t="s">
        <v>5</v>
      </c>
      <c r="D16" s="34">
        <v>30</v>
      </c>
      <c r="E16" s="34">
        <v>4530</v>
      </c>
      <c r="F16" s="34">
        <v>26</v>
      </c>
      <c r="G16" s="34" t="s">
        <v>6</v>
      </c>
      <c r="H16" s="34" t="s">
        <v>9</v>
      </c>
      <c r="I16" s="34">
        <v>7.7319932485444554E-2</v>
      </c>
    </row>
    <row r="17" spans="1:9" x14ac:dyDescent="0.3">
      <c r="A17" s="34">
        <v>16</v>
      </c>
      <c r="B17" s="34">
        <v>260</v>
      </c>
      <c r="C17" s="34" t="s">
        <v>5</v>
      </c>
      <c r="D17" s="34">
        <v>11</v>
      </c>
      <c r="E17" s="34">
        <v>1154</v>
      </c>
      <c r="F17" s="34">
        <v>57</v>
      </c>
      <c r="G17" s="34" t="s">
        <v>6</v>
      </c>
      <c r="H17" s="34" t="s">
        <v>4</v>
      </c>
      <c r="I17" s="34">
        <v>7.7370896573622061E-2</v>
      </c>
    </row>
    <row r="18" spans="1:9" x14ac:dyDescent="0.3">
      <c r="A18" s="34">
        <v>17</v>
      </c>
      <c r="B18" s="34">
        <v>197</v>
      </c>
      <c r="C18" s="34" t="s">
        <v>5</v>
      </c>
      <c r="D18" s="34">
        <v>6</v>
      </c>
      <c r="E18" s="34">
        <v>1382</v>
      </c>
      <c r="F18" s="34">
        <v>28</v>
      </c>
      <c r="G18" s="34" t="s">
        <v>6</v>
      </c>
      <c r="H18" s="34" t="s">
        <v>4</v>
      </c>
      <c r="I18" s="34">
        <v>7.9200115063089882E-2</v>
      </c>
    </row>
    <row r="19" spans="1:9" x14ac:dyDescent="0.3">
      <c r="A19" s="34">
        <v>18</v>
      </c>
      <c r="B19" s="34">
        <v>837</v>
      </c>
      <c r="C19" s="34" t="s">
        <v>5</v>
      </c>
      <c r="D19" s="34">
        <v>12</v>
      </c>
      <c r="E19" s="34">
        <v>886</v>
      </c>
      <c r="F19" s="34">
        <v>21</v>
      </c>
      <c r="G19" s="34" t="s">
        <v>6</v>
      </c>
      <c r="H19" s="34" t="s">
        <v>4</v>
      </c>
      <c r="I19" s="34">
        <v>8.0766074565278401E-2</v>
      </c>
    </row>
    <row r="20" spans="1:9" x14ac:dyDescent="0.3">
      <c r="A20" s="34">
        <v>19</v>
      </c>
      <c r="B20" s="34">
        <v>109</v>
      </c>
      <c r="C20" s="34" t="s">
        <v>5</v>
      </c>
      <c r="D20" s="34">
        <v>24</v>
      </c>
      <c r="E20" s="34">
        <v>7721</v>
      </c>
      <c r="F20" s="34">
        <v>30</v>
      </c>
      <c r="G20" s="34" t="s">
        <v>6</v>
      </c>
      <c r="H20" s="34" t="s">
        <v>4</v>
      </c>
      <c r="I20" s="34">
        <v>8.4679554410673541E-2</v>
      </c>
    </row>
    <row r="21" spans="1:9" x14ac:dyDescent="0.3">
      <c r="A21" s="34">
        <v>20</v>
      </c>
      <c r="B21" s="34">
        <v>373</v>
      </c>
      <c r="C21" s="34" t="s">
        <v>5</v>
      </c>
      <c r="D21" s="34">
        <v>10</v>
      </c>
      <c r="E21" s="34">
        <v>2146</v>
      </c>
      <c r="F21" s="34">
        <v>23</v>
      </c>
      <c r="G21" s="34" t="s">
        <v>6</v>
      </c>
      <c r="H21" s="34" t="s">
        <v>9</v>
      </c>
      <c r="I21" s="34">
        <v>0.10147864414118113</v>
      </c>
    </row>
    <row r="22" spans="1:9" x14ac:dyDescent="0.3">
      <c r="A22" s="34">
        <v>21</v>
      </c>
      <c r="B22" s="34">
        <v>15</v>
      </c>
      <c r="C22" s="34" t="s">
        <v>5</v>
      </c>
      <c r="D22" s="34">
        <v>15</v>
      </c>
      <c r="E22" s="34">
        <v>1403</v>
      </c>
      <c r="F22" s="34">
        <v>28</v>
      </c>
      <c r="G22" s="34" t="s">
        <v>6</v>
      </c>
      <c r="H22" s="34" t="s">
        <v>9</v>
      </c>
      <c r="I22" s="34">
        <v>0.10700241992937631</v>
      </c>
    </row>
    <row r="23" spans="1:9" x14ac:dyDescent="0.3">
      <c r="A23" s="34">
        <v>22</v>
      </c>
      <c r="B23" s="34">
        <v>87</v>
      </c>
      <c r="C23" s="34" t="s">
        <v>5</v>
      </c>
      <c r="D23" s="34">
        <v>18</v>
      </c>
      <c r="E23" s="34">
        <v>1295</v>
      </c>
      <c r="F23" s="34">
        <v>27</v>
      </c>
      <c r="G23" s="34" t="s">
        <v>6</v>
      </c>
      <c r="H23" s="34" t="s">
        <v>4</v>
      </c>
      <c r="I23" s="34">
        <v>0.10765601484375531</v>
      </c>
    </row>
    <row r="24" spans="1:9" x14ac:dyDescent="0.3">
      <c r="A24" s="34">
        <v>23</v>
      </c>
      <c r="B24" s="34">
        <v>446</v>
      </c>
      <c r="C24" s="34" t="s">
        <v>5</v>
      </c>
      <c r="D24" s="34">
        <v>9</v>
      </c>
      <c r="E24" s="34">
        <v>1244</v>
      </c>
      <c r="F24" s="34">
        <v>41</v>
      </c>
      <c r="G24" s="34" t="s">
        <v>6</v>
      </c>
      <c r="H24" s="34" t="s">
        <v>9</v>
      </c>
      <c r="I24" s="34">
        <v>0.14158714144691198</v>
      </c>
    </row>
    <row r="25" spans="1:9" x14ac:dyDescent="0.3">
      <c r="A25" s="34">
        <v>24</v>
      </c>
      <c r="B25" s="34">
        <v>637</v>
      </c>
      <c r="C25" s="34" t="s">
        <v>5</v>
      </c>
      <c r="D25" s="34">
        <v>24</v>
      </c>
      <c r="E25" s="34">
        <v>1376</v>
      </c>
      <c r="F25" s="34">
        <v>28</v>
      </c>
      <c r="G25" s="34" t="s">
        <v>6</v>
      </c>
      <c r="H25" s="34" t="s">
        <v>4</v>
      </c>
      <c r="I25" s="34">
        <v>0.14493298840490987</v>
      </c>
    </row>
    <row r="26" spans="1:9" x14ac:dyDescent="0.3">
      <c r="A26" s="34">
        <v>25</v>
      </c>
      <c r="B26" s="34">
        <v>70</v>
      </c>
      <c r="C26" s="34" t="s">
        <v>5</v>
      </c>
      <c r="D26" s="34">
        <v>36</v>
      </c>
      <c r="E26" s="34">
        <v>2394</v>
      </c>
      <c r="F26" s="34">
        <v>25</v>
      </c>
      <c r="G26" s="34" t="s">
        <v>6</v>
      </c>
      <c r="H26" s="34" t="s">
        <v>4</v>
      </c>
      <c r="I26" s="34">
        <v>0.14561595520425052</v>
      </c>
    </row>
    <row r="27" spans="1:9" x14ac:dyDescent="0.3">
      <c r="A27" s="34">
        <v>26</v>
      </c>
      <c r="B27" s="34">
        <v>780</v>
      </c>
      <c r="C27" s="34" t="s">
        <v>5</v>
      </c>
      <c r="D27" s="34">
        <v>18</v>
      </c>
      <c r="E27" s="34">
        <v>3872</v>
      </c>
      <c r="F27" s="34">
        <v>67</v>
      </c>
      <c r="G27" s="34" t="s">
        <v>6</v>
      </c>
      <c r="H27" s="34" t="s">
        <v>4</v>
      </c>
      <c r="I27" s="34">
        <v>0.1532982954834301</v>
      </c>
    </row>
    <row r="28" spans="1:9" x14ac:dyDescent="0.3">
      <c r="A28" s="34">
        <v>27</v>
      </c>
      <c r="B28" s="34">
        <v>264</v>
      </c>
      <c r="C28" s="34" t="s">
        <v>5</v>
      </c>
      <c r="D28" s="34">
        <v>12</v>
      </c>
      <c r="E28" s="34">
        <v>2748</v>
      </c>
      <c r="F28" s="34">
        <v>57</v>
      </c>
      <c r="G28" s="34" t="s">
        <v>6</v>
      </c>
      <c r="H28" s="34" t="s">
        <v>8</v>
      </c>
      <c r="I28" s="34">
        <v>0.1557528299194223</v>
      </c>
    </row>
    <row r="29" spans="1:9" x14ac:dyDescent="0.3">
      <c r="A29" s="34">
        <v>28</v>
      </c>
      <c r="B29" s="34">
        <v>802</v>
      </c>
      <c r="C29" s="34" t="s">
        <v>5</v>
      </c>
      <c r="D29" s="34">
        <v>18</v>
      </c>
      <c r="E29" s="34">
        <v>1795</v>
      </c>
      <c r="F29" s="34">
        <v>48</v>
      </c>
      <c r="G29" s="34" t="s">
        <v>6</v>
      </c>
      <c r="H29" s="34" t="s">
        <v>9</v>
      </c>
      <c r="I29" s="34">
        <v>0.17051874173663761</v>
      </c>
    </row>
    <row r="30" spans="1:9" x14ac:dyDescent="0.3">
      <c r="A30" s="34">
        <v>29</v>
      </c>
      <c r="B30" s="34">
        <v>46</v>
      </c>
      <c r="C30" s="34" t="s">
        <v>5</v>
      </c>
      <c r="D30" s="34">
        <v>11</v>
      </c>
      <c r="E30" s="34">
        <v>1393</v>
      </c>
      <c r="F30" s="34">
        <v>35</v>
      </c>
      <c r="G30" s="34" t="s">
        <v>6</v>
      </c>
      <c r="H30" s="34" t="s">
        <v>4</v>
      </c>
      <c r="I30" s="34">
        <v>0.17291006328050762</v>
      </c>
    </row>
    <row r="31" spans="1:9" x14ac:dyDescent="0.3">
      <c r="A31" s="34">
        <v>30</v>
      </c>
      <c r="B31" s="34">
        <v>392</v>
      </c>
      <c r="C31" s="34" t="s">
        <v>5</v>
      </c>
      <c r="D31" s="34">
        <v>12</v>
      </c>
      <c r="E31" s="34">
        <v>983</v>
      </c>
      <c r="F31" s="34">
        <v>19</v>
      </c>
      <c r="G31" s="34" t="s">
        <v>6</v>
      </c>
      <c r="H31" s="34" t="s">
        <v>9</v>
      </c>
      <c r="I31" s="34">
        <v>0.17339089105428462</v>
      </c>
    </row>
    <row r="32" spans="1:9" x14ac:dyDescent="0.3">
      <c r="A32" s="34">
        <v>31</v>
      </c>
      <c r="B32" s="34">
        <v>867</v>
      </c>
      <c r="C32" s="34" t="s">
        <v>5</v>
      </c>
      <c r="D32" s="34">
        <v>18</v>
      </c>
      <c r="E32" s="34">
        <v>2389</v>
      </c>
      <c r="F32" s="34">
        <v>27</v>
      </c>
      <c r="G32" s="34" t="s">
        <v>6</v>
      </c>
      <c r="H32" s="34" t="s">
        <v>4</v>
      </c>
      <c r="I32" s="34">
        <v>0.1762189248671262</v>
      </c>
    </row>
    <row r="33" spans="1:9" x14ac:dyDescent="0.3">
      <c r="A33" s="34">
        <v>32</v>
      </c>
      <c r="B33" s="34">
        <v>555</v>
      </c>
      <c r="C33" s="34" t="s">
        <v>5</v>
      </c>
      <c r="D33" s="34">
        <v>9</v>
      </c>
      <c r="E33" s="34">
        <v>1199</v>
      </c>
      <c r="F33" s="34">
        <v>67</v>
      </c>
      <c r="G33" s="34" t="s">
        <v>6</v>
      </c>
      <c r="H33" s="34" t="s">
        <v>4</v>
      </c>
      <c r="I33" s="34">
        <v>0.17785644998658001</v>
      </c>
    </row>
    <row r="34" spans="1:9" x14ac:dyDescent="0.3">
      <c r="A34" s="34">
        <v>33</v>
      </c>
      <c r="B34" s="34">
        <v>659</v>
      </c>
      <c r="C34" s="34" t="s">
        <v>5</v>
      </c>
      <c r="D34" s="34">
        <v>30</v>
      </c>
      <c r="E34" s="34">
        <v>4221</v>
      </c>
      <c r="F34" s="34">
        <v>28</v>
      </c>
      <c r="G34" s="34" t="s">
        <v>6</v>
      </c>
      <c r="H34" s="34" t="s">
        <v>4</v>
      </c>
      <c r="I34" s="34">
        <v>0.18018510937568621</v>
      </c>
    </row>
    <row r="35" spans="1:9" x14ac:dyDescent="0.3">
      <c r="A35" s="34">
        <v>34</v>
      </c>
      <c r="B35" s="34">
        <v>83</v>
      </c>
      <c r="C35" s="34" t="s">
        <v>5</v>
      </c>
      <c r="D35" s="34">
        <v>18</v>
      </c>
      <c r="E35" s="34">
        <v>1568</v>
      </c>
      <c r="F35" s="34">
        <v>24</v>
      </c>
      <c r="G35" s="34" t="s">
        <v>6</v>
      </c>
      <c r="H35" s="34" t="s">
        <v>9</v>
      </c>
      <c r="I35" s="34">
        <v>0.18205127215343264</v>
      </c>
    </row>
    <row r="36" spans="1:9" x14ac:dyDescent="0.3">
      <c r="A36" s="34">
        <v>35</v>
      </c>
      <c r="B36" s="34">
        <v>86</v>
      </c>
      <c r="C36" s="34" t="s">
        <v>5</v>
      </c>
      <c r="D36" s="34">
        <v>12</v>
      </c>
      <c r="E36" s="34">
        <v>1412</v>
      </c>
      <c r="F36" s="34">
        <v>29</v>
      </c>
      <c r="G36" s="34" t="s">
        <v>6</v>
      </c>
      <c r="H36" s="34" t="s">
        <v>4</v>
      </c>
      <c r="I36" s="34">
        <v>0.18837750934039676</v>
      </c>
    </row>
    <row r="37" spans="1:9" x14ac:dyDescent="0.3">
      <c r="A37" s="34">
        <v>36</v>
      </c>
      <c r="B37" s="34">
        <v>913</v>
      </c>
      <c r="C37" s="34" t="s">
        <v>5</v>
      </c>
      <c r="D37" s="34">
        <v>30</v>
      </c>
      <c r="E37" s="34">
        <v>2991</v>
      </c>
      <c r="F37" s="34">
        <v>25</v>
      </c>
      <c r="G37" s="34" t="s">
        <v>6</v>
      </c>
      <c r="H37" s="34" t="s">
        <v>4</v>
      </c>
      <c r="I37" s="34">
        <v>0.18944663170195664</v>
      </c>
    </row>
    <row r="38" spans="1:9" x14ac:dyDescent="0.3">
      <c r="A38" s="34">
        <v>37</v>
      </c>
      <c r="B38" s="34">
        <v>131</v>
      </c>
      <c r="C38" s="34" t="s">
        <v>5</v>
      </c>
      <c r="D38" s="34">
        <v>48</v>
      </c>
      <c r="E38" s="34">
        <v>8487</v>
      </c>
      <c r="F38" s="34">
        <v>24</v>
      </c>
      <c r="G38" s="34" t="s">
        <v>6</v>
      </c>
      <c r="H38" s="34" t="s">
        <v>4</v>
      </c>
      <c r="I38" s="34">
        <v>0.19321713508036842</v>
      </c>
    </row>
    <row r="39" spans="1:9" x14ac:dyDescent="0.3">
      <c r="A39" s="34">
        <v>38</v>
      </c>
      <c r="B39" s="34">
        <v>342</v>
      </c>
      <c r="C39" s="34" t="s">
        <v>5</v>
      </c>
      <c r="D39" s="34">
        <v>21</v>
      </c>
      <c r="E39" s="34">
        <v>3599</v>
      </c>
      <c r="F39" s="34">
        <v>26</v>
      </c>
      <c r="G39" s="34" t="s">
        <v>6</v>
      </c>
      <c r="H39" s="34" t="s">
        <v>9</v>
      </c>
      <c r="I39" s="34">
        <v>0.1939708248905575</v>
      </c>
    </row>
    <row r="40" spans="1:9" x14ac:dyDescent="0.3">
      <c r="A40" s="34">
        <v>39</v>
      </c>
      <c r="B40" s="34">
        <v>103</v>
      </c>
      <c r="C40" s="34" t="s">
        <v>5</v>
      </c>
      <c r="D40" s="34">
        <v>6</v>
      </c>
      <c r="E40" s="34">
        <v>932</v>
      </c>
      <c r="F40" s="34">
        <v>24</v>
      </c>
      <c r="G40" s="34" t="s">
        <v>6</v>
      </c>
      <c r="H40" s="34" t="s">
        <v>4</v>
      </c>
      <c r="I40" s="34">
        <v>0.19809155777408083</v>
      </c>
    </row>
    <row r="41" spans="1:9" x14ac:dyDescent="0.3">
      <c r="A41" s="34">
        <v>40</v>
      </c>
      <c r="B41" s="34">
        <v>259</v>
      </c>
      <c r="C41" s="34" t="s">
        <v>5</v>
      </c>
      <c r="D41" s="34">
        <v>15</v>
      </c>
      <c r="E41" s="34">
        <v>3812</v>
      </c>
      <c r="F41" s="34">
        <v>23</v>
      </c>
      <c r="G41" s="34" t="s">
        <v>6</v>
      </c>
      <c r="H41" s="34" t="s">
        <v>4</v>
      </c>
      <c r="I41" s="34">
        <v>0.19825234999841967</v>
      </c>
    </row>
    <row r="42" spans="1:9" x14ac:dyDescent="0.3">
      <c r="A42" s="34">
        <v>41</v>
      </c>
      <c r="B42" s="34">
        <v>320</v>
      </c>
      <c r="C42" s="34" t="s">
        <v>5</v>
      </c>
      <c r="D42" s="34">
        <v>15</v>
      </c>
      <c r="E42" s="34">
        <v>3643</v>
      </c>
      <c r="F42" s="34">
        <v>27</v>
      </c>
      <c r="G42" s="34" t="s">
        <v>6</v>
      </c>
      <c r="H42" s="34" t="s">
        <v>4</v>
      </c>
      <c r="I42" s="34">
        <v>0.19862304297505917</v>
      </c>
    </row>
    <row r="43" spans="1:9" x14ac:dyDescent="0.3">
      <c r="A43" s="34">
        <v>42</v>
      </c>
      <c r="B43" s="34">
        <v>245</v>
      </c>
      <c r="C43" s="34" t="s">
        <v>5</v>
      </c>
      <c r="D43" s="34">
        <v>12</v>
      </c>
      <c r="E43" s="34">
        <v>3447</v>
      </c>
      <c r="F43" s="34">
        <v>35</v>
      </c>
      <c r="G43" s="34" t="s">
        <v>6</v>
      </c>
      <c r="H43" s="34" t="s">
        <v>4</v>
      </c>
      <c r="I43" s="34">
        <v>0.21086226401779185</v>
      </c>
    </row>
    <row r="44" spans="1:9" x14ac:dyDescent="0.3">
      <c r="A44" s="34">
        <v>43</v>
      </c>
      <c r="B44" s="34">
        <v>438</v>
      </c>
      <c r="C44" s="34" t="s">
        <v>5</v>
      </c>
      <c r="D44" s="34">
        <v>24</v>
      </c>
      <c r="E44" s="34">
        <v>1287</v>
      </c>
      <c r="F44" s="34">
        <v>37</v>
      </c>
      <c r="G44" s="34" t="s">
        <v>6</v>
      </c>
      <c r="H44" s="34" t="s">
        <v>4</v>
      </c>
      <c r="I44" s="34">
        <v>0.21409741467291321</v>
      </c>
    </row>
    <row r="45" spans="1:9" x14ac:dyDescent="0.3">
      <c r="A45" s="34">
        <v>44</v>
      </c>
      <c r="B45" s="34">
        <v>771</v>
      </c>
      <c r="C45" s="34" t="s">
        <v>5</v>
      </c>
      <c r="D45" s="34">
        <v>24</v>
      </c>
      <c r="E45" s="34">
        <v>2812</v>
      </c>
      <c r="F45" s="34">
        <v>26</v>
      </c>
      <c r="G45" s="34" t="s">
        <v>6</v>
      </c>
      <c r="H45" s="34" t="s">
        <v>9</v>
      </c>
      <c r="I45" s="34">
        <v>0.22216431128700531</v>
      </c>
    </row>
    <row r="46" spans="1:9" x14ac:dyDescent="0.3">
      <c r="A46" s="34">
        <v>45</v>
      </c>
      <c r="B46" s="34">
        <v>927</v>
      </c>
      <c r="C46" s="34" t="s">
        <v>5</v>
      </c>
      <c r="D46" s="34">
        <v>18</v>
      </c>
      <c r="E46" s="34">
        <v>1049</v>
      </c>
      <c r="F46" s="34">
        <v>21</v>
      </c>
      <c r="G46" s="34" t="s">
        <v>6</v>
      </c>
      <c r="H46" s="34" t="s">
        <v>9</v>
      </c>
      <c r="I46" s="34">
        <v>0.23341640590144408</v>
      </c>
    </row>
    <row r="47" spans="1:9" x14ac:dyDescent="0.3">
      <c r="A47" s="34">
        <v>46</v>
      </c>
      <c r="B47" s="34">
        <v>484</v>
      </c>
      <c r="C47" s="34" t="s">
        <v>5</v>
      </c>
      <c r="D47" s="34">
        <v>15</v>
      </c>
      <c r="E47" s="34">
        <v>960</v>
      </c>
      <c r="F47" s="34">
        <v>30</v>
      </c>
      <c r="G47" s="34" t="s">
        <v>6</v>
      </c>
      <c r="H47" s="34" t="s">
        <v>4</v>
      </c>
      <c r="I47" s="34">
        <v>0.23606031149186157</v>
      </c>
    </row>
    <row r="48" spans="1:9" x14ac:dyDescent="0.3">
      <c r="A48" s="34">
        <v>47</v>
      </c>
      <c r="B48" s="34">
        <v>328</v>
      </c>
      <c r="C48" s="34" t="s">
        <v>5</v>
      </c>
      <c r="D48" s="34">
        <v>24</v>
      </c>
      <c r="E48" s="34">
        <v>1525</v>
      </c>
      <c r="F48" s="34">
        <v>34</v>
      </c>
      <c r="G48" s="34" t="s">
        <v>6</v>
      </c>
      <c r="H48" s="34" t="s">
        <v>4</v>
      </c>
      <c r="I48" s="34">
        <v>0.23671131955446312</v>
      </c>
    </row>
    <row r="49" spans="1:9" x14ac:dyDescent="0.3">
      <c r="A49" s="34">
        <v>48</v>
      </c>
      <c r="B49" s="34">
        <v>318</v>
      </c>
      <c r="C49" s="34" t="s">
        <v>5</v>
      </c>
      <c r="D49" s="34">
        <v>24</v>
      </c>
      <c r="E49" s="34">
        <v>4351</v>
      </c>
      <c r="F49" s="34">
        <v>48</v>
      </c>
      <c r="G49" s="34" t="s">
        <v>6</v>
      </c>
      <c r="H49" s="34" t="s">
        <v>4</v>
      </c>
      <c r="I49" s="34">
        <v>0.23769598856088925</v>
      </c>
    </row>
    <row r="50" spans="1:9" x14ac:dyDescent="0.3">
      <c r="A50" s="34">
        <v>49</v>
      </c>
      <c r="B50" s="34">
        <v>899</v>
      </c>
      <c r="C50" s="34" t="s">
        <v>5</v>
      </c>
      <c r="D50" s="34">
        <v>15</v>
      </c>
      <c r="E50" s="34">
        <v>2186</v>
      </c>
      <c r="F50" s="34">
        <v>33</v>
      </c>
      <c r="G50" s="34" t="s">
        <v>6</v>
      </c>
      <c r="H50" s="34" t="s">
        <v>9</v>
      </c>
      <c r="I50" s="34">
        <v>0.24487457571961402</v>
      </c>
    </row>
    <row r="51" spans="1:9" x14ac:dyDescent="0.3">
      <c r="A51" s="34">
        <v>50</v>
      </c>
      <c r="B51" s="34">
        <v>665</v>
      </c>
      <c r="C51" s="34" t="s">
        <v>5</v>
      </c>
      <c r="D51" s="34">
        <v>6</v>
      </c>
      <c r="E51" s="34">
        <v>1047</v>
      </c>
      <c r="F51" s="34">
        <v>50</v>
      </c>
      <c r="G51" s="34" t="s">
        <v>6</v>
      </c>
      <c r="H51" s="34" t="s">
        <v>4</v>
      </c>
      <c r="I51" s="34">
        <v>0.24957403540696221</v>
      </c>
    </row>
    <row r="52" spans="1:9" x14ac:dyDescent="0.3">
      <c r="A52" s="34">
        <v>51</v>
      </c>
      <c r="B52" s="34">
        <v>527</v>
      </c>
      <c r="C52" s="34" t="s">
        <v>5</v>
      </c>
      <c r="D52" s="34">
        <v>15</v>
      </c>
      <c r="E52" s="34">
        <v>1532</v>
      </c>
      <c r="F52" s="34">
        <v>31</v>
      </c>
      <c r="G52" s="34" t="s">
        <v>6</v>
      </c>
      <c r="H52" s="34" t="s">
        <v>4</v>
      </c>
      <c r="I52" s="34">
        <v>0.25664078335050611</v>
      </c>
    </row>
    <row r="53" spans="1:9" x14ac:dyDescent="0.3">
      <c r="A53" s="34">
        <v>52</v>
      </c>
      <c r="B53" s="34">
        <v>483</v>
      </c>
      <c r="C53" s="34" t="s">
        <v>5</v>
      </c>
      <c r="D53" s="34">
        <v>30</v>
      </c>
      <c r="E53" s="34">
        <v>3622</v>
      </c>
      <c r="F53" s="34">
        <v>57</v>
      </c>
      <c r="G53" s="34" t="s">
        <v>6</v>
      </c>
      <c r="H53" s="34" t="s">
        <v>9</v>
      </c>
      <c r="I53" s="34">
        <v>0.25788164612960873</v>
      </c>
    </row>
    <row r="54" spans="1:9" x14ac:dyDescent="0.3">
      <c r="A54" s="34">
        <v>53</v>
      </c>
      <c r="B54" s="34">
        <v>48</v>
      </c>
      <c r="C54" s="34" t="s">
        <v>5</v>
      </c>
      <c r="D54" s="34">
        <v>6</v>
      </c>
      <c r="E54" s="34">
        <v>1352</v>
      </c>
      <c r="F54" s="34">
        <v>23</v>
      </c>
      <c r="G54" s="34" t="s">
        <v>6</v>
      </c>
      <c r="H54" s="34" t="s">
        <v>9</v>
      </c>
      <c r="I54" s="34">
        <v>0.25887389840024366</v>
      </c>
    </row>
    <row r="55" spans="1:9" x14ac:dyDescent="0.3">
      <c r="A55" s="34">
        <v>54</v>
      </c>
      <c r="B55" s="34">
        <v>754</v>
      </c>
      <c r="C55" s="34" t="s">
        <v>5</v>
      </c>
      <c r="D55" s="34">
        <v>30</v>
      </c>
      <c r="E55" s="34">
        <v>5771</v>
      </c>
      <c r="F55" s="34">
        <v>25</v>
      </c>
      <c r="G55" s="34" t="s">
        <v>6</v>
      </c>
      <c r="H55" s="34" t="s">
        <v>4</v>
      </c>
      <c r="I55" s="34">
        <v>0.26061386965756861</v>
      </c>
    </row>
    <row r="56" spans="1:9" x14ac:dyDescent="0.3">
      <c r="A56" s="34">
        <v>55</v>
      </c>
      <c r="B56" s="34">
        <v>639</v>
      </c>
      <c r="C56" s="34" t="s">
        <v>5</v>
      </c>
      <c r="D56" s="34">
        <v>12</v>
      </c>
      <c r="E56" s="34">
        <v>1493</v>
      </c>
      <c r="F56" s="34">
        <v>34</v>
      </c>
      <c r="G56" s="34" t="s">
        <v>6</v>
      </c>
      <c r="H56" s="34" t="s">
        <v>4</v>
      </c>
      <c r="I56" s="34">
        <v>0.26532590560163705</v>
      </c>
    </row>
    <row r="57" spans="1:9" x14ac:dyDescent="0.3">
      <c r="A57" s="34">
        <v>56</v>
      </c>
      <c r="B57" s="34">
        <v>251</v>
      </c>
      <c r="C57" s="34" t="s">
        <v>5</v>
      </c>
      <c r="D57" s="34">
        <v>6</v>
      </c>
      <c r="E57" s="34">
        <v>666</v>
      </c>
      <c r="F57" s="34">
        <v>39</v>
      </c>
      <c r="G57" s="34" t="s">
        <v>6</v>
      </c>
      <c r="H57" s="34" t="s">
        <v>4</v>
      </c>
      <c r="I57" s="34">
        <v>0.26604293227444031</v>
      </c>
    </row>
    <row r="58" spans="1:9" x14ac:dyDescent="0.3">
      <c r="A58" s="34">
        <v>57</v>
      </c>
      <c r="B58" s="34">
        <v>577</v>
      </c>
      <c r="C58" s="34" t="s">
        <v>5</v>
      </c>
      <c r="D58" s="34">
        <v>12</v>
      </c>
      <c r="E58" s="34">
        <v>2930</v>
      </c>
      <c r="F58" s="34">
        <v>27</v>
      </c>
      <c r="G58" s="34" t="s">
        <v>6</v>
      </c>
      <c r="H58" s="34" t="s">
        <v>4</v>
      </c>
      <c r="I58" s="34">
        <v>0.26795184099464886</v>
      </c>
    </row>
    <row r="59" spans="1:9" x14ac:dyDescent="0.3">
      <c r="A59" s="34">
        <v>58</v>
      </c>
      <c r="B59" s="34">
        <v>463</v>
      </c>
      <c r="C59" s="34" t="s">
        <v>5</v>
      </c>
      <c r="D59" s="34">
        <v>12</v>
      </c>
      <c r="E59" s="34">
        <v>3017</v>
      </c>
      <c r="F59" s="34">
        <v>34</v>
      </c>
      <c r="G59" s="34" t="s">
        <v>6</v>
      </c>
      <c r="H59" s="34" t="s">
        <v>9</v>
      </c>
      <c r="I59" s="34">
        <v>0.27249901291762046</v>
      </c>
    </row>
    <row r="60" spans="1:9" x14ac:dyDescent="0.3">
      <c r="A60" s="34">
        <v>59</v>
      </c>
      <c r="B60" s="34">
        <v>816</v>
      </c>
      <c r="C60" s="34" t="s">
        <v>5</v>
      </c>
      <c r="D60" s="34">
        <v>36</v>
      </c>
      <c r="E60" s="34">
        <v>7432</v>
      </c>
      <c r="F60" s="34">
        <v>54</v>
      </c>
      <c r="G60" s="34" t="s">
        <v>6</v>
      </c>
      <c r="H60" s="34" t="s">
        <v>9</v>
      </c>
      <c r="I60" s="34">
        <v>0.27266494539025798</v>
      </c>
    </row>
    <row r="61" spans="1:9" x14ac:dyDescent="0.3">
      <c r="A61" s="34">
        <v>60</v>
      </c>
      <c r="B61" s="34">
        <v>540</v>
      </c>
      <c r="C61" s="34" t="s">
        <v>5</v>
      </c>
      <c r="D61" s="34">
        <v>18</v>
      </c>
      <c r="E61" s="34">
        <v>3049</v>
      </c>
      <c r="F61" s="34">
        <v>45</v>
      </c>
      <c r="G61" s="34" t="s">
        <v>6</v>
      </c>
      <c r="H61" s="34" t="s">
        <v>4</v>
      </c>
      <c r="I61" s="34">
        <v>0.27616694355631954</v>
      </c>
    </row>
    <row r="62" spans="1:9" x14ac:dyDescent="0.3">
      <c r="A62" s="34">
        <v>61</v>
      </c>
      <c r="B62" s="34">
        <v>975</v>
      </c>
      <c r="C62" s="34" t="s">
        <v>5</v>
      </c>
      <c r="D62" s="34">
        <v>30</v>
      </c>
      <c r="E62" s="34">
        <v>2831</v>
      </c>
      <c r="F62" s="34">
        <v>33</v>
      </c>
      <c r="G62" s="34" t="s">
        <v>6</v>
      </c>
      <c r="H62" s="34" t="s">
        <v>4</v>
      </c>
      <c r="I62" s="34">
        <v>0.27999289460665133</v>
      </c>
    </row>
    <row r="63" spans="1:9" x14ac:dyDescent="0.3">
      <c r="A63" s="34">
        <v>62</v>
      </c>
      <c r="B63" s="34">
        <v>58</v>
      </c>
      <c r="C63" s="34" t="s">
        <v>5</v>
      </c>
      <c r="D63" s="34">
        <v>36</v>
      </c>
      <c r="E63" s="34">
        <v>9566</v>
      </c>
      <c r="F63" s="34">
        <v>31</v>
      </c>
      <c r="G63" s="34" t="s">
        <v>6</v>
      </c>
      <c r="H63" s="34" t="s">
        <v>4</v>
      </c>
      <c r="I63" s="34">
        <v>0.28974235044559737</v>
      </c>
    </row>
    <row r="64" spans="1:9" x14ac:dyDescent="0.3">
      <c r="A64" s="34">
        <v>63</v>
      </c>
      <c r="B64" s="34">
        <v>778</v>
      </c>
      <c r="C64" s="34" t="s">
        <v>5</v>
      </c>
      <c r="D64" s="34">
        <v>18</v>
      </c>
      <c r="E64" s="34">
        <v>3509</v>
      </c>
      <c r="F64" s="34">
        <v>25</v>
      </c>
      <c r="G64" s="34" t="s">
        <v>6</v>
      </c>
      <c r="H64" s="34" t="s">
        <v>4</v>
      </c>
      <c r="I64" s="34">
        <v>0.29128989469911715</v>
      </c>
    </row>
    <row r="65" spans="1:9" x14ac:dyDescent="0.3">
      <c r="A65" s="34">
        <v>64</v>
      </c>
      <c r="B65" s="34">
        <v>363</v>
      </c>
      <c r="C65" s="34" t="s">
        <v>5</v>
      </c>
      <c r="D65" s="34">
        <v>12</v>
      </c>
      <c r="E65" s="34">
        <v>2247</v>
      </c>
      <c r="F65" s="34">
        <v>36</v>
      </c>
      <c r="G65" s="34" t="s">
        <v>6</v>
      </c>
      <c r="H65" s="34" t="s">
        <v>4</v>
      </c>
      <c r="I65" s="34">
        <v>0.29778997564119825</v>
      </c>
    </row>
    <row r="66" spans="1:9" x14ac:dyDescent="0.3">
      <c r="A66" s="34">
        <v>65</v>
      </c>
      <c r="B66" s="34">
        <v>222</v>
      </c>
      <c r="C66" s="34" t="s">
        <v>5</v>
      </c>
      <c r="D66" s="34">
        <v>12</v>
      </c>
      <c r="E66" s="34">
        <v>1200</v>
      </c>
      <c r="F66" s="34">
        <v>23</v>
      </c>
      <c r="G66" s="34" t="s">
        <v>6</v>
      </c>
      <c r="H66" s="34" t="s">
        <v>9</v>
      </c>
      <c r="I66" s="34">
        <v>0.30073370225175688</v>
      </c>
    </row>
    <row r="67" spans="1:9" x14ac:dyDescent="0.3">
      <c r="A67" s="34">
        <v>66</v>
      </c>
      <c r="B67" s="34">
        <v>884</v>
      </c>
      <c r="C67" s="34" t="s">
        <v>5</v>
      </c>
      <c r="D67" s="34">
        <v>18</v>
      </c>
      <c r="E67" s="34">
        <v>1098</v>
      </c>
      <c r="F67" s="34">
        <v>65</v>
      </c>
      <c r="G67" s="34" t="s">
        <v>6</v>
      </c>
      <c r="H67" s="34" t="s">
        <v>4</v>
      </c>
      <c r="I67" s="34">
        <v>0.30265736886951933</v>
      </c>
    </row>
    <row r="68" spans="1:9" x14ac:dyDescent="0.3">
      <c r="A68" s="34">
        <v>67</v>
      </c>
      <c r="B68" s="34">
        <v>537</v>
      </c>
      <c r="C68" s="34" t="s">
        <v>5</v>
      </c>
      <c r="D68" s="34">
        <v>6</v>
      </c>
      <c r="E68" s="34">
        <v>1374</v>
      </c>
      <c r="F68" s="34">
        <v>75</v>
      </c>
      <c r="G68" s="34" t="s">
        <v>6</v>
      </c>
      <c r="H68" s="34" t="s">
        <v>4</v>
      </c>
      <c r="I68" s="34">
        <v>0.3097421685347741</v>
      </c>
    </row>
    <row r="69" spans="1:9" x14ac:dyDescent="0.3">
      <c r="A69" s="34">
        <v>68</v>
      </c>
      <c r="B69" s="34">
        <v>168</v>
      </c>
      <c r="C69" s="34" t="s">
        <v>5</v>
      </c>
      <c r="D69" s="34">
        <v>11</v>
      </c>
      <c r="E69" s="34">
        <v>1577</v>
      </c>
      <c r="F69" s="34">
        <v>20</v>
      </c>
      <c r="G69" s="34" t="s">
        <v>6</v>
      </c>
      <c r="H69" s="34" t="s">
        <v>4</v>
      </c>
      <c r="I69" s="34">
        <v>0.31258908045594269</v>
      </c>
    </row>
    <row r="70" spans="1:9" x14ac:dyDescent="0.3">
      <c r="A70" s="34">
        <v>69</v>
      </c>
      <c r="B70" s="34">
        <v>803</v>
      </c>
      <c r="C70" s="34" t="s">
        <v>5</v>
      </c>
      <c r="D70" s="34">
        <v>20</v>
      </c>
      <c r="E70" s="34">
        <v>4272</v>
      </c>
      <c r="F70" s="34">
        <v>24</v>
      </c>
      <c r="G70" s="34" t="s">
        <v>6</v>
      </c>
      <c r="H70" s="34" t="s">
        <v>4</v>
      </c>
      <c r="I70" s="34">
        <v>0.31505602614248773</v>
      </c>
    </row>
    <row r="71" spans="1:9" x14ac:dyDescent="0.3">
      <c r="A71" s="34">
        <v>70</v>
      </c>
      <c r="B71" s="34">
        <v>122</v>
      </c>
      <c r="C71" s="34" t="s">
        <v>5</v>
      </c>
      <c r="D71" s="34">
        <v>24</v>
      </c>
      <c r="E71" s="34">
        <v>3868</v>
      </c>
      <c r="F71" s="34">
        <v>41</v>
      </c>
      <c r="G71" s="34" t="s">
        <v>6</v>
      </c>
      <c r="H71" s="34" t="s">
        <v>9</v>
      </c>
      <c r="I71" s="34">
        <v>0.32502604787056988</v>
      </c>
    </row>
    <row r="72" spans="1:9" x14ac:dyDescent="0.3">
      <c r="A72" s="34">
        <v>71</v>
      </c>
      <c r="B72" s="34">
        <v>983</v>
      </c>
      <c r="C72" s="34" t="s">
        <v>5</v>
      </c>
      <c r="D72" s="34">
        <v>21</v>
      </c>
      <c r="E72" s="34">
        <v>2923</v>
      </c>
      <c r="F72" s="34">
        <v>28</v>
      </c>
      <c r="G72" s="34" t="s">
        <v>6</v>
      </c>
      <c r="H72" s="34" t="s">
        <v>4</v>
      </c>
      <c r="I72" s="34">
        <v>0.32661131821227407</v>
      </c>
    </row>
    <row r="73" spans="1:9" x14ac:dyDescent="0.3">
      <c r="A73" s="34">
        <v>72</v>
      </c>
      <c r="B73" s="34">
        <v>135</v>
      </c>
      <c r="C73" s="34" t="s">
        <v>5</v>
      </c>
      <c r="D73" s="34">
        <v>60</v>
      </c>
      <c r="E73" s="34">
        <v>10144</v>
      </c>
      <c r="F73" s="34">
        <v>21</v>
      </c>
      <c r="G73" s="34" t="s">
        <v>6</v>
      </c>
      <c r="H73" s="34" t="s">
        <v>4</v>
      </c>
      <c r="I73" s="34">
        <v>0.32722423156026648</v>
      </c>
    </row>
    <row r="74" spans="1:9" x14ac:dyDescent="0.3">
      <c r="A74" s="34">
        <v>73</v>
      </c>
      <c r="B74" s="34">
        <v>136</v>
      </c>
      <c r="C74" s="34" t="s">
        <v>5</v>
      </c>
      <c r="D74" s="34">
        <v>12</v>
      </c>
      <c r="E74" s="34">
        <v>1240</v>
      </c>
      <c r="F74" s="34">
        <v>38</v>
      </c>
      <c r="G74" s="34" t="s">
        <v>6</v>
      </c>
      <c r="H74" s="34" t="s">
        <v>4</v>
      </c>
      <c r="I74" s="34">
        <v>0.33132944176087609</v>
      </c>
    </row>
    <row r="75" spans="1:9" x14ac:dyDescent="0.3">
      <c r="A75" s="34">
        <v>74</v>
      </c>
      <c r="B75" s="34">
        <v>481</v>
      </c>
      <c r="C75" s="34" t="s">
        <v>5</v>
      </c>
      <c r="D75" s="34">
        <v>12</v>
      </c>
      <c r="E75" s="34">
        <v>3573</v>
      </c>
      <c r="F75" s="34">
        <v>23</v>
      </c>
      <c r="G75" s="34" t="s">
        <v>6</v>
      </c>
      <c r="H75" s="34" t="s">
        <v>4</v>
      </c>
      <c r="I75" s="34">
        <v>0.33334025457477634</v>
      </c>
    </row>
    <row r="76" spans="1:9" x14ac:dyDescent="0.3">
      <c r="A76" s="34">
        <v>75</v>
      </c>
      <c r="B76" s="34">
        <v>400</v>
      </c>
      <c r="C76" s="34" t="s">
        <v>5</v>
      </c>
      <c r="D76" s="34">
        <v>24</v>
      </c>
      <c r="E76" s="34">
        <v>1516</v>
      </c>
      <c r="F76" s="34">
        <v>43</v>
      </c>
      <c r="G76" s="34" t="s">
        <v>6</v>
      </c>
      <c r="H76" s="34" t="s">
        <v>4</v>
      </c>
      <c r="I76" s="34">
        <v>0.34827326702822636</v>
      </c>
    </row>
    <row r="77" spans="1:9" x14ac:dyDescent="0.3">
      <c r="A77" s="34">
        <v>76</v>
      </c>
      <c r="B77" s="34">
        <v>838</v>
      </c>
      <c r="C77" s="34" t="s">
        <v>5</v>
      </c>
      <c r="D77" s="34">
        <v>4</v>
      </c>
      <c r="E77" s="34">
        <v>601</v>
      </c>
      <c r="F77" s="34">
        <v>23</v>
      </c>
      <c r="G77" s="34" t="s">
        <v>6</v>
      </c>
      <c r="H77" s="34" t="s">
        <v>9</v>
      </c>
      <c r="I77" s="34">
        <v>0.35799354780105419</v>
      </c>
    </row>
    <row r="78" spans="1:9" x14ac:dyDescent="0.3">
      <c r="A78" s="34">
        <v>77</v>
      </c>
      <c r="B78" s="34">
        <v>418</v>
      </c>
      <c r="C78" s="34" t="s">
        <v>5</v>
      </c>
      <c r="D78" s="34">
        <v>18</v>
      </c>
      <c r="E78" s="34">
        <v>8471</v>
      </c>
      <c r="F78" s="34">
        <v>23</v>
      </c>
      <c r="G78" s="34" t="s">
        <v>6</v>
      </c>
      <c r="H78" s="34" t="s">
        <v>9</v>
      </c>
      <c r="I78" s="34">
        <v>0.36183337091676537</v>
      </c>
    </row>
    <row r="79" spans="1:9" x14ac:dyDescent="0.3">
      <c r="A79" s="34">
        <v>78</v>
      </c>
      <c r="B79" s="34">
        <v>337</v>
      </c>
      <c r="C79" s="34" t="s">
        <v>5</v>
      </c>
      <c r="D79" s="34">
        <v>13</v>
      </c>
      <c r="E79" s="34">
        <v>2101</v>
      </c>
      <c r="F79" s="34">
        <v>23</v>
      </c>
      <c r="G79" s="34" t="s">
        <v>6</v>
      </c>
      <c r="H79" s="34" t="s">
        <v>4</v>
      </c>
      <c r="I79" s="34">
        <v>0.36752810330003882</v>
      </c>
    </row>
    <row r="80" spans="1:9" x14ac:dyDescent="0.3">
      <c r="A80" s="34">
        <v>79</v>
      </c>
      <c r="B80" s="34">
        <v>442</v>
      </c>
      <c r="C80" s="34" t="s">
        <v>5</v>
      </c>
      <c r="D80" s="34">
        <v>12</v>
      </c>
      <c r="E80" s="34">
        <v>1620</v>
      </c>
      <c r="F80" s="34">
        <v>30</v>
      </c>
      <c r="G80" s="34" t="s">
        <v>6</v>
      </c>
      <c r="H80" s="34" t="s">
        <v>4</v>
      </c>
      <c r="I80" s="34">
        <v>0.36762409552247965</v>
      </c>
    </row>
    <row r="81" spans="1:9" x14ac:dyDescent="0.3">
      <c r="A81" s="34">
        <v>80</v>
      </c>
      <c r="B81" s="34">
        <v>601</v>
      </c>
      <c r="C81" s="34" t="s">
        <v>5</v>
      </c>
      <c r="D81" s="34">
        <v>7</v>
      </c>
      <c r="E81" s="34">
        <v>2329</v>
      </c>
      <c r="F81" s="34">
        <v>45</v>
      </c>
      <c r="G81" s="34" t="s">
        <v>6</v>
      </c>
      <c r="H81" s="34" t="s">
        <v>4</v>
      </c>
      <c r="I81" s="34">
        <v>0.38205484354345265</v>
      </c>
    </row>
    <row r="82" spans="1:9" x14ac:dyDescent="0.3">
      <c r="A82" s="34">
        <v>81</v>
      </c>
      <c r="B82" s="34">
        <v>419</v>
      </c>
      <c r="C82" s="34" t="s">
        <v>5</v>
      </c>
      <c r="D82" s="34">
        <v>21</v>
      </c>
      <c r="E82" s="34">
        <v>2782</v>
      </c>
      <c r="F82" s="34">
        <v>31</v>
      </c>
      <c r="G82" s="34" t="s">
        <v>6</v>
      </c>
      <c r="H82" s="34" t="s">
        <v>4</v>
      </c>
      <c r="I82" s="34">
        <v>0.38274245676697727</v>
      </c>
    </row>
    <row r="83" spans="1:9" x14ac:dyDescent="0.3">
      <c r="A83" s="34">
        <v>82</v>
      </c>
      <c r="B83" s="34">
        <v>870</v>
      </c>
      <c r="C83" s="34" t="s">
        <v>5</v>
      </c>
      <c r="D83" s="34">
        <v>12</v>
      </c>
      <c r="E83" s="34">
        <v>652</v>
      </c>
      <c r="F83" s="34">
        <v>24</v>
      </c>
      <c r="G83" s="34" t="s">
        <v>6</v>
      </c>
      <c r="H83" s="34" t="s">
        <v>9</v>
      </c>
      <c r="I83" s="34">
        <v>0.38534497630290865</v>
      </c>
    </row>
    <row r="84" spans="1:9" x14ac:dyDescent="0.3">
      <c r="A84" s="34">
        <v>83</v>
      </c>
      <c r="B84" s="34">
        <v>976</v>
      </c>
      <c r="C84" s="34" t="s">
        <v>5</v>
      </c>
      <c r="D84" s="34">
        <v>24</v>
      </c>
      <c r="E84" s="34">
        <v>1258</v>
      </c>
      <c r="F84" s="34">
        <v>57</v>
      </c>
      <c r="G84" s="34" t="s">
        <v>6</v>
      </c>
      <c r="H84" s="34" t="s">
        <v>4</v>
      </c>
      <c r="I84" s="34">
        <v>0.39115467039002227</v>
      </c>
    </row>
    <row r="85" spans="1:9" x14ac:dyDescent="0.3">
      <c r="A85" s="34">
        <v>84</v>
      </c>
      <c r="B85" s="34">
        <v>945</v>
      </c>
      <c r="C85" s="34" t="s">
        <v>5</v>
      </c>
      <c r="D85" s="34">
        <v>15</v>
      </c>
      <c r="E85" s="34">
        <v>1845</v>
      </c>
      <c r="F85" s="34">
        <v>46</v>
      </c>
      <c r="G85" s="34" t="s">
        <v>6</v>
      </c>
      <c r="H85" s="34" t="s">
        <v>9</v>
      </c>
      <c r="I85" s="34">
        <v>0.3920129181029699</v>
      </c>
    </row>
    <row r="86" spans="1:9" x14ac:dyDescent="0.3">
      <c r="A86" s="34">
        <v>85</v>
      </c>
      <c r="B86" s="34">
        <v>118</v>
      </c>
      <c r="C86" s="34" t="s">
        <v>5</v>
      </c>
      <c r="D86" s="34">
        <v>10</v>
      </c>
      <c r="E86" s="34">
        <v>2132</v>
      </c>
      <c r="F86" s="34">
        <v>27</v>
      </c>
      <c r="G86" s="34" t="s">
        <v>6</v>
      </c>
      <c r="H86" s="34" t="s">
        <v>9</v>
      </c>
      <c r="I86" s="34">
        <v>0.39800159211012076</v>
      </c>
    </row>
    <row r="87" spans="1:9" x14ac:dyDescent="0.3">
      <c r="A87" s="34">
        <v>86</v>
      </c>
      <c r="B87" s="34">
        <v>547</v>
      </c>
      <c r="C87" s="34" t="s">
        <v>5</v>
      </c>
      <c r="D87" s="34">
        <v>24</v>
      </c>
      <c r="E87" s="34">
        <v>2022</v>
      </c>
      <c r="F87" s="34">
        <v>37</v>
      </c>
      <c r="G87" s="34" t="s">
        <v>6</v>
      </c>
      <c r="H87" s="34" t="s">
        <v>4</v>
      </c>
      <c r="I87" s="34">
        <v>0.39977614200024103</v>
      </c>
    </row>
    <row r="88" spans="1:9" x14ac:dyDescent="0.3">
      <c r="A88" s="34">
        <v>87</v>
      </c>
      <c r="B88" s="34">
        <v>897</v>
      </c>
      <c r="C88" s="34" t="s">
        <v>5</v>
      </c>
      <c r="D88" s="34">
        <v>21</v>
      </c>
      <c r="E88" s="34">
        <v>2606</v>
      </c>
      <c r="F88" s="34">
        <v>28</v>
      </c>
      <c r="G88" s="34" t="s">
        <v>6</v>
      </c>
      <c r="H88" s="34" t="s">
        <v>9</v>
      </c>
      <c r="I88" s="34">
        <v>0.40637932372931762</v>
      </c>
    </row>
    <row r="89" spans="1:9" x14ac:dyDescent="0.3">
      <c r="A89" s="34">
        <v>88</v>
      </c>
      <c r="B89" s="34">
        <v>313</v>
      </c>
      <c r="C89" s="34" t="s">
        <v>5</v>
      </c>
      <c r="D89" s="34">
        <v>24</v>
      </c>
      <c r="E89" s="34">
        <v>3749</v>
      </c>
      <c r="F89" s="34">
        <v>26</v>
      </c>
      <c r="G89" s="34" t="s">
        <v>6</v>
      </c>
      <c r="H89" s="34" t="s">
        <v>4</v>
      </c>
      <c r="I89" s="34">
        <v>0.40641983755109934</v>
      </c>
    </row>
    <row r="90" spans="1:9" x14ac:dyDescent="0.3">
      <c r="A90" s="34">
        <v>89</v>
      </c>
      <c r="B90" s="34">
        <v>351</v>
      </c>
      <c r="C90" s="34" t="s">
        <v>5</v>
      </c>
      <c r="D90" s="34">
        <v>9</v>
      </c>
      <c r="E90" s="34">
        <v>1236</v>
      </c>
      <c r="F90" s="34">
        <v>23</v>
      </c>
      <c r="G90" s="34" t="s">
        <v>6</v>
      </c>
      <c r="H90" s="34" t="s">
        <v>9</v>
      </c>
      <c r="I90" s="34">
        <v>0.42132546235077495</v>
      </c>
    </row>
    <row r="91" spans="1:9" x14ac:dyDescent="0.3">
      <c r="A91" s="34">
        <v>90</v>
      </c>
      <c r="B91" s="34">
        <v>154</v>
      </c>
      <c r="C91" s="34" t="s">
        <v>5</v>
      </c>
      <c r="D91" s="34">
        <v>24</v>
      </c>
      <c r="E91" s="34">
        <v>7758</v>
      </c>
      <c r="F91" s="34">
        <v>29</v>
      </c>
      <c r="G91" s="34" t="s">
        <v>6</v>
      </c>
      <c r="H91" s="34" t="s">
        <v>9</v>
      </c>
      <c r="I91" s="34">
        <v>0.42564283715737228</v>
      </c>
    </row>
    <row r="92" spans="1:9" x14ac:dyDescent="0.3">
      <c r="A92" s="34">
        <v>91</v>
      </c>
      <c r="B92" s="34">
        <v>239</v>
      </c>
      <c r="C92" s="34" t="s">
        <v>5</v>
      </c>
      <c r="D92" s="34">
        <v>12</v>
      </c>
      <c r="E92" s="34">
        <v>1291</v>
      </c>
      <c r="F92" s="34">
        <v>35</v>
      </c>
      <c r="G92" s="34" t="s">
        <v>6</v>
      </c>
      <c r="H92" s="34" t="s">
        <v>4</v>
      </c>
      <c r="I92" s="34">
        <v>0.4307351044697949</v>
      </c>
    </row>
    <row r="93" spans="1:9" x14ac:dyDescent="0.3">
      <c r="A93" s="34">
        <v>92</v>
      </c>
      <c r="B93" s="34">
        <v>876</v>
      </c>
      <c r="C93" s="34" t="s">
        <v>5</v>
      </c>
      <c r="D93" s="34">
        <v>11</v>
      </c>
      <c r="E93" s="34">
        <v>1322</v>
      </c>
      <c r="F93" s="34">
        <v>40</v>
      </c>
      <c r="G93" s="34" t="s">
        <v>6</v>
      </c>
      <c r="H93" s="34" t="s">
        <v>4</v>
      </c>
      <c r="I93" s="34">
        <v>0.43736245665046858</v>
      </c>
    </row>
    <row r="94" spans="1:9" x14ac:dyDescent="0.3">
      <c r="A94" s="34">
        <v>93</v>
      </c>
      <c r="B94" s="34">
        <v>946</v>
      </c>
      <c r="C94" s="34" t="s">
        <v>5</v>
      </c>
      <c r="D94" s="34">
        <v>48</v>
      </c>
      <c r="E94" s="34">
        <v>8358</v>
      </c>
      <c r="F94" s="34">
        <v>30</v>
      </c>
      <c r="G94" s="34" t="s">
        <v>6</v>
      </c>
      <c r="H94" s="34" t="s">
        <v>4</v>
      </c>
      <c r="I94" s="34">
        <v>0.43791439945490795</v>
      </c>
    </row>
    <row r="95" spans="1:9" x14ac:dyDescent="0.3">
      <c r="A95" s="34">
        <v>94</v>
      </c>
      <c r="B95" s="34">
        <v>380</v>
      </c>
      <c r="C95" s="34" t="s">
        <v>5</v>
      </c>
      <c r="D95" s="34">
        <v>6</v>
      </c>
      <c r="E95" s="34">
        <v>362</v>
      </c>
      <c r="F95" s="34">
        <v>52</v>
      </c>
      <c r="G95" s="34" t="s">
        <v>6</v>
      </c>
      <c r="H95" s="34" t="s">
        <v>4</v>
      </c>
      <c r="I95" s="34">
        <v>0.44295977456944546</v>
      </c>
    </row>
    <row r="96" spans="1:9" x14ac:dyDescent="0.3">
      <c r="A96" s="34">
        <v>95</v>
      </c>
      <c r="B96" s="34">
        <v>456</v>
      </c>
      <c r="C96" s="34" t="s">
        <v>5</v>
      </c>
      <c r="D96" s="34">
        <v>24</v>
      </c>
      <c r="E96" s="34">
        <v>2679</v>
      </c>
      <c r="F96" s="34">
        <v>29</v>
      </c>
      <c r="G96" s="34" t="s">
        <v>6</v>
      </c>
      <c r="H96" s="34" t="s">
        <v>4</v>
      </c>
      <c r="I96" s="34">
        <v>0.44812768770310285</v>
      </c>
    </row>
    <row r="97" spans="1:9" x14ac:dyDescent="0.3">
      <c r="A97" s="34">
        <v>96</v>
      </c>
      <c r="B97" s="34">
        <v>726</v>
      </c>
      <c r="C97" s="34" t="s">
        <v>5</v>
      </c>
      <c r="D97" s="34">
        <v>6</v>
      </c>
      <c r="E97" s="34">
        <v>250</v>
      </c>
      <c r="F97" s="34">
        <v>41</v>
      </c>
      <c r="G97" s="34" t="s">
        <v>6</v>
      </c>
      <c r="H97" s="34" t="s">
        <v>4</v>
      </c>
      <c r="I97" s="34">
        <v>0.46220768950697733</v>
      </c>
    </row>
    <row r="98" spans="1:9" x14ac:dyDescent="0.3">
      <c r="A98" s="34">
        <v>97</v>
      </c>
      <c r="B98" s="34">
        <v>668</v>
      </c>
      <c r="C98" s="34" t="s">
        <v>5</v>
      </c>
      <c r="D98" s="34">
        <v>48</v>
      </c>
      <c r="E98" s="34">
        <v>3609</v>
      </c>
      <c r="F98" s="34">
        <v>27</v>
      </c>
      <c r="G98" s="34" t="s">
        <v>6</v>
      </c>
      <c r="H98" s="34" t="s">
        <v>4</v>
      </c>
      <c r="I98" s="34">
        <v>0.47469511624438543</v>
      </c>
    </row>
    <row r="99" spans="1:9" x14ac:dyDescent="0.3">
      <c r="A99" s="34">
        <v>98</v>
      </c>
      <c r="B99" s="34">
        <v>307</v>
      </c>
      <c r="C99" s="34" t="s">
        <v>5</v>
      </c>
      <c r="D99" s="34">
        <v>30</v>
      </c>
      <c r="E99" s="34">
        <v>4811</v>
      </c>
      <c r="F99" s="34">
        <v>24</v>
      </c>
      <c r="G99" s="34" t="s">
        <v>6</v>
      </c>
      <c r="H99" s="34" t="s">
        <v>9</v>
      </c>
      <c r="I99" s="34">
        <v>0.47512660171151766</v>
      </c>
    </row>
    <row r="100" spans="1:9" x14ac:dyDescent="0.3">
      <c r="A100" s="34">
        <v>99</v>
      </c>
      <c r="B100" s="34">
        <v>147</v>
      </c>
      <c r="C100" s="34" t="s">
        <v>5</v>
      </c>
      <c r="D100" s="34">
        <v>6</v>
      </c>
      <c r="E100" s="34">
        <v>860</v>
      </c>
      <c r="F100" s="34">
        <v>39</v>
      </c>
      <c r="G100" s="34" t="s">
        <v>6</v>
      </c>
      <c r="H100" s="34" t="s">
        <v>4</v>
      </c>
      <c r="I100" s="34">
        <v>0.4880347560285534</v>
      </c>
    </row>
    <row r="101" spans="1:9" x14ac:dyDescent="0.3">
      <c r="A101" s="34">
        <v>100</v>
      </c>
      <c r="B101" s="34">
        <v>421</v>
      </c>
      <c r="C101" s="34" t="s">
        <v>5</v>
      </c>
      <c r="D101" s="34">
        <v>15</v>
      </c>
      <c r="E101" s="34">
        <v>3186</v>
      </c>
      <c r="F101" s="34">
        <v>20</v>
      </c>
      <c r="G101" s="34" t="s">
        <v>6</v>
      </c>
      <c r="H101" s="34" t="s">
        <v>9</v>
      </c>
      <c r="I101" s="34">
        <v>0.49336395994285731</v>
      </c>
    </row>
    <row r="102" spans="1:9" x14ac:dyDescent="0.3">
      <c r="A102" s="34">
        <v>101</v>
      </c>
      <c r="B102" s="34">
        <v>289</v>
      </c>
      <c r="C102" s="34" t="s">
        <v>5</v>
      </c>
      <c r="D102" s="34">
        <v>12</v>
      </c>
      <c r="E102" s="34">
        <v>1092</v>
      </c>
      <c r="F102" s="34">
        <v>49</v>
      </c>
      <c r="G102" s="34" t="s">
        <v>6</v>
      </c>
      <c r="H102" s="34" t="s">
        <v>4</v>
      </c>
      <c r="I102" s="34">
        <v>0.49401389279290864</v>
      </c>
    </row>
    <row r="103" spans="1:9" x14ac:dyDescent="0.3">
      <c r="A103" s="34">
        <v>102</v>
      </c>
      <c r="B103" s="34">
        <v>341</v>
      </c>
      <c r="C103" s="34" t="s">
        <v>5</v>
      </c>
      <c r="D103" s="34">
        <v>24</v>
      </c>
      <c r="E103" s="34">
        <v>5743</v>
      </c>
      <c r="F103" s="34">
        <v>24</v>
      </c>
      <c r="G103" s="34" t="s">
        <v>6</v>
      </c>
      <c r="H103" s="34" t="s">
        <v>8</v>
      </c>
      <c r="I103" s="34">
        <v>0.49606853204053003</v>
      </c>
    </row>
    <row r="104" spans="1:9" x14ac:dyDescent="0.3">
      <c r="A104" s="34">
        <v>103</v>
      </c>
      <c r="B104" s="34">
        <v>13</v>
      </c>
      <c r="C104" s="34" t="s">
        <v>5</v>
      </c>
      <c r="D104" s="34">
        <v>12</v>
      </c>
      <c r="E104" s="34">
        <v>1567</v>
      </c>
      <c r="F104" s="34">
        <v>22</v>
      </c>
      <c r="G104" s="34" t="s">
        <v>6</v>
      </c>
      <c r="H104" s="34" t="s">
        <v>4</v>
      </c>
      <c r="I104" s="34">
        <v>0.50052216943750527</v>
      </c>
    </row>
    <row r="105" spans="1:9" x14ac:dyDescent="0.3">
      <c r="A105" s="34">
        <v>104</v>
      </c>
      <c r="B105" s="34">
        <v>680</v>
      </c>
      <c r="C105" s="34" t="s">
        <v>5</v>
      </c>
      <c r="D105" s="34">
        <v>18</v>
      </c>
      <c r="E105" s="34">
        <v>1453</v>
      </c>
      <c r="F105" s="34">
        <v>26</v>
      </c>
      <c r="G105" s="34" t="s">
        <v>6</v>
      </c>
      <c r="H105" s="34" t="s">
        <v>4</v>
      </c>
      <c r="I105" s="34">
        <v>0.50454063846359243</v>
      </c>
    </row>
    <row r="106" spans="1:9" x14ac:dyDescent="0.3">
      <c r="A106" s="34">
        <v>105</v>
      </c>
      <c r="B106" s="34">
        <v>871</v>
      </c>
      <c r="C106" s="34" t="s">
        <v>5</v>
      </c>
      <c r="D106" s="34">
        <v>36</v>
      </c>
      <c r="E106" s="34">
        <v>7678</v>
      </c>
      <c r="F106" s="34">
        <v>40</v>
      </c>
      <c r="G106" s="34" t="s">
        <v>6</v>
      </c>
      <c r="H106" s="34" t="s">
        <v>4</v>
      </c>
      <c r="I106" s="34">
        <v>0.51396326757304467</v>
      </c>
    </row>
    <row r="107" spans="1:9" x14ac:dyDescent="0.3">
      <c r="A107" s="34">
        <v>106</v>
      </c>
      <c r="B107" s="34">
        <v>986</v>
      </c>
      <c r="C107" s="34" t="s">
        <v>5</v>
      </c>
      <c r="D107" s="34">
        <v>15</v>
      </c>
      <c r="E107" s="34">
        <v>1433</v>
      </c>
      <c r="F107" s="34">
        <v>25</v>
      </c>
      <c r="G107" s="34" t="s">
        <v>6</v>
      </c>
      <c r="H107" s="34" t="s">
        <v>9</v>
      </c>
      <c r="I107" s="34">
        <v>0.52758625773815038</v>
      </c>
    </row>
    <row r="108" spans="1:9" x14ac:dyDescent="0.3">
      <c r="A108" s="34">
        <v>107</v>
      </c>
      <c r="B108" s="34">
        <v>493</v>
      </c>
      <c r="C108" s="34" t="s">
        <v>5</v>
      </c>
      <c r="D108" s="34">
        <v>6</v>
      </c>
      <c r="E108" s="34">
        <v>1237</v>
      </c>
      <c r="F108" s="34">
        <v>27</v>
      </c>
      <c r="G108" s="34" t="s">
        <v>6</v>
      </c>
      <c r="H108" s="34" t="s">
        <v>4</v>
      </c>
      <c r="I108" s="34">
        <v>0.53183704035689672</v>
      </c>
    </row>
    <row r="109" spans="1:9" x14ac:dyDescent="0.3">
      <c r="A109" s="34">
        <v>108</v>
      </c>
      <c r="B109" s="34">
        <v>692</v>
      </c>
      <c r="C109" s="34" t="s">
        <v>5</v>
      </c>
      <c r="D109" s="34">
        <v>15</v>
      </c>
      <c r="E109" s="34">
        <v>2631</v>
      </c>
      <c r="F109" s="34">
        <v>25</v>
      </c>
      <c r="G109" s="34" t="s">
        <v>6</v>
      </c>
      <c r="H109" s="34" t="s">
        <v>4</v>
      </c>
      <c r="I109" s="34">
        <v>0.53250207645556791</v>
      </c>
    </row>
    <row r="110" spans="1:9" x14ac:dyDescent="0.3">
      <c r="A110" s="34">
        <v>109</v>
      </c>
      <c r="B110" s="34">
        <v>956</v>
      </c>
      <c r="C110" s="34" t="s">
        <v>5</v>
      </c>
      <c r="D110" s="34">
        <v>24</v>
      </c>
      <c r="E110" s="34">
        <v>1231</v>
      </c>
      <c r="F110" s="34">
        <v>57</v>
      </c>
      <c r="G110" s="34" t="s">
        <v>6</v>
      </c>
      <c r="H110" s="34" t="s">
        <v>9</v>
      </c>
      <c r="I110" s="34">
        <v>0.53262385335684148</v>
      </c>
    </row>
    <row r="111" spans="1:9" x14ac:dyDescent="0.3">
      <c r="A111" s="34">
        <v>110</v>
      </c>
      <c r="B111" s="34">
        <v>268</v>
      </c>
      <c r="C111" s="34" t="s">
        <v>5</v>
      </c>
      <c r="D111" s="34">
        <v>24</v>
      </c>
      <c r="E111" s="34">
        <v>1533</v>
      </c>
      <c r="F111" s="34">
        <v>38</v>
      </c>
      <c r="G111" s="34" t="s">
        <v>6</v>
      </c>
      <c r="H111" s="34" t="s">
        <v>4</v>
      </c>
      <c r="I111" s="34">
        <v>0.53371089793608673</v>
      </c>
    </row>
    <row r="112" spans="1:9" x14ac:dyDescent="0.3">
      <c r="A112" s="34">
        <v>111</v>
      </c>
      <c r="B112" s="34">
        <v>736</v>
      </c>
      <c r="C112" s="34" t="s">
        <v>5</v>
      </c>
      <c r="D112" s="34">
        <v>36</v>
      </c>
      <c r="E112" s="34">
        <v>3990</v>
      </c>
      <c r="F112" s="34">
        <v>29</v>
      </c>
      <c r="G112" s="34" t="s">
        <v>6</v>
      </c>
      <c r="H112" s="34" t="s">
        <v>4</v>
      </c>
      <c r="I112" s="34">
        <v>0.53822255363566507</v>
      </c>
    </row>
    <row r="113" spans="1:9" x14ac:dyDescent="0.3">
      <c r="A113" s="34">
        <v>112</v>
      </c>
      <c r="B113" s="34">
        <v>583</v>
      </c>
      <c r="C113" s="34" t="s">
        <v>5</v>
      </c>
      <c r="D113" s="34">
        <v>9</v>
      </c>
      <c r="E113" s="34">
        <v>1388</v>
      </c>
      <c r="F113" s="34">
        <v>26</v>
      </c>
      <c r="G113" s="34" t="s">
        <v>6</v>
      </c>
      <c r="H113" s="34" t="s">
        <v>9</v>
      </c>
      <c r="I113" s="34">
        <v>0.55169957450362761</v>
      </c>
    </row>
    <row r="114" spans="1:9" x14ac:dyDescent="0.3">
      <c r="A114" s="34">
        <v>113</v>
      </c>
      <c r="B114" s="34">
        <v>145</v>
      </c>
      <c r="C114" s="34" t="s">
        <v>5</v>
      </c>
      <c r="D114" s="34">
        <v>21</v>
      </c>
      <c r="E114" s="34">
        <v>2288</v>
      </c>
      <c r="F114" s="34">
        <v>23</v>
      </c>
      <c r="G114" s="34" t="s">
        <v>6</v>
      </c>
      <c r="H114" s="34" t="s">
        <v>4</v>
      </c>
      <c r="I114" s="34">
        <v>0.55540811409502977</v>
      </c>
    </row>
    <row r="115" spans="1:9" x14ac:dyDescent="0.3">
      <c r="A115" s="34">
        <v>114</v>
      </c>
      <c r="B115" s="34">
        <v>857</v>
      </c>
      <c r="C115" s="34" t="s">
        <v>5</v>
      </c>
      <c r="D115" s="34">
        <v>10</v>
      </c>
      <c r="E115" s="34">
        <v>894</v>
      </c>
      <c r="F115" s="34">
        <v>40</v>
      </c>
      <c r="G115" s="34" t="s">
        <v>6</v>
      </c>
      <c r="H115" s="34" t="s">
        <v>4</v>
      </c>
      <c r="I115" s="34">
        <v>0.55575743667953115</v>
      </c>
    </row>
    <row r="116" spans="1:9" x14ac:dyDescent="0.3">
      <c r="A116" s="34">
        <v>115</v>
      </c>
      <c r="B116" s="34">
        <v>605</v>
      </c>
      <c r="C116" s="34" t="s">
        <v>5</v>
      </c>
      <c r="D116" s="34">
        <v>10</v>
      </c>
      <c r="E116" s="34">
        <v>1275</v>
      </c>
      <c r="F116" s="34">
        <v>23</v>
      </c>
      <c r="G116" s="34" t="s">
        <v>6</v>
      </c>
      <c r="H116" s="34" t="s">
        <v>4</v>
      </c>
      <c r="I116" s="34">
        <v>0.56263722462951882</v>
      </c>
    </row>
    <row r="117" spans="1:9" x14ac:dyDescent="0.3">
      <c r="A117" s="34">
        <v>116</v>
      </c>
      <c r="B117" s="34">
        <v>996</v>
      </c>
      <c r="C117" s="34" t="s">
        <v>5</v>
      </c>
      <c r="D117" s="34">
        <v>12</v>
      </c>
      <c r="E117" s="34">
        <v>1736</v>
      </c>
      <c r="F117" s="34">
        <v>31</v>
      </c>
      <c r="G117" s="34" t="s">
        <v>6</v>
      </c>
      <c r="H117" s="34" t="s">
        <v>4</v>
      </c>
      <c r="I117" s="34">
        <v>0.56318823328668111</v>
      </c>
    </row>
    <row r="118" spans="1:9" x14ac:dyDescent="0.3">
      <c r="A118" s="34">
        <v>117</v>
      </c>
      <c r="B118" s="34">
        <v>488</v>
      </c>
      <c r="C118" s="34" t="s">
        <v>5</v>
      </c>
      <c r="D118" s="34">
        <v>24</v>
      </c>
      <c r="E118" s="34">
        <v>3757</v>
      </c>
      <c r="F118" s="34">
        <v>62</v>
      </c>
      <c r="G118" s="34" t="s">
        <v>6</v>
      </c>
      <c r="H118" s="34" t="s">
        <v>8</v>
      </c>
      <c r="I118" s="34">
        <v>0.56512441577795469</v>
      </c>
    </row>
    <row r="119" spans="1:9" x14ac:dyDescent="0.3">
      <c r="A119" s="34">
        <v>118</v>
      </c>
      <c r="B119" s="34">
        <v>411</v>
      </c>
      <c r="C119" s="34" t="s">
        <v>5</v>
      </c>
      <c r="D119" s="34">
        <v>24</v>
      </c>
      <c r="E119" s="34">
        <v>1967</v>
      </c>
      <c r="F119" s="34">
        <v>20</v>
      </c>
      <c r="G119" s="34" t="s">
        <v>6</v>
      </c>
      <c r="H119" s="34" t="s">
        <v>4</v>
      </c>
      <c r="I119" s="34">
        <v>0.57222614372578162</v>
      </c>
    </row>
    <row r="120" spans="1:9" x14ac:dyDescent="0.3">
      <c r="A120" s="34">
        <v>119</v>
      </c>
      <c r="B120" s="34">
        <v>216</v>
      </c>
      <c r="C120" s="34" t="s">
        <v>5</v>
      </c>
      <c r="D120" s="34">
        <v>6</v>
      </c>
      <c r="E120" s="34">
        <v>932</v>
      </c>
      <c r="F120" s="34">
        <v>39</v>
      </c>
      <c r="G120" s="34" t="s">
        <v>6</v>
      </c>
      <c r="H120" s="34" t="s">
        <v>4</v>
      </c>
      <c r="I120" s="34">
        <v>0.5815904446433614</v>
      </c>
    </row>
    <row r="121" spans="1:9" x14ac:dyDescent="0.3">
      <c r="A121" s="34">
        <v>120</v>
      </c>
      <c r="B121" s="34">
        <v>805</v>
      </c>
      <c r="C121" s="34" t="s">
        <v>5</v>
      </c>
      <c r="D121" s="34">
        <v>12</v>
      </c>
      <c r="E121" s="34">
        <v>7472</v>
      </c>
      <c r="F121" s="34">
        <v>24</v>
      </c>
      <c r="G121" s="34" t="s">
        <v>6</v>
      </c>
      <c r="H121" s="34" t="s">
        <v>9</v>
      </c>
      <c r="I121" s="34">
        <v>0.58600704697960537</v>
      </c>
    </row>
    <row r="122" spans="1:9" x14ac:dyDescent="0.3">
      <c r="A122" s="34">
        <v>121</v>
      </c>
      <c r="B122" s="34">
        <v>574</v>
      </c>
      <c r="C122" s="34" t="s">
        <v>5</v>
      </c>
      <c r="D122" s="34">
        <v>15</v>
      </c>
      <c r="E122" s="34">
        <v>806</v>
      </c>
      <c r="F122" s="34">
        <v>22</v>
      </c>
      <c r="G122" s="34" t="s">
        <v>6</v>
      </c>
      <c r="H122" s="34" t="s">
        <v>4</v>
      </c>
      <c r="I122" s="34">
        <v>0.59377132696760837</v>
      </c>
    </row>
    <row r="123" spans="1:9" x14ac:dyDescent="0.3">
      <c r="A123" s="34">
        <v>122</v>
      </c>
      <c r="B123" s="34">
        <v>734</v>
      </c>
      <c r="C123" s="34" t="s">
        <v>5</v>
      </c>
      <c r="D123" s="34">
        <v>24</v>
      </c>
      <c r="E123" s="34">
        <v>2603</v>
      </c>
      <c r="F123" s="34">
        <v>28</v>
      </c>
      <c r="G123" s="34" t="s">
        <v>6</v>
      </c>
      <c r="H123" s="34" t="s">
        <v>9</v>
      </c>
      <c r="I123" s="34">
        <v>0.59447733158920812</v>
      </c>
    </row>
    <row r="124" spans="1:9" x14ac:dyDescent="0.3">
      <c r="A124" s="34">
        <v>123</v>
      </c>
      <c r="B124" s="34">
        <v>578</v>
      </c>
      <c r="C124" s="34" t="s">
        <v>5</v>
      </c>
      <c r="D124" s="34">
        <v>24</v>
      </c>
      <c r="E124" s="34">
        <v>1927</v>
      </c>
      <c r="F124" s="34">
        <v>33</v>
      </c>
      <c r="G124" s="34" t="s">
        <v>6</v>
      </c>
      <c r="H124" s="34" t="s">
        <v>4</v>
      </c>
      <c r="I124" s="34">
        <v>0.59787655550283447</v>
      </c>
    </row>
    <row r="125" spans="1:9" x14ac:dyDescent="0.3">
      <c r="A125" s="34">
        <v>124</v>
      </c>
      <c r="B125" s="34">
        <v>112</v>
      </c>
      <c r="C125" s="34" t="s">
        <v>5</v>
      </c>
      <c r="D125" s="34">
        <v>15</v>
      </c>
      <c r="E125" s="34">
        <v>392</v>
      </c>
      <c r="F125" s="34">
        <v>23</v>
      </c>
      <c r="G125" s="34" t="s">
        <v>6</v>
      </c>
      <c r="H125" s="34" t="s">
        <v>9</v>
      </c>
      <c r="I125" s="34">
        <v>0.59803784919974967</v>
      </c>
    </row>
    <row r="126" spans="1:9" x14ac:dyDescent="0.3">
      <c r="A126" s="34">
        <v>125</v>
      </c>
      <c r="B126" s="34">
        <v>452</v>
      </c>
      <c r="C126" s="34" t="s">
        <v>5</v>
      </c>
      <c r="D126" s="34">
        <v>6</v>
      </c>
      <c r="E126" s="34">
        <v>518</v>
      </c>
      <c r="F126" s="34">
        <v>29</v>
      </c>
      <c r="G126" s="34" t="s">
        <v>6</v>
      </c>
      <c r="H126" s="34" t="s">
        <v>4</v>
      </c>
      <c r="I126" s="34">
        <v>0.5997432608544625</v>
      </c>
    </row>
    <row r="127" spans="1:9" x14ac:dyDescent="0.3">
      <c r="A127" s="34">
        <v>126</v>
      </c>
      <c r="B127" s="34">
        <v>325</v>
      </c>
      <c r="C127" s="34" t="s">
        <v>5</v>
      </c>
      <c r="D127" s="34">
        <v>18</v>
      </c>
      <c r="E127" s="34">
        <v>1028</v>
      </c>
      <c r="F127" s="34">
        <v>36</v>
      </c>
      <c r="G127" s="34" t="s">
        <v>6</v>
      </c>
      <c r="H127" s="34" t="s">
        <v>4</v>
      </c>
      <c r="I127" s="34">
        <v>0.60642243972267562</v>
      </c>
    </row>
    <row r="128" spans="1:9" x14ac:dyDescent="0.3">
      <c r="A128" s="34">
        <v>127</v>
      </c>
      <c r="B128" s="34">
        <v>573</v>
      </c>
      <c r="C128" s="34" t="s">
        <v>5</v>
      </c>
      <c r="D128" s="34">
        <v>24</v>
      </c>
      <c r="E128" s="34">
        <v>5433</v>
      </c>
      <c r="F128" s="34">
        <v>26</v>
      </c>
      <c r="G128" s="34" t="s">
        <v>6</v>
      </c>
      <c r="H128" s="34" t="s">
        <v>9</v>
      </c>
      <c r="I128" s="34">
        <v>0.61443089891084612</v>
      </c>
    </row>
    <row r="129" spans="1:9" x14ac:dyDescent="0.3">
      <c r="A129" s="34">
        <v>128</v>
      </c>
      <c r="B129" s="34">
        <v>297</v>
      </c>
      <c r="C129" s="34" t="s">
        <v>5</v>
      </c>
      <c r="D129" s="34">
        <v>12</v>
      </c>
      <c r="E129" s="34">
        <v>4675</v>
      </c>
      <c r="F129" s="34">
        <v>20</v>
      </c>
      <c r="G129" s="34" t="s">
        <v>6</v>
      </c>
      <c r="H129" s="34" t="s">
        <v>9</v>
      </c>
      <c r="I129" s="34">
        <v>0.6259048021044995</v>
      </c>
    </row>
    <row r="130" spans="1:9" x14ac:dyDescent="0.3">
      <c r="A130" s="34">
        <v>129</v>
      </c>
      <c r="B130" s="34">
        <v>818</v>
      </c>
      <c r="C130" s="34" t="s">
        <v>5</v>
      </c>
      <c r="D130" s="34">
        <v>6</v>
      </c>
      <c r="E130" s="34">
        <v>1554</v>
      </c>
      <c r="F130" s="34">
        <v>24</v>
      </c>
      <c r="G130" s="34" t="s">
        <v>6</v>
      </c>
      <c r="H130" s="34" t="s">
        <v>9</v>
      </c>
      <c r="I130" s="34">
        <v>0.6293867831763037</v>
      </c>
    </row>
    <row r="131" spans="1:9" x14ac:dyDescent="0.3">
      <c r="A131" s="34">
        <v>130</v>
      </c>
      <c r="B131" s="34">
        <v>84</v>
      </c>
      <c r="C131" s="34" t="s">
        <v>5</v>
      </c>
      <c r="D131" s="34">
        <v>24</v>
      </c>
      <c r="E131" s="34">
        <v>1755</v>
      </c>
      <c r="F131" s="34">
        <v>58</v>
      </c>
      <c r="G131" s="34" t="s">
        <v>6</v>
      </c>
      <c r="H131" s="34" t="s">
        <v>4</v>
      </c>
      <c r="I131" s="34">
        <v>0.63336793035252192</v>
      </c>
    </row>
    <row r="132" spans="1:9" x14ac:dyDescent="0.3">
      <c r="A132" s="34">
        <v>131</v>
      </c>
      <c r="B132" s="34">
        <v>59</v>
      </c>
      <c r="C132" s="34" t="s">
        <v>5</v>
      </c>
      <c r="D132" s="34">
        <v>18</v>
      </c>
      <c r="E132" s="34">
        <v>1961</v>
      </c>
      <c r="F132" s="34">
        <v>23</v>
      </c>
      <c r="G132" s="34" t="s">
        <v>6</v>
      </c>
      <c r="H132" s="34" t="s">
        <v>4</v>
      </c>
      <c r="I132" s="34">
        <v>0.63690194041766202</v>
      </c>
    </row>
    <row r="133" spans="1:9" x14ac:dyDescent="0.3">
      <c r="A133" s="34">
        <v>132</v>
      </c>
      <c r="B133" s="34">
        <v>65</v>
      </c>
      <c r="C133" s="34" t="s">
        <v>5</v>
      </c>
      <c r="D133" s="34">
        <v>24</v>
      </c>
      <c r="E133" s="34">
        <v>3181</v>
      </c>
      <c r="F133" s="34">
        <v>26</v>
      </c>
      <c r="G133" s="34" t="s">
        <v>6</v>
      </c>
      <c r="H133" s="34" t="s">
        <v>4</v>
      </c>
      <c r="I133" s="34">
        <v>0.64237937414514557</v>
      </c>
    </row>
    <row r="134" spans="1:9" x14ac:dyDescent="0.3">
      <c r="A134" s="34">
        <v>133</v>
      </c>
      <c r="B134" s="34">
        <v>910</v>
      </c>
      <c r="C134" s="34" t="s">
        <v>5</v>
      </c>
      <c r="D134" s="34">
        <v>9</v>
      </c>
      <c r="E134" s="34">
        <v>3195</v>
      </c>
      <c r="F134" s="34">
        <v>33</v>
      </c>
      <c r="G134" s="34" t="s">
        <v>6</v>
      </c>
      <c r="H134" s="34" t="s">
        <v>4</v>
      </c>
      <c r="I134" s="34">
        <v>0.64371785804544213</v>
      </c>
    </row>
    <row r="135" spans="1:9" x14ac:dyDescent="0.3">
      <c r="A135" s="34">
        <v>134</v>
      </c>
      <c r="B135" s="34">
        <v>681</v>
      </c>
      <c r="C135" s="34" t="s">
        <v>5</v>
      </c>
      <c r="D135" s="34">
        <v>6</v>
      </c>
      <c r="E135" s="34">
        <v>1538</v>
      </c>
      <c r="F135" s="34">
        <v>56</v>
      </c>
      <c r="G135" s="34" t="s">
        <v>6</v>
      </c>
      <c r="H135" s="34" t="s">
        <v>4</v>
      </c>
      <c r="I135" s="34">
        <v>0.64969981789756392</v>
      </c>
    </row>
    <row r="136" spans="1:9" x14ac:dyDescent="0.3">
      <c r="A136" s="34">
        <v>135</v>
      </c>
      <c r="B136" s="34">
        <v>244</v>
      </c>
      <c r="C136" s="34" t="s">
        <v>5</v>
      </c>
      <c r="D136" s="34">
        <v>12</v>
      </c>
      <c r="E136" s="34">
        <v>1185</v>
      </c>
      <c r="F136" s="34">
        <v>27</v>
      </c>
      <c r="G136" s="34" t="s">
        <v>6</v>
      </c>
      <c r="H136" s="34" t="s">
        <v>4</v>
      </c>
      <c r="I136" s="34">
        <v>0.65917243455580932</v>
      </c>
    </row>
    <row r="137" spans="1:9" x14ac:dyDescent="0.3">
      <c r="A137" s="34">
        <v>136</v>
      </c>
      <c r="B137" s="34">
        <v>397</v>
      </c>
      <c r="C137" s="34" t="s">
        <v>5</v>
      </c>
      <c r="D137" s="34">
        <v>12</v>
      </c>
      <c r="E137" s="34">
        <v>2578</v>
      </c>
      <c r="F137" s="34">
        <v>55</v>
      </c>
      <c r="G137" s="34" t="s">
        <v>6</v>
      </c>
      <c r="H137" s="34" t="s">
        <v>8</v>
      </c>
      <c r="I137" s="34">
        <v>0.69722225809892679</v>
      </c>
    </row>
    <row r="138" spans="1:9" x14ac:dyDescent="0.3">
      <c r="A138" s="34">
        <v>137</v>
      </c>
      <c r="B138" s="34">
        <v>613</v>
      </c>
      <c r="C138" s="34" t="s">
        <v>5</v>
      </c>
      <c r="D138" s="34">
        <v>21</v>
      </c>
      <c r="E138" s="34">
        <v>3357</v>
      </c>
      <c r="F138" s="34">
        <v>29</v>
      </c>
      <c r="G138" s="34" t="s">
        <v>6</v>
      </c>
      <c r="H138" s="34" t="s">
        <v>4</v>
      </c>
      <c r="I138" s="34">
        <v>0.70712330876728369</v>
      </c>
    </row>
    <row r="139" spans="1:9" x14ac:dyDescent="0.3">
      <c r="A139" s="34">
        <v>138</v>
      </c>
      <c r="B139" s="34">
        <v>796</v>
      </c>
      <c r="C139" s="34" t="s">
        <v>5</v>
      </c>
      <c r="D139" s="34">
        <v>9</v>
      </c>
      <c r="E139" s="34">
        <v>2301</v>
      </c>
      <c r="F139" s="34">
        <v>22</v>
      </c>
      <c r="G139" s="34" t="s">
        <v>6</v>
      </c>
      <c r="H139" s="34" t="s">
        <v>9</v>
      </c>
      <c r="I139" s="34">
        <v>0.7100756105677255</v>
      </c>
    </row>
    <row r="140" spans="1:9" x14ac:dyDescent="0.3">
      <c r="A140" s="34">
        <v>139</v>
      </c>
      <c r="B140" s="34">
        <v>459</v>
      </c>
      <c r="C140" s="34" t="s">
        <v>5</v>
      </c>
      <c r="D140" s="34">
        <v>6</v>
      </c>
      <c r="E140" s="34">
        <v>343</v>
      </c>
      <c r="F140" s="34">
        <v>27</v>
      </c>
      <c r="G140" s="34" t="s">
        <v>6</v>
      </c>
      <c r="H140" s="34" t="s">
        <v>4</v>
      </c>
      <c r="I140" s="34">
        <v>0.71139308549903624</v>
      </c>
    </row>
    <row r="141" spans="1:9" x14ac:dyDescent="0.3">
      <c r="A141" s="34">
        <v>140</v>
      </c>
      <c r="B141" s="34">
        <v>142</v>
      </c>
      <c r="C141" s="34" t="s">
        <v>5</v>
      </c>
      <c r="D141" s="34">
        <v>36</v>
      </c>
      <c r="E141" s="34">
        <v>4795</v>
      </c>
      <c r="F141" s="34">
        <v>30</v>
      </c>
      <c r="G141" s="34" t="s">
        <v>6</v>
      </c>
      <c r="H141" s="34" t="s">
        <v>4</v>
      </c>
      <c r="I141" s="34">
        <v>0.71808228651128236</v>
      </c>
    </row>
    <row r="142" spans="1:9" x14ac:dyDescent="0.3">
      <c r="A142" s="34">
        <v>141</v>
      </c>
      <c r="B142" s="34">
        <v>35</v>
      </c>
      <c r="C142" s="34" t="s">
        <v>5</v>
      </c>
      <c r="D142" s="34">
        <v>12</v>
      </c>
      <c r="E142" s="34">
        <v>1474</v>
      </c>
      <c r="F142" s="34">
        <v>33</v>
      </c>
      <c r="G142" s="34" t="s">
        <v>6</v>
      </c>
      <c r="H142" s="34" t="s">
        <v>4</v>
      </c>
      <c r="I142" s="34">
        <v>0.72377364656381094</v>
      </c>
    </row>
    <row r="143" spans="1:9" x14ac:dyDescent="0.3">
      <c r="A143" s="34">
        <v>142</v>
      </c>
      <c r="B143" s="34">
        <v>698</v>
      </c>
      <c r="C143" s="34" t="s">
        <v>5</v>
      </c>
      <c r="D143" s="34">
        <v>12</v>
      </c>
      <c r="E143" s="34">
        <v>926</v>
      </c>
      <c r="F143" s="34">
        <v>38</v>
      </c>
      <c r="G143" s="34" t="s">
        <v>6</v>
      </c>
      <c r="H143" s="34" t="s">
        <v>4</v>
      </c>
      <c r="I143" s="34">
        <v>0.72803683227175819</v>
      </c>
    </row>
    <row r="144" spans="1:9" x14ac:dyDescent="0.3">
      <c r="A144" s="34">
        <v>143</v>
      </c>
      <c r="B144" s="34">
        <v>591</v>
      </c>
      <c r="C144" s="34" t="s">
        <v>5</v>
      </c>
      <c r="D144" s="34">
        <v>12</v>
      </c>
      <c r="E144" s="34">
        <v>385</v>
      </c>
      <c r="F144" s="34">
        <v>58</v>
      </c>
      <c r="G144" s="34" t="s">
        <v>6</v>
      </c>
      <c r="H144" s="34" t="s">
        <v>4</v>
      </c>
      <c r="I144" s="34">
        <v>0.73008039980384853</v>
      </c>
    </row>
    <row r="145" spans="1:9" x14ac:dyDescent="0.3">
      <c r="A145" s="34">
        <v>144</v>
      </c>
      <c r="B145" s="34">
        <v>753</v>
      </c>
      <c r="C145" s="34" t="s">
        <v>5</v>
      </c>
      <c r="D145" s="34">
        <v>12</v>
      </c>
      <c r="E145" s="34">
        <v>841</v>
      </c>
      <c r="F145" s="34">
        <v>23</v>
      </c>
      <c r="G145" s="34" t="s">
        <v>6</v>
      </c>
      <c r="H145" s="34" t="s">
        <v>9</v>
      </c>
      <c r="I145" s="34">
        <v>0.73513080044276558</v>
      </c>
    </row>
    <row r="146" spans="1:9" x14ac:dyDescent="0.3">
      <c r="A146" s="34">
        <v>145</v>
      </c>
      <c r="B146" s="34">
        <v>390</v>
      </c>
      <c r="C146" s="34" t="s">
        <v>5</v>
      </c>
      <c r="D146" s="34">
        <v>9</v>
      </c>
      <c r="E146" s="34">
        <v>1449</v>
      </c>
      <c r="F146" s="34">
        <v>27</v>
      </c>
      <c r="G146" s="34" t="s">
        <v>6</v>
      </c>
      <c r="H146" s="34" t="s">
        <v>4</v>
      </c>
      <c r="I146" s="34">
        <v>0.73770127857236079</v>
      </c>
    </row>
    <row r="147" spans="1:9" x14ac:dyDescent="0.3">
      <c r="A147" s="34">
        <v>146</v>
      </c>
      <c r="B147" s="34">
        <v>148</v>
      </c>
      <c r="C147" s="34" t="s">
        <v>5</v>
      </c>
      <c r="D147" s="34">
        <v>12</v>
      </c>
      <c r="E147" s="34">
        <v>682</v>
      </c>
      <c r="F147" s="34">
        <v>51</v>
      </c>
      <c r="G147" s="34" t="s">
        <v>6</v>
      </c>
      <c r="H147" s="34" t="s">
        <v>4</v>
      </c>
      <c r="I147" s="34">
        <v>0.73940664064074224</v>
      </c>
    </row>
    <row r="148" spans="1:9" x14ac:dyDescent="0.3">
      <c r="A148" s="34">
        <v>147</v>
      </c>
      <c r="B148" s="34">
        <v>220</v>
      </c>
      <c r="C148" s="34" t="s">
        <v>5</v>
      </c>
      <c r="D148" s="34">
        <v>10</v>
      </c>
      <c r="E148" s="34">
        <v>1364</v>
      </c>
      <c r="F148" s="34">
        <v>64</v>
      </c>
      <c r="G148" s="34" t="s">
        <v>6</v>
      </c>
      <c r="H148" s="34" t="s">
        <v>4</v>
      </c>
      <c r="I148" s="34">
        <v>0.74682155148410145</v>
      </c>
    </row>
    <row r="149" spans="1:9" x14ac:dyDescent="0.3">
      <c r="A149" s="34">
        <v>148</v>
      </c>
      <c r="B149" s="34">
        <v>71</v>
      </c>
      <c r="C149" s="34" t="s">
        <v>5</v>
      </c>
      <c r="D149" s="34">
        <v>36</v>
      </c>
      <c r="E149" s="34">
        <v>8133</v>
      </c>
      <c r="F149" s="34">
        <v>30</v>
      </c>
      <c r="G149" s="34" t="s">
        <v>6</v>
      </c>
      <c r="H149" s="34" t="s">
        <v>4</v>
      </c>
      <c r="I149" s="34">
        <v>0.76205300693333688</v>
      </c>
    </row>
    <row r="150" spans="1:9" x14ac:dyDescent="0.3">
      <c r="A150" s="34">
        <v>149</v>
      </c>
      <c r="B150" s="34">
        <v>705</v>
      </c>
      <c r="C150" s="34" t="s">
        <v>5</v>
      </c>
      <c r="D150" s="34">
        <v>27</v>
      </c>
      <c r="E150" s="34">
        <v>2528</v>
      </c>
      <c r="F150" s="34">
        <v>32</v>
      </c>
      <c r="G150" s="34" t="s">
        <v>6</v>
      </c>
      <c r="H150" s="34" t="s">
        <v>4</v>
      </c>
      <c r="I150" s="34">
        <v>0.76928738974789446</v>
      </c>
    </row>
    <row r="151" spans="1:9" x14ac:dyDescent="0.3">
      <c r="A151" s="34">
        <v>150</v>
      </c>
      <c r="B151" s="34">
        <v>592</v>
      </c>
      <c r="C151" s="34" t="s">
        <v>5</v>
      </c>
      <c r="D151" s="34">
        <v>24</v>
      </c>
      <c r="E151" s="34">
        <v>1965</v>
      </c>
      <c r="F151" s="34">
        <v>42</v>
      </c>
      <c r="G151" s="34" t="s">
        <v>6</v>
      </c>
      <c r="H151" s="34" t="s">
        <v>9</v>
      </c>
      <c r="I151" s="34">
        <v>0.77303823431761254</v>
      </c>
    </row>
    <row r="152" spans="1:9" x14ac:dyDescent="0.3">
      <c r="A152" s="34">
        <v>151</v>
      </c>
      <c r="B152" s="34">
        <v>28</v>
      </c>
      <c r="C152" s="34" t="s">
        <v>5</v>
      </c>
      <c r="D152" s="34">
        <v>12</v>
      </c>
      <c r="E152" s="34">
        <v>409</v>
      </c>
      <c r="F152" s="34">
        <v>42</v>
      </c>
      <c r="G152" s="34" t="s">
        <v>6</v>
      </c>
      <c r="H152" s="34" t="s">
        <v>9</v>
      </c>
      <c r="I152" s="34">
        <v>0.77426186603686031</v>
      </c>
    </row>
    <row r="153" spans="1:9" x14ac:dyDescent="0.3">
      <c r="A153" s="34">
        <v>152</v>
      </c>
      <c r="B153" s="34">
        <v>563</v>
      </c>
      <c r="C153" s="34" t="s">
        <v>5</v>
      </c>
      <c r="D153" s="34">
        <v>6</v>
      </c>
      <c r="E153" s="34">
        <v>683</v>
      </c>
      <c r="F153" s="34">
        <v>29</v>
      </c>
      <c r="G153" s="34" t="s">
        <v>6</v>
      </c>
      <c r="H153" s="34" t="s">
        <v>4</v>
      </c>
      <c r="I153" s="34">
        <v>0.77695685066872189</v>
      </c>
    </row>
    <row r="154" spans="1:9" x14ac:dyDescent="0.3">
      <c r="A154" s="34">
        <v>153</v>
      </c>
      <c r="B154" s="34">
        <v>301</v>
      </c>
      <c r="C154" s="34" t="s">
        <v>5</v>
      </c>
      <c r="D154" s="34">
        <v>6</v>
      </c>
      <c r="E154" s="34">
        <v>672</v>
      </c>
      <c r="F154" s="34">
        <v>54</v>
      </c>
      <c r="G154" s="34" t="s">
        <v>6</v>
      </c>
      <c r="H154" s="34" t="s">
        <v>4</v>
      </c>
      <c r="I154" s="34">
        <v>0.78626590272695629</v>
      </c>
    </row>
    <row r="155" spans="1:9" x14ac:dyDescent="0.3">
      <c r="A155" s="34">
        <v>154</v>
      </c>
      <c r="B155" s="34">
        <v>97</v>
      </c>
      <c r="C155" s="34" t="s">
        <v>5</v>
      </c>
      <c r="D155" s="34">
        <v>12</v>
      </c>
      <c r="E155" s="34">
        <v>2012</v>
      </c>
      <c r="F155" s="34">
        <v>61</v>
      </c>
      <c r="G155" s="34" t="s">
        <v>6</v>
      </c>
      <c r="H155" s="34" t="s">
        <v>4</v>
      </c>
      <c r="I155" s="34">
        <v>0.788643735446522</v>
      </c>
    </row>
    <row r="156" spans="1:9" x14ac:dyDescent="0.3">
      <c r="A156" s="34">
        <v>155</v>
      </c>
      <c r="B156" s="34">
        <v>524</v>
      </c>
      <c r="C156" s="34" t="s">
        <v>5</v>
      </c>
      <c r="D156" s="34">
        <v>24</v>
      </c>
      <c r="E156" s="34">
        <v>3488</v>
      </c>
      <c r="F156" s="34">
        <v>23</v>
      </c>
      <c r="G156" s="34" t="s">
        <v>6</v>
      </c>
      <c r="H156" s="34" t="s">
        <v>4</v>
      </c>
      <c r="I156" s="34">
        <v>0.78940044301536649</v>
      </c>
    </row>
    <row r="157" spans="1:9" x14ac:dyDescent="0.3">
      <c r="A157" s="34">
        <v>156</v>
      </c>
      <c r="B157" s="34">
        <v>252</v>
      </c>
      <c r="C157" s="34" t="s">
        <v>5</v>
      </c>
      <c r="D157" s="34">
        <v>12</v>
      </c>
      <c r="E157" s="34">
        <v>2251</v>
      </c>
      <c r="F157" s="34">
        <v>46</v>
      </c>
      <c r="G157" s="34" t="s">
        <v>6</v>
      </c>
      <c r="H157" s="34" t="s">
        <v>4</v>
      </c>
      <c r="I157" s="34">
        <v>0.79271866320898232</v>
      </c>
    </row>
    <row r="158" spans="1:9" x14ac:dyDescent="0.3">
      <c r="A158" s="34">
        <v>157</v>
      </c>
      <c r="B158" s="34">
        <v>449</v>
      </c>
      <c r="C158" s="34" t="s">
        <v>5</v>
      </c>
      <c r="D158" s="34">
        <v>12</v>
      </c>
      <c r="E158" s="34">
        <v>1424</v>
      </c>
      <c r="F158" s="34">
        <v>55</v>
      </c>
      <c r="G158" s="34" t="s">
        <v>6</v>
      </c>
      <c r="H158" s="34" t="s">
        <v>4</v>
      </c>
      <c r="I158" s="34">
        <v>0.79382626310743576</v>
      </c>
    </row>
    <row r="159" spans="1:9" x14ac:dyDescent="0.3">
      <c r="A159" s="34">
        <v>158</v>
      </c>
      <c r="B159" s="34">
        <v>162</v>
      </c>
      <c r="C159" s="34" t="s">
        <v>5</v>
      </c>
      <c r="D159" s="34">
        <v>18</v>
      </c>
      <c r="E159" s="34">
        <v>1055</v>
      </c>
      <c r="F159" s="34">
        <v>30</v>
      </c>
      <c r="G159" s="34" t="s">
        <v>6</v>
      </c>
      <c r="H159" s="34" t="s">
        <v>4</v>
      </c>
      <c r="I159" s="34">
        <v>0.7943363002378383</v>
      </c>
    </row>
    <row r="160" spans="1:9" x14ac:dyDescent="0.3">
      <c r="A160" s="34">
        <v>159</v>
      </c>
      <c r="B160" s="34">
        <v>724</v>
      </c>
      <c r="C160" s="34" t="s">
        <v>5</v>
      </c>
      <c r="D160" s="34">
        <v>9</v>
      </c>
      <c r="E160" s="34">
        <v>790</v>
      </c>
      <c r="F160" s="34">
        <v>66</v>
      </c>
      <c r="G160" s="34" t="s">
        <v>6</v>
      </c>
      <c r="H160" s="34" t="s">
        <v>4</v>
      </c>
      <c r="I160" s="34">
        <v>0.79815090047127324</v>
      </c>
    </row>
    <row r="161" spans="1:9" x14ac:dyDescent="0.3">
      <c r="A161" s="34">
        <v>160</v>
      </c>
      <c r="B161" s="34">
        <v>751</v>
      </c>
      <c r="C161" s="34" t="s">
        <v>5</v>
      </c>
      <c r="D161" s="34">
        <v>6</v>
      </c>
      <c r="E161" s="34">
        <v>428</v>
      </c>
      <c r="F161" s="34">
        <v>49</v>
      </c>
      <c r="G161" s="34" t="s">
        <v>6</v>
      </c>
      <c r="H161" s="34" t="s">
        <v>4</v>
      </c>
      <c r="I161" s="34">
        <v>0.79877168334835857</v>
      </c>
    </row>
    <row r="162" spans="1:9" x14ac:dyDescent="0.3">
      <c r="A162" s="34">
        <v>161</v>
      </c>
      <c r="B162" s="34">
        <v>735</v>
      </c>
      <c r="C162" s="34" t="s">
        <v>5</v>
      </c>
      <c r="D162" s="34">
        <v>4</v>
      </c>
      <c r="E162" s="34">
        <v>3380</v>
      </c>
      <c r="F162" s="34">
        <v>37</v>
      </c>
      <c r="G162" s="34" t="s">
        <v>6</v>
      </c>
      <c r="H162" s="34" t="s">
        <v>4</v>
      </c>
      <c r="I162" s="34">
        <v>0.80028498135937232</v>
      </c>
    </row>
    <row r="163" spans="1:9" x14ac:dyDescent="0.3">
      <c r="A163" s="34">
        <v>162</v>
      </c>
      <c r="B163" s="34">
        <v>834</v>
      </c>
      <c r="C163" s="34" t="s">
        <v>5</v>
      </c>
      <c r="D163" s="34">
        <v>24</v>
      </c>
      <c r="E163" s="34">
        <v>5084</v>
      </c>
      <c r="F163" s="34">
        <v>42</v>
      </c>
      <c r="G163" s="34" t="s">
        <v>6</v>
      </c>
      <c r="H163" s="34" t="s">
        <v>4</v>
      </c>
      <c r="I163" s="34">
        <v>0.80169078326851917</v>
      </c>
    </row>
    <row r="164" spans="1:9" x14ac:dyDescent="0.3">
      <c r="A164" s="34">
        <v>163</v>
      </c>
      <c r="B164" s="34">
        <v>909</v>
      </c>
      <c r="C164" s="34" t="s">
        <v>5</v>
      </c>
      <c r="D164" s="34">
        <v>15</v>
      </c>
      <c r="E164" s="34">
        <v>3594</v>
      </c>
      <c r="F164" s="34">
        <v>46</v>
      </c>
      <c r="G164" s="34" t="s">
        <v>6</v>
      </c>
      <c r="H164" s="34" t="s">
        <v>4</v>
      </c>
      <c r="I164" s="34">
        <v>0.80295347321308164</v>
      </c>
    </row>
    <row r="165" spans="1:9" x14ac:dyDescent="0.3">
      <c r="A165" s="34">
        <v>164</v>
      </c>
      <c r="B165" s="34">
        <v>140</v>
      </c>
      <c r="C165" s="34" t="s">
        <v>5</v>
      </c>
      <c r="D165" s="34">
        <v>12</v>
      </c>
      <c r="E165" s="34">
        <v>1881</v>
      </c>
      <c r="F165" s="34">
        <v>44</v>
      </c>
      <c r="G165" s="34" t="s">
        <v>6</v>
      </c>
      <c r="H165" s="34" t="s">
        <v>9</v>
      </c>
      <c r="I165" s="34">
        <v>0.80843766779051807</v>
      </c>
    </row>
    <row r="166" spans="1:9" x14ac:dyDescent="0.3">
      <c r="A166" s="34">
        <v>165</v>
      </c>
      <c r="B166" s="34">
        <v>348</v>
      </c>
      <c r="C166" s="34" t="s">
        <v>5</v>
      </c>
      <c r="D166" s="34">
        <v>24</v>
      </c>
      <c r="E166" s="34">
        <v>3758</v>
      </c>
      <c r="F166" s="34">
        <v>23</v>
      </c>
      <c r="G166" s="34" t="s">
        <v>6</v>
      </c>
      <c r="H166" s="34" t="s">
        <v>9</v>
      </c>
      <c r="I166" s="34">
        <v>0.81322322667084324</v>
      </c>
    </row>
    <row r="167" spans="1:9" x14ac:dyDescent="0.3">
      <c r="A167" s="34">
        <v>166</v>
      </c>
      <c r="B167" s="34">
        <v>747</v>
      </c>
      <c r="C167" s="34" t="s">
        <v>5</v>
      </c>
      <c r="D167" s="34">
        <v>15</v>
      </c>
      <c r="E167" s="34">
        <v>2511</v>
      </c>
      <c r="F167" s="34">
        <v>23</v>
      </c>
      <c r="G167" s="34" t="s">
        <v>6</v>
      </c>
      <c r="H167" s="34" t="s">
        <v>9</v>
      </c>
      <c r="I167" s="34">
        <v>0.81557317304880328</v>
      </c>
    </row>
    <row r="168" spans="1:9" x14ac:dyDescent="0.3">
      <c r="A168" s="34">
        <v>167</v>
      </c>
      <c r="B168" s="34">
        <v>286</v>
      </c>
      <c r="C168" s="34" t="s">
        <v>5</v>
      </c>
      <c r="D168" s="34">
        <v>47</v>
      </c>
      <c r="E168" s="34">
        <v>10722</v>
      </c>
      <c r="F168" s="34">
        <v>35</v>
      </c>
      <c r="G168" s="34" t="s">
        <v>6</v>
      </c>
      <c r="H168" s="34" t="s">
        <v>4</v>
      </c>
      <c r="I168" s="34">
        <v>0.81643612233328156</v>
      </c>
    </row>
    <row r="169" spans="1:9" x14ac:dyDescent="0.3">
      <c r="A169" s="34">
        <v>168</v>
      </c>
      <c r="B169" s="34">
        <v>368</v>
      </c>
      <c r="C169" s="34" t="s">
        <v>5</v>
      </c>
      <c r="D169" s="34">
        <v>18</v>
      </c>
      <c r="E169" s="34">
        <v>3650</v>
      </c>
      <c r="F169" s="34">
        <v>22</v>
      </c>
      <c r="G169" s="34" t="s">
        <v>6</v>
      </c>
      <c r="H169" s="34" t="s">
        <v>9</v>
      </c>
      <c r="I169" s="34">
        <v>0.82324358679387366</v>
      </c>
    </row>
    <row r="170" spans="1:9" x14ac:dyDescent="0.3">
      <c r="A170" s="34">
        <v>169</v>
      </c>
      <c r="B170" s="34">
        <v>624</v>
      </c>
      <c r="C170" s="34" t="s">
        <v>5</v>
      </c>
      <c r="D170" s="34">
        <v>12</v>
      </c>
      <c r="E170" s="34">
        <v>1858</v>
      </c>
      <c r="F170" s="34">
        <v>22</v>
      </c>
      <c r="G170" s="34" t="s">
        <v>6</v>
      </c>
      <c r="H170" s="34" t="s">
        <v>9</v>
      </c>
      <c r="I170" s="34">
        <v>0.82428906103476407</v>
      </c>
    </row>
    <row r="171" spans="1:9" x14ac:dyDescent="0.3">
      <c r="A171" s="34">
        <v>170</v>
      </c>
      <c r="B171" s="34">
        <v>169</v>
      </c>
      <c r="C171" s="34" t="s">
        <v>5</v>
      </c>
      <c r="D171" s="34">
        <v>24</v>
      </c>
      <c r="E171" s="34">
        <v>3972</v>
      </c>
      <c r="F171" s="34">
        <v>25</v>
      </c>
      <c r="G171" s="34" t="s">
        <v>6</v>
      </c>
      <c r="H171" s="34" t="s">
        <v>9</v>
      </c>
      <c r="I171" s="34">
        <v>0.82432165054575213</v>
      </c>
    </row>
    <row r="172" spans="1:9" x14ac:dyDescent="0.3">
      <c r="A172" s="34">
        <v>171</v>
      </c>
      <c r="B172" s="34">
        <v>566</v>
      </c>
      <c r="C172" s="34" t="s">
        <v>5</v>
      </c>
      <c r="D172" s="34">
        <v>24</v>
      </c>
      <c r="E172" s="34">
        <v>1553</v>
      </c>
      <c r="F172" s="34">
        <v>23</v>
      </c>
      <c r="G172" s="34" t="s">
        <v>6</v>
      </c>
      <c r="H172" s="34" t="s">
        <v>9</v>
      </c>
      <c r="I172" s="34">
        <v>0.82988173129995424</v>
      </c>
    </row>
    <row r="173" spans="1:9" x14ac:dyDescent="0.3">
      <c r="A173" s="34">
        <v>172</v>
      </c>
      <c r="B173" s="34">
        <v>551</v>
      </c>
      <c r="C173" s="34" t="s">
        <v>5</v>
      </c>
      <c r="D173" s="34">
        <v>12</v>
      </c>
      <c r="E173" s="34">
        <v>996</v>
      </c>
      <c r="F173" s="34">
        <v>23</v>
      </c>
      <c r="G173" s="34" t="s">
        <v>6</v>
      </c>
      <c r="H173" s="34" t="s">
        <v>4</v>
      </c>
      <c r="I173" s="34">
        <v>0.83101676850342132</v>
      </c>
    </row>
    <row r="174" spans="1:9" x14ac:dyDescent="0.3">
      <c r="A174" s="34">
        <v>173</v>
      </c>
      <c r="B174" s="34">
        <v>585</v>
      </c>
      <c r="C174" s="34" t="s">
        <v>5</v>
      </c>
      <c r="D174" s="34">
        <v>12</v>
      </c>
      <c r="E174" s="34">
        <v>2133</v>
      </c>
      <c r="F174" s="34">
        <v>52</v>
      </c>
      <c r="G174" s="34" t="s">
        <v>6</v>
      </c>
      <c r="H174" s="34" t="s">
        <v>8</v>
      </c>
      <c r="I174" s="34">
        <v>0.85571303972464474</v>
      </c>
    </row>
    <row r="175" spans="1:9" x14ac:dyDescent="0.3">
      <c r="A175" s="34">
        <v>174</v>
      </c>
      <c r="B175" s="34">
        <v>966</v>
      </c>
      <c r="C175" s="34" t="s">
        <v>5</v>
      </c>
      <c r="D175" s="34">
        <v>30</v>
      </c>
      <c r="E175" s="34">
        <v>1715</v>
      </c>
      <c r="F175" s="34">
        <v>26</v>
      </c>
      <c r="G175" s="34" t="s">
        <v>6</v>
      </c>
      <c r="H175" s="34" t="s">
        <v>4</v>
      </c>
      <c r="I175" s="34">
        <v>0.85699831096288759</v>
      </c>
    </row>
    <row r="176" spans="1:9" x14ac:dyDescent="0.3">
      <c r="A176" s="34">
        <v>175</v>
      </c>
      <c r="B176" s="34">
        <v>593</v>
      </c>
      <c r="C176" s="34" t="s">
        <v>5</v>
      </c>
      <c r="D176" s="34">
        <v>21</v>
      </c>
      <c r="E176" s="34">
        <v>1572</v>
      </c>
      <c r="F176" s="34">
        <v>36</v>
      </c>
      <c r="G176" s="34" t="s">
        <v>6</v>
      </c>
      <c r="H176" s="34" t="s">
        <v>4</v>
      </c>
      <c r="I176" s="34">
        <v>0.86129284811299123</v>
      </c>
    </row>
    <row r="177" spans="1:9" x14ac:dyDescent="0.3">
      <c r="A177" s="34">
        <v>176</v>
      </c>
      <c r="B177" s="34">
        <v>921</v>
      </c>
      <c r="C177" s="34" t="s">
        <v>5</v>
      </c>
      <c r="D177" s="34">
        <v>18</v>
      </c>
      <c r="E177" s="34">
        <v>1817</v>
      </c>
      <c r="F177" s="34">
        <v>28</v>
      </c>
      <c r="G177" s="34" t="s">
        <v>6</v>
      </c>
      <c r="H177" s="34" t="s">
        <v>4</v>
      </c>
      <c r="I177" s="34">
        <v>0.88117336443135286</v>
      </c>
    </row>
    <row r="178" spans="1:9" x14ac:dyDescent="0.3">
      <c r="A178" s="34">
        <v>177</v>
      </c>
      <c r="B178" s="34">
        <v>394</v>
      </c>
      <c r="C178" s="34" t="s">
        <v>5</v>
      </c>
      <c r="D178" s="34">
        <v>6</v>
      </c>
      <c r="E178" s="34">
        <v>1957</v>
      </c>
      <c r="F178" s="34">
        <v>31</v>
      </c>
      <c r="G178" s="34" t="s">
        <v>6</v>
      </c>
      <c r="H178" s="34" t="s">
        <v>4</v>
      </c>
      <c r="I178" s="34">
        <v>0.88542375078750823</v>
      </c>
    </row>
    <row r="179" spans="1:9" x14ac:dyDescent="0.3">
      <c r="A179" s="34">
        <v>178</v>
      </c>
      <c r="B179" s="34">
        <v>911</v>
      </c>
      <c r="C179" s="34" t="s">
        <v>5</v>
      </c>
      <c r="D179" s="34">
        <v>36</v>
      </c>
      <c r="E179" s="34">
        <v>4454</v>
      </c>
      <c r="F179" s="34">
        <v>34</v>
      </c>
      <c r="G179" s="34" t="s">
        <v>6</v>
      </c>
      <c r="H179" s="34" t="s">
        <v>4</v>
      </c>
      <c r="I179" s="34">
        <v>0.88702476332168012</v>
      </c>
    </row>
    <row r="180" spans="1:9" x14ac:dyDescent="0.3">
      <c r="A180" s="34">
        <v>179</v>
      </c>
      <c r="B180" s="34">
        <v>898</v>
      </c>
      <c r="C180" s="34" t="s">
        <v>5</v>
      </c>
      <c r="D180" s="34">
        <v>12</v>
      </c>
      <c r="E180" s="34">
        <v>1592</v>
      </c>
      <c r="F180" s="34">
        <v>35</v>
      </c>
      <c r="G180" s="34" t="s">
        <v>6</v>
      </c>
      <c r="H180" s="34" t="s">
        <v>4</v>
      </c>
      <c r="I180" s="34">
        <v>0.89386504244250908</v>
      </c>
    </row>
    <row r="181" spans="1:9" x14ac:dyDescent="0.3">
      <c r="A181" s="34">
        <v>180</v>
      </c>
      <c r="B181" s="34">
        <v>977</v>
      </c>
      <c r="C181" s="34" t="s">
        <v>5</v>
      </c>
      <c r="D181" s="34">
        <v>6</v>
      </c>
      <c r="E181" s="34">
        <v>753</v>
      </c>
      <c r="F181" s="34">
        <v>64</v>
      </c>
      <c r="G181" s="34" t="s">
        <v>6</v>
      </c>
      <c r="H181" s="34" t="s">
        <v>4</v>
      </c>
      <c r="I181" s="34">
        <v>0.89442343973083649</v>
      </c>
    </row>
    <row r="182" spans="1:9" x14ac:dyDescent="0.3">
      <c r="A182" s="34">
        <v>181</v>
      </c>
      <c r="B182" s="34">
        <v>968</v>
      </c>
      <c r="C182" s="34" t="s">
        <v>5</v>
      </c>
      <c r="D182" s="34">
        <v>15</v>
      </c>
      <c r="E182" s="34">
        <v>3568</v>
      </c>
      <c r="F182" s="34">
        <v>54</v>
      </c>
      <c r="G182" s="34" t="s">
        <v>6</v>
      </c>
      <c r="H182" s="34" t="s">
        <v>9</v>
      </c>
      <c r="I182" s="34">
        <v>0.90016033057977407</v>
      </c>
    </row>
    <row r="183" spans="1:9" x14ac:dyDescent="0.3">
      <c r="A183" s="34">
        <v>182</v>
      </c>
      <c r="B183" s="34">
        <v>614</v>
      </c>
      <c r="C183" s="34" t="s">
        <v>5</v>
      </c>
      <c r="D183" s="34">
        <v>24</v>
      </c>
      <c r="E183" s="34">
        <v>3632</v>
      </c>
      <c r="F183" s="34">
        <v>22</v>
      </c>
      <c r="G183" s="34" t="s">
        <v>6</v>
      </c>
      <c r="H183" s="34" t="s">
        <v>9</v>
      </c>
      <c r="I183" s="34">
        <v>0.90022185040569691</v>
      </c>
    </row>
    <row r="184" spans="1:9" x14ac:dyDescent="0.3">
      <c r="A184" s="34">
        <v>183</v>
      </c>
      <c r="B184" s="34">
        <v>67</v>
      </c>
      <c r="C184" s="34" t="s">
        <v>5</v>
      </c>
      <c r="D184" s="34">
        <v>12</v>
      </c>
      <c r="E184" s="34">
        <v>2171</v>
      </c>
      <c r="F184" s="34">
        <v>29</v>
      </c>
      <c r="G184" s="34" t="s">
        <v>6</v>
      </c>
      <c r="H184" s="34" t="s">
        <v>4</v>
      </c>
      <c r="I184" s="34">
        <v>0.91424881835514504</v>
      </c>
    </row>
    <row r="185" spans="1:9" x14ac:dyDescent="0.3">
      <c r="A185" s="34">
        <v>184</v>
      </c>
      <c r="B185" s="34">
        <v>262</v>
      </c>
      <c r="C185" s="34" t="s">
        <v>5</v>
      </c>
      <c r="D185" s="34">
        <v>24</v>
      </c>
      <c r="E185" s="34">
        <v>1603</v>
      </c>
      <c r="F185" s="34">
        <v>55</v>
      </c>
      <c r="G185" s="34" t="s">
        <v>6</v>
      </c>
      <c r="H185" s="34" t="s">
        <v>4</v>
      </c>
      <c r="I185" s="34">
        <v>0.91768020631014968</v>
      </c>
    </row>
    <row r="186" spans="1:9" x14ac:dyDescent="0.3">
      <c r="A186" s="34">
        <v>185</v>
      </c>
      <c r="B186" s="34">
        <v>386</v>
      </c>
      <c r="C186" s="34" t="s">
        <v>5</v>
      </c>
      <c r="D186" s="34">
        <v>18</v>
      </c>
      <c r="E186" s="34">
        <v>2238</v>
      </c>
      <c r="F186" s="34">
        <v>25</v>
      </c>
      <c r="G186" s="34" t="s">
        <v>6</v>
      </c>
      <c r="H186" s="34" t="s">
        <v>4</v>
      </c>
      <c r="I186" s="34">
        <v>0.92107363083169624</v>
      </c>
    </row>
    <row r="187" spans="1:9" x14ac:dyDescent="0.3">
      <c r="A187" s="34">
        <v>186</v>
      </c>
      <c r="B187" s="34">
        <v>387</v>
      </c>
      <c r="C187" s="34" t="s">
        <v>5</v>
      </c>
      <c r="D187" s="34">
        <v>18</v>
      </c>
      <c r="E187" s="34">
        <v>1126</v>
      </c>
      <c r="F187" s="34">
        <v>21</v>
      </c>
      <c r="G187" s="34" t="s">
        <v>6</v>
      </c>
      <c r="H187" s="34" t="s">
        <v>9</v>
      </c>
      <c r="I187" s="34">
        <v>0.92773472999489037</v>
      </c>
    </row>
    <row r="188" spans="1:9" x14ac:dyDescent="0.3">
      <c r="A188" s="34">
        <v>187</v>
      </c>
      <c r="B188" s="34">
        <v>383</v>
      </c>
      <c r="C188" s="34" t="s">
        <v>5</v>
      </c>
      <c r="D188" s="34">
        <v>22</v>
      </c>
      <c r="E188" s="34">
        <v>1283</v>
      </c>
      <c r="F188" s="34">
        <v>25</v>
      </c>
      <c r="G188" s="34" t="s">
        <v>6</v>
      </c>
      <c r="H188" s="34" t="s">
        <v>9</v>
      </c>
      <c r="I188" s="34">
        <v>0.93519231355587495</v>
      </c>
    </row>
    <row r="189" spans="1:9" x14ac:dyDescent="0.3">
      <c r="A189" s="34">
        <v>188</v>
      </c>
      <c r="B189" s="34">
        <v>74</v>
      </c>
      <c r="C189" s="34" t="s">
        <v>5</v>
      </c>
      <c r="D189" s="34">
        <v>42</v>
      </c>
      <c r="E189" s="34">
        <v>5954</v>
      </c>
      <c r="F189" s="34">
        <v>41</v>
      </c>
      <c r="G189" s="34" t="s">
        <v>6</v>
      </c>
      <c r="H189" s="34" t="s">
        <v>4</v>
      </c>
      <c r="I189" s="34">
        <v>0.93924208726013025</v>
      </c>
    </row>
    <row r="190" spans="1:9" x14ac:dyDescent="0.3">
      <c r="A190" s="34">
        <v>189</v>
      </c>
      <c r="B190" s="34">
        <v>798</v>
      </c>
      <c r="C190" s="34" t="s">
        <v>5</v>
      </c>
      <c r="D190" s="34">
        <v>12</v>
      </c>
      <c r="E190" s="34">
        <v>1258</v>
      </c>
      <c r="F190" s="34">
        <v>22</v>
      </c>
      <c r="G190" s="34" t="s">
        <v>6</v>
      </c>
      <c r="H190" s="34" t="s">
        <v>9</v>
      </c>
      <c r="I190" s="34">
        <v>0.95244040811020825</v>
      </c>
    </row>
    <row r="191" spans="1:9" x14ac:dyDescent="0.3">
      <c r="A191" s="34">
        <v>190</v>
      </c>
      <c r="B191" s="34">
        <v>631</v>
      </c>
      <c r="C191" s="34" t="s">
        <v>5</v>
      </c>
      <c r="D191" s="34">
        <v>24</v>
      </c>
      <c r="E191" s="34">
        <v>3660</v>
      </c>
      <c r="F191" s="34">
        <v>28</v>
      </c>
      <c r="G191" s="34" t="s">
        <v>6</v>
      </c>
      <c r="H191" s="34" t="s">
        <v>4</v>
      </c>
      <c r="I191" s="34">
        <v>0.95469988775794667</v>
      </c>
    </row>
    <row r="192" spans="1:9" x14ac:dyDescent="0.3">
      <c r="A192" s="34">
        <v>191</v>
      </c>
      <c r="B192" s="34">
        <v>866</v>
      </c>
      <c r="C192" s="34" t="s">
        <v>5</v>
      </c>
      <c r="D192" s="34">
        <v>15</v>
      </c>
      <c r="E192" s="34">
        <v>2221</v>
      </c>
      <c r="F192" s="34">
        <v>20</v>
      </c>
      <c r="G192" s="34" t="s">
        <v>6</v>
      </c>
      <c r="H192" s="34" t="s">
        <v>9</v>
      </c>
      <c r="I192" s="34">
        <v>0.95647825393594677</v>
      </c>
    </row>
    <row r="193" spans="1:9" x14ac:dyDescent="0.3">
      <c r="A193" s="34">
        <v>192</v>
      </c>
      <c r="B193" s="34">
        <v>293</v>
      </c>
      <c r="C193" s="34" t="s">
        <v>5</v>
      </c>
      <c r="D193" s="34">
        <v>24</v>
      </c>
      <c r="E193" s="34">
        <v>6419</v>
      </c>
      <c r="F193" s="34">
        <v>44</v>
      </c>
      <c r="G193" s="34" t="s">
        <v>6</v>
      </c>
      <c r="H193" s="34" t="s">
        <v>8</v>
      </c>
      <c r="I193" s="34">
        <v>0.962732058065633</v>
      </c>
    </row>
    <row r="194" spans="1:9" x14ac:dyDescent="0.3">
      <c r="A194" s="34">
        <v>193</v>
      </c>
      <c r="B194" s="34">
        <v>768</v>
      </c>
      <c r="C194" s="34" t="s">
        <v>5</v>
      </c>
      <c r="D194" s="34">
        <v>10</v>
      </c>
      <c r="E194" s="34">
        <v>2901</v>
      </c>
      <c r="F194" s="34">
        <v>31</v>
      </c>
      <c r="G194" s="34" t="s">
        <v>6</v>
      </c>
      <c r="H194" s="34" t="s">
        <v>9</v>
      </c>
      <c r="I194" s="34">
        <v>0.96643827547450378</v>
      </c>
    </row>
    <row r="195" spans="1:9" x14ac:dyDescent="0.3">
      <c r="A195" s="34">
        <v>194</v>
      </c>
      <c r="B195" s="34">
        <v>190</v>
      </c>
      <c r="C195" s="34" t="s">
        <v>5</v>
      </c>
      <c r="D195" s="34">
        <v>18</v>
      </c>
      <c r="E195" s="34">
        <v>3244</v>
      </c>
      <c r="F195" s="34">
        <v>33</v>
      </c>
      <c r="G195" s="34" t="s">
        <v>6</v>
      </c>
      <c r="H195" s="34" t="s">
        <v>4</v>
      </c>
      <c r="I195" s="34">
        <v>0.97063239023685988</v>
      </c>
    </row>
    <row r="196" spans="1:9" x14ac:dyDescent="0.3">
      <c r="A196" s="34">
        <v>195</v>
      </c>
      <c r="B196" s="34">
        <v>988</v>
      </c>
      <c r="C196" s="34" t="s">
        <v>5</v>
      </c>
      <c r="D196" s="34">
        <v>13</v>
      </c>
      <c r="E196" s="34">
        <v>1409</v>
      </c>
      <c r="F196" s="34">
        <v>64</v>
      </c>
      <c r="G196" s="34" t="s">
        <v>6</v>
      </c>
      <c r="H196" s="34" t="s">
        <v>4</v>
      </c>
      <c r="I196" s="34">
        <v>0.97706161128924252</v>
      </c>
    </row>
    <row r="197" spans="1:9" x14ac:dyDescent="0.3">
      <c r="A197" s="34">
        <v>196</v>
      </c>
      <c r="B197" s="34">
        <v>935</v>
      </c>
      <c r="C197" s="34" t="s">
        <v>5</v>
      </c>
      <c r="D197" s="34">
        <v>12</v>
      </c>
      <c r="E197" s="34">
        <v>1498</v>
      </c>
      <c r="F197" s="34">
        <v>23</v>
      </c>
      <c r="G197" s="34" t="s">
        <v>6</v>
      </c>
      <c r="H197" s="34" t="s">
        <v>4</v>
      </c>
      <c r="I197" s="34">
        <v>0.9776312245930886</v>
      </c>
    </row>
    <row r="198" spans="1:9" x14ac:dyDescent="0.3">
      <c r="A198" s="34">
        <v>197</v>
      </c>
      <c r="B198" s="34">
        <v>709</v>
      </c>
      <c r="C198" s="34" t="s">
        <v>5</v>
      </c>
      <c r="D198" s="34">
        <v>9</v>
      </c>
      <c r="E198" s="34">
        <v>1206</v>
      </c>
      <c r="F198" s="34">
        <v>25</v>
      </c>
      <c r="G198" s="34" t="s">
        <v>6</v>
      </c>
      <c r="H198" s="34" t="s">
        <v>4</v>
      </c>
      <c r="I198" s="34">
        <v>0.97956126448435188</v>
      </c>
    </row>
    <row r="199" spans="1:9" x14ac:dyDescent="0.3">
      <c r="A199" s="34">
        <v>198</v>
      </c>
      <c r="B199" s="34">
        <v>955</v>
      </c>
      <c r="C199" s="34" t="s">
        <v>5</v>
      </c>
      <c r="D199" s="34">
        <v>12</v>
      </c>
      <c r="E199" s="34">
        <v>1893</v>
      </c>
      <c r="F199" s="34">
        <v>29</v>
      </c>
      <c r="G199" s="34" t="s">
        <v>6</v>
      </c>
      <c r="H199" s="34" t="s">
        <v>4</v>
      </c>
      <c r="I199" s="34">
        <v>0.98241406643394313</v>
      </c>
    </row>
    <row r="200" spans="1:9" x14ac:dyDescent="0.3">
      <c r="A200" s="34">
        <v>199</v>
      </c>
      <c r="B200" s="34">
        <v>277</v>
      </c>
      <c r="C200" s="34" t="s">
        <v>5</v>
      </c>
      <c r="D200" s="34">
        <v>18</v>
      </c>
      <c r="E200" s="34">
        <v>2404</v>
      </c>
      <c r="F200" s="34">
        <v>26</v>
      </c>
      <c r="G200" s="34" t="s">
        <v>6</v>
      </c>
      <c r="H200" s="34" t="s">
        <v>4</v>
      </c>
      <c r="I200" s="34">
        <v>0.98760146895561274</v>
      </c>
    </row>
    <row r="201" spans="1:9" x14ac:dyDescent="0.3">
      <c r="A201" s="34">
        <v>200</v>
      </c>
      <c r="B201" s="34">
        <v>272</v>
      </c>
      <c r="C201" s="34" t="s">
        <v>5</v>
      </c>
      <c r="D201" s="34">
        <v>12</v>
      </c>
      <c r="E201" s="34">
        <v>1402</v>
      </c>
      <c r="F201" s="34">
        <v>37</v>
      </c>
      <c r="G201" s="34" t="s">
        <v>6</v>
      </c>
      <c r="H201" s="34" t="s">
        <v>9</v>
      </c>
      <c r="I201" s="34">
        <v>0.99015846815494102</v>
      </c>
    </row>
    <row r="202" spans="1:9" x14ac:dyDescent="0.3">
      <c r="A202" s="35">
        <v>201</v>
      </c>
      <c r="B202" s="35">
        <v>525</v>
      </c>
      <c r="C202" s="35" t="s">
        <v>5</v>
      </c>
      <c r="D202" s="35">
        <v>18</v>
      </c>
      <c r="E202" s="35">
        <v>1113</v>
      </c>
      <c r="F202" s="35">
        <v>26</v>
      </c>
      <c r="G202" s="35" t="s">
        <v>6</v>
      </c>
      <c r="H202" s="35" t="s">
        <v>4</v>
      </c>
      <c r="I202" s="35">
        <v>0.99908436795217548</v>
      </c>
    </row>
  </sheetData>
  <sortState xmlns:xlrd2="http://schemas.microsoft.com/office/spreadsheetml/2017/richdata2" ref="B2:L202">
    <sortCondition ref="L2:L20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D1BA-922B-4455-A84F-04C48A204351}">
  <dimension ref="A1:I110"/>
  <sheetViews>
    <sheetView workbookViewId="0">
      <selection activeCell="L6" sqref="L6"/>
    </sheetView>
  </sheetViews>
  <sheetFormatPr defaultRowHeight="14.4" x14ac:dyDescent="0.3"/>
  <cols>
    <col min="4" max="4" width="12.33203125" bestFit="1" customWidth="1"/>
    <col min="5" max="5" width="14.109375" bestFit="1" customWidth="1"/>
    <col min="7" max="7" width="11.33203125" bestFit="1" customWidth="1"/>
    <col min="8" max="8" width="11.109375" bestFit="1" customWidth="1"/>
  </cols>
  <sheetData>
    <row r="1" spans="1:9" x14ac:dyDescent="0.3">
      <c r="A1" s="37" t="s">
        <v>13</v>
      </c>
      <c r="B1" s="36" t="s">
        <v>12</v>
      </c>
      <c r="C1" s="37" t="s">
        <v>2</v>
      </c>
      <c r="D1" s="37" t="s">
        <v>63</v>
      </c>
      <c r="E1" s="37" t="s">
        <v>126</v>
      </c>
      <c r="F1" s="37" t="s">
        <v>0</v>
      </c>
      <c r="G1" s="37" t="s">
        <v>127</v>
      </c>
      <c r="H1" s="37" t="s">
        <v>1</v>
      </c>
      <c r="I1" s="37" t="s">
        <v>26</v>
      </c>
    </row>
    <row r="2" spans="1:9" x14ac:dyDescent="0.3">
      <c r="A2" s="34">
        <v>1</v>
      </c>
      <c r="B2" s="34">
        <v>843</v>
      </c>
      <c r="C2" s="34" t="s">
        <v>7</v>
      </c>
      <c r="D2" s="34">
        <v>18</v>
      </c>
      <c r="E2" s="34">
        <v>1943</v>
      </c>
      <c r="F2" s="34">
        <v>23</v>
      </c>
      <c r="G2" s="34" t="s">
        <v>6</v>
      </c>
      <c r="H2" s="34" t="s">
        <v>4</v>
      </c>
      <c r="I2" s="34">
        <v>3.320709509248343E-3</v>
      </c>
    </row>
    <row r="3" spans="1:9" x14ac:dyDescent="0.3">
      <c r="A3" s="34">
        <v>2</v>
      </c>
      <c r="B3" s="34">
        <v>912</v>
      </c>
      <c r="C3" s="34" t="s">
        <v>7</v>
      </c>
      <c r="D3" s="34">
        <v>24</v>
      </c>
      <c r="E3" s="34">
        <v>4736</v>
      </c>
      <c r="F3" s="34">
        <v>25</v>
      </c>
      <c r="G3" s="34" t="s">
        <v>6</v>
      </c>
      <c r="H3" s="34" t="s">
        <v>4</v>
      </c>
      <c r="I3" s="34">
        <v>1.8722148574936037E-2</v>
      </c>
    </row>
    <row r="4" spans="1:9" x14ac:dyDescent="0.3">
      <c r="A4" s="34">
        <v>3</v>
      </c>
      <c r="B4" s="34">
        <v>558</v>
      </c>
      <c r="C4" s="34" t="s">
        <v>7</v>
      </c>
      <c r="D4" s="34">
        <v>21</v>
      </c>
      <c r="E4" s="34">
        <v>5003</v>
      </c>
      <c r="F4" s="34">
        <v>29</v>
      </c>
      <c r="G4" s="34" t="s">
        <v>6</v>
      </c>
      <c r="H4" s="34" t="s">
        <v>4</v>
      </c>
      <c r="I4" s="34">
        <v>2.8418801733483656E-2</v>
      </c>
    </row>
    <row r="5" spans="1:9" x14ac:dyDescent="0.3">
      <c r="A5" s="34">
        <v>4</v>
      </c>
      <c r="B5" s="34">
        <v>723</v>
      </c>
      <c r="C5" s="34" t="s">
        <v>7</v>
      </c>
      <c r="D5" s="34">
        <v>12</v>
      </c>
      <c r="E5" s="34">
        <v>1228</v>
      </c>
      <c r="F5" s="34">
        <v>24</v>
      </c>
      <c r="G5" s="34" t="s">
        <v>6</v>
      </c>
      <c r="H5" s="34" t="s">
        <v>4</v>
      </c>
      <c r="I5" s="34">
        <v>7.7739702959914947E-2</v>
      </c>
    </row>
    <row r="6" spans="1:9" x14ac:dyDescent="0.3">
      <c r="A6" s="34">
        <v>5</v>
      </c>
      <c r="B6" s="34">
        <v>12</v>
      </c>
      <c r="C6" s="34" t="s">
        <v>7</v>
      </c>
      <c r="D6" s="34">
        <v>48</v>
      </c>
      <c r="E6" s="34">
        <v>4308</v>
      </c>
      <c r="F6" s="34">
        <v>24</v>
      </c>
      <c r="G6" s="34" t="s">
        <v>6</v>
      </c>
      <c r="H6" s="34" t="s">
        <v>9</v>
      </c>
      <c r="I6" s="34">
        <v>0.10787452495900274</v>
      </c>
    </row>
    <row r="7" spans="1:9" x14ac:dyDescent="0.3">
      <c r="A7" s="34">
        <v>6</v>
      </c>
      <c r="B7" s="34">
        <v>608</v>
      </c>
      <c r="C7" s="34" t="s">
        <v>7</v>
      </c>
      <c r="D7" s="34">
        <v>36</v>
      </c>
      <c r="E7" s="34">
        <v>2671</v>
      </c>
      <c r="F7" s="34">
        <v>50</v>
      </c>
      <c r="G7" s="34" t="s">
        <v>6</v>
      </c>
      <c r="H7" s="34" t="s">
        <v>8</v>
      </c>
      <c r="I7" s="34">
        <v>0.12008727773068339</v>
      </c>
    </row>
    <row r="8" spans="1:9" x14ac:dyDescent="0.3">
      <c r="A8" s="34">
        <v>7</v>
      </c>
      <c r="B8" s="34">
        <v>762</v>
      </c>
      <c r="C8" s="34" t="s">
        <v>7</v>
      </c>
      <c r="D8" s="34">
        <v>18</v>
      </c>
      <c r="E8" s="34">
        <v>2124</v>
      </c>
      <c r="F8" s="34">
        <v>24</v>
      </c>
      <c r="G8" s="34" t="s">
        <v>6</v>
      </c>
      <c r="H8" s="34" t="s">
        <v>9</v>
      </c>
      <c r="I8" s="34">
        <v>0.12091199214009241</v>
      </c>
    </row>
    <row r="9" spans="1:9" x14ac:dyDescent="0.3">
      <c r="A9" s="34">
        <v>8</v>
      </c>
      <c r="B9" s="34">
        <v>60</v>
      </c>
      <c r="C9" s="34" t="s">
        <v>7</v>
      </c>
      <c r="D9" s="34">
        <v>36</v>
      </c>
      <c r="E9" s="34">
        <v>6229</v>
      </c>
      <c r="F9" s="34">
        <v>23</v>
      </c>
      <c r="G9" s="34" t="s">
        <v>6</v>
      </c>
      <c r="H9" s="34" t="s">
        <v>9</v>
      </c>
      <c r="I9" s="34">
        <v>0.14479456903168475</v>
      </c>
    </row>
    <row r="10" spans="1:9" x14ac:dyDescent="0.3">
      <c r="A10" s="34">
        <v>9</v>
      </c>
      <c r="B10" s="34">
        <v>532</v>
      </c>
      <c r="C10" s="34" t="s">
        <v>7</v>
      </c>
      <c r="D10" s="34">
        <v>15</v>
      </c>
      <c r="E10" s="34">
        <v>2631</v>
      </c>
      <c r="F10" s="34">
        <v>28</v>
      </c>
      <c r="G10" s="34" t="s">
        <v>6</v>
      </c>
      <c r="H10" s="34" t="s">
        <v>9</v>
      </c>
      <c r="I10" s="34">
        <v>0.15033154446843344</v>
      </c>
    </row>
    <row r="11" spans="1:9" x14ac:dyDescent="0.3">
      <c r="A11" s="34">
        <v>10</v>
      </c>
      <c r="B11" s="34">
        <v>425</v>
      </c>
      <c r="C11" s="34" t="s">
        <v>7</v>
      </c>
      <c r="D11" s="34">
        <v>12</v>
      </c>
      <c r="E11" s="34">
        <v>2762</v>
      </c>
      <c r="F11" s="34">
        <v>25</v>
      </c>
      <c r="G11" s="34" t="s">
        <v>6</v>
      </c>
      <c r="H11" s="34" t="s">
        <v>4</v>
      </c>
      <c r="I11" s="34">
        <v>0.17464041090959881</v>
      </c>
    </row>
    <row r="12" spans="1:9" x14ac:dyDescent="0.3">
      <c r="A12" s="34">
        <v>11</v>
      </c>
      <c r="B12" s="34">
        <v>430</v>
      </c>
      <c r="C12" s="34" t="s">
        <v>7</v>
      </c>
      <c r="D12" s="34">
        <v>18</v>
      </c>
      <c r="E12" s="34">
        <v>1190</v>
      </c>
      <c r="F12" s="34">
        <v>55</v>
      </c>
      <c r="G12" s="34" t="s">
        <v>6</v>
      </c>
      <c r="H12" s="34" t="s">
        <v>8</v>
      </c>
      <c r="I12" s="34">
        <v>0.18427152856834084</v>
      </c>
    </row>
    <row r="13" spans="1:9" x14ac:dyDescent="0.3">
      <c r="A13" s="34">
        <v>12</v>
      </c>
      <c r="B13" s="34">
        <v>729</v>
      </c>
      <c r="C13" s="34" t="s">
        <v>7</v>
      </c>
      <c r="D13" s="34">
        <v>48</v>
      </c>
      <c r="E13" s="34">
        <v>6416</v>
      </c>
      <c r="F13" s="34">
        <v>59</v>
      </c>
      <c r="G13" s="34" t="s">
        <v>6</v>
      </c>
      <c r="H13" s="34" t="s">
        <v>9</v>
      </c>
      <c r="I13" s="34">
        <v>0.18573654336135359</v>
      </c>
    </row>
    <row r="14" spans="1:9" x14ac:dyDescent="0.3">
      <c r="A14" s="34">
        <v>13</v>
      </c>
      <c r="B14" s="34">
        <v>916</v>
      </c>
      <c r="C14" s="34" t="s">
        <v>7</v>
      </c>
      <c r="D14" s="34">
        <v>48</v>
      </c>
      <c r="E14" s="34">
        <v>18424</v>
      </c>
      <c r="F14" s="34">
        <v>32</v>
      </c>
      <c r="G14" s="34" t="s">
        <v>6</v>
      </c>
      <c r="H14" s="34" t="s">
        <v>4</v>
      </c>
      <c r="I14" s="34">
        <v>0.18784165668443853</v>
      </c>
    </row>
    <row r="15" spans="1:9" x14ac:dyDescent="0.3">
      <c r="A15" s="34">
        <v>14</v>
      </c>
      <c r="B15" s="34">
        <v>45</v>
      </c>
      <c r="C15" s="34" t="s">
        <v>7</v>
      </c>
      <c r="D15" s="34">
        <v>48</v>
      </c>
      <c r="E15" s="34">
        <v>6143</v>
      </c>
      <c r="F15" s="34">
        <v>58</v>
      </c>
      <c r="G15" s="34" t="s">
        <v>6</v>
      </c>
      <c r="H15" s="34" t="s">
        <v>8</v>
      </c>
      <c r="I15" s="34">
        <v>0.19291466916831868</v>
      </c>
    </row>
    <row r="16" spans="1:9" x14ac:dyDescent="0.3">
      <c r="A16" s="34">
        <v>15</v>
      </c>
      <c r="B16" s="34">
        <v>117</v>
      </c>
      <c r="C16" s="34" t="s">
        <v>7</v>
      </c>
      <c r="D16" s="34">
        <v>42</v>
      </c>
      <c r="E16" s="34">
        <v>7174</v>
      </c>
      <c r="F16" s="34">
        <v>30</v>
      </c>
      <c r="G16" s="34" t="s">
        <v>6</v>
      </c>
      <c r="H16" s="34" t="s">
        <v>4</v>
      </c>
      <c r="I16" s="34">
        <v>0.21690576560038566</v>
      </c>
    </row>
    <row r="17" spans="1:9" x14ac:dyDescent="0.3">
      <c r="A17" s="34">
        <v>16</v>
      </c>
      <c r="B17" s="34">
        <v>176</v>
      </c>
      <c r="C17" s="34" t="s">
        <v>7</v>
      </c>
      <c r="D17" s="34">
        <v>30</v>
      </c>
      <c r="E17" s="34">
        <v>7485</v>
      </c>
      <c r="F17" s="34">
        <v>53</v>
      </c>
      <c r="G17" s="34" t="s">
        <v>6</v>
      </c>
      <c r="H17" s="34" t="s">
        <v>4</v>
      </c>
      <c r="I17" s="34">
        <v>0.22404896395159546</v>
      </c>
    </row>
    <row r="18" spans="1:9" x14ac:dyDescent="0.3">
      <c r="A18" s="34">
        <v>17</v>
      </c>
      <c r="B18" s="34">
        <v>253</v>
      </c>
      <c r="C18" s="34" t="s">
        <v>7</v>
      </c>
      <c r="D18" s="34">
        <v>30</v>
      </c>
      <c r="E18" s="34">
        <v>2150</v>
      </c>
      <c r="F18" s="34">
        <v>24</v>
      </c>
      <c r="G18" s="34" t="s">
        <v>6</v>
      </c>
      <c r="H18" s="34" t="s">
        <v>4</v>
      </c>
      <c r="I18" s="34">
        <v>0.22449969344315956</v>
      </c>
    </row>
    <row r="19" spans="1:9" x14ac:dyDescent="0.3">
      <c r="A19" s="34">
        <v>18</v>
      </c>
      <c r="B19" s="34">
        <v>859</v>
      </c>
      <c r="C19" s="34" t="s">
        <v>7</v>
      </c>
      <c r="D19" s="34">
        <v>15</v>
      </c>
      <c r="E19" s="34">
        <v>3959</v>
      </c>
      <c r="F19" s="34">
        <v>29</v>
      </c>
      <c r="G19" s="34" t="s">
        <v>6</v>
      </c>
      <c r="H19" s="34" t="s">
        <v>4</v>
      </c>
      <c r="I19" s="34">
        <v>0.23594259618735736</v>
      </c>
    </row>
    <row r="20" spans="1:9" x14ac:dyDescent="0.3">
      <c r="A20" s="34">
        <v>19</v>
      </c>
      <c r="B20" s="34">
        <v>93</v>
      </c>
      <c r="C20" s="34" t="s">
        <v>7</v>
      </c>
      <c r="D20" s="34">
        <v>12</v>
      </c>
      <c r="E20" s="34">
        <v>797</v>
      </c>
      <c r="F20" s="34">
        <v>33</v>
      </c>
      <c r="G20" s="34" t="s">
        <v>6</v>
      </c>
      <c r="H20" s="34" t="s">
        <v>4</v>
      </c>
      <c r="I20" s="34">
        <v>0.25054412683966198</v>
      </c>
    </row>
    <row r="21" spans="1:9" x14ac:dyDescent="0.3">
      <c r="A21" s="34">
        <v>20</v>
      </c>
      <c r="B21" s="34">
        <v>376</v>
      </c>
      <c r="C21" s="34" t="s">
        <v>7</v>
      </c>
      <c r="D21" s="34">
        <v>48</v>
      </c>
      <c r="E21" s="34">
        <v>7685</v>
      </c>
      <c r="F21" s="34">
        <v>37</v>
      </c>
      <c r="G21" s="34" t="s">
        <v>6</v>
      </c>
      <c r="H21" s="34" t="s">
        <v>9</v>
      </c>
      <c r="I21" s="34">
        <v>0.25328500418854916</v>
      </c>
    </row>
    <row r="22" spans="1:9" x14ac:dyDescent="0.3">
      <c r="A22" s="34">
        <v>21</v>
      </c>
      <c r="B22" s="34">
        <v>279</v>
      </c>
      <c r="C22" s="34" t="s">
        <v>7</v>
      </c>
      <c r="D22" s="34">
        <v>6</v>
      </c>
      <c r="E22" s="34">
        <v>4611</v>
      </c>
      <c r="F22" s="34">
        <v>32</v>
      </c>
      <c r="G22" s="34" t="s">
        <v>6</v>
      </c>
      <c r="H22" s="34" t="s">
        <v>4</v>
      </c>
      <c r="I22" s="34">
        <v>0.26542636610316828</v>
      </c>
    </row>
    <row r="23" spans="1:9" x14ac:dyDescent="0.3">
      <c r="A23" s="34">
        <v>22</v>
      </c>
      <c r="B23" s="34">
        <v>420</v>
      </c>
      <c r="C23" s="34" t="s">
        <v>7</v>
      </c>
      <c r="D23" s="34">
        <v>18</v>
      </c>
      <c r="E23" s="34">
        <v>1042</v>
      </c>
      <c r="F23" s="34">
        <v>33</v>
      </c>
      <c r="G23" s="34" t="s">
        <v>6</v>
      </c>
      <c r="H23" s="34" t="s">
        <v>4</v>
      </c>
      <c r="I23" s="34">
        <v>0.27714637687716548</v>
      </c>
    </row>
    <row r="24" spans="1:9" x14ac:dyDescent="0.3">
      <c r="A24" s="34">
        <v>23</v>
      </c>
      <c r="B24" s="34">
        <v>196</v>
      </c>
      <c r="C24" s="34" t="s">
        <v>7</v>
      </c>
      <c r="D24" s="34">
        <v>9</v>
      </c>
      <c r="E24" s="34">
        <v>1501</v>
      </c>
      <c r="F24" s="34">
        <v>34</v>
      </c>
      <c r="G24" s="34" t="s">
        <v>6</v>
      </c>
      <c r="H24" s="34" t="s">
        <v>4</v>
      </c>
      <c r="I24" s="34">
        <v>0.27874432727458209</v>
      </c>
    </row>
    <row r="25" spans="1:9" x14ac:dyDescent="0.3">
      <c r="A25" s="34">
        <v>24</v>
      </c>
      <c r="B25" s="34">
        <v>130</v>
      </c>
      <c r="C25" s="34" t="s">
        <v>7</v>
      </c>
      <c r="D25" s="34">
        <v>12</v>
      </c>
      <c r="E25" s="34">
        <v>3499</v>
      </c>
      <c r="F25" s="34">
        <v>29</v>
      </c>
      <c r="G25" s="34" t="s">
        <v>6</v>
      </c>
      <c r="H25" s="34" t="s">
        <v>4</v>
      </c>
      <c r="I25" s="34">
        <v>0.28670271390567803</v>
      </c>
    </row>
    <row r="26" spans="1:9" x14ac:dyDescent="0.3">
      <c r="A26" s="34">
        <v>25</v>
      </c>
      <c r="B26" s="34">
        <v>375</v>
      </c>
      <c r="C26" s="34" t="s">
        <v>7</v>
      </c>
      <c r="D26" s="34">
        <v>60</v>
      </c>
      <c r="E26" s="34">
        <v>14782</v>
      </c>
      <c r="F26" s="34">
        <v>60</v>
      </c>
      <c r="G26" s="34" t="s">
        <v>6</v>
      </c>
      <c r="H26" s="34" t="s">
        <v>8</v>
      </c>
      <c r="I26" s="34">
        <v>0.29842872821068922</v>
      </c>
    </row>
    <row r="27" spans="1:9" x14ac:dyDescent="0.3">
      <c r="A27" s="34">
        <v>26</v>
      </c>
      <c r="B27" s="34">
        <v>604</v>
      </c>
      <c r="C27" s="34" t="s">
        <v>7</v>
      </c>
      <c r="D27" s="34">
        <v>36</v>
      </c>
      <c r="E27" s="34">
        <v>3349</v>
      </c>
      <c r="F27" s="34">
        <v>28</v>
      </c>
      <c r="G27" s="34" t="s">
        <v>6</v>
      </c>
      <c r="H27" s="34" t="s">
        <v>4</v>
      </c>
      <c r="I27" s="34">
        <v>0.31233106918472442</v>
      </c>
    </row>
    <row r="28" spans="1:9" x14ac:dyDescent="0.3">
      <c r="A28" s="34">
        <v>27</v>
      </c>
      <c r="B28" s="34">
        <v>748</v>
      </c>
      <c r="C28" s="34" t="s">
        <v>7</v>
      </c>
      <c r="D28" s="34">
        <v>12</v>
      </c>
      <c r="E28" s="34">
        <v>1274</v>
      </c>
      <c r="F28" s="34">
        <v>37</v>
      </c>
      <c r="G28" s="34" t="s">
        <v>6</v>
      </c>
      <c r="H28" s="34" t="s">
        <v>4</v>
      </c>
      <c r="I28" s="34">
        <v>0.3178302372753371</v>
      </c>
    </row>
    <row r="29" spans="1:9" x14ac:dyDescent="0.3">
      <c r="A29" s="34">
        <v>28</v>
      </c>
      <c r="B29" s="34">
        <v>708</v>
      </c>
      <c r="C29" s="34" t="s">
        <v>7</v>
      </c>
      <c r="D29" s="34">
        <v>12</v>
      </c>
      <c r="E29" s="34">
        <v>2969</v>
      </c>
      <c r="F29" s="34">
        <v>25</v>
      </c>
      <c r="G29" s="34" t="s">
        <v>6</v>
      </c>
      <c r="H29" s="34" t="s">
        <v>9</v>
      </c>
      <c r="I29" s="34">
        <v>0.32034493159885891</v>
      </c>
    </row>
    <row r="30" spans="1:9" x14ac:dyDescent="0.3">
      <c r="A30" s="34">
        <v>29</v>
      </c>
      <c r="B30" s="34">
        <v>863</v>
      </c>
      <c r="C30" s="34" t="s">
        <v>7</v>
      </c>
      <c r="D30" s="34">
        <v>24</v>
      </c>
      <c r="E30" s="34">
        <v>2439</v>
      </c>
      <c r="F30" s="34">
        <v>35</v>
      </c>
      <c r="G30" s="34" t="s">
        <v>6</v>
      </c>
      <c r="H30" s="34" t="s">
        <v>4</v>
      </c>
      <c r="I30" s="34">
        <v>0.36445607157849147</v>
      </c>
    </row>
    <row r="31" spans="1:9" x14ac:dyDescent="0.3">
      <c r="A31" s="34">
        <v>30</v>
      </c>
      <c r="B31" s="34">
        <v>571</v>
      </c>
      <c r="C31" s="34" t="s">
        <v>7</v>
      </c>
      <c r="D31" s="34">
        <v>24</v>
      </c>
      <c r="E31" s="34">
        <v>3234</v>
      </c>
      <c r="F31" s="34">
        <v>23</v>
      </c>
      <c r="G31" s="34" t="s">
        <v>6</v>
      </c>
      <c r="H31" s="34" t="s">
        <v>9</v>
      </c>
      <c r="I31" s="34">
        <v>0.3744692151209873</v>
      </c>
    </row>
    <row r="32" spans="1:9" x14ac:dyDescent="0.3">
      <c r="A32" s="34">
        <v>31</v>
      </c>
      <c r="B32" s="34">
        <v>827</v>
      </c>
      <c r="C32" s="34" t="s">
        <v>7</v>
      </c>
      <c r="D32" s="34">
        <v>18</v>
      </c>
      <c r="E32" s="34">
        <v>3966</v>
      </c>
      <c r="F32" s="34">
        <v>33</v>
      </c>
      <c r="G32" s="34" t="s">
        <v>6</v>
      </c>
      <c r="H32" s="34" t="s">
        <v>9</v>
      </c>
      <c r="I32" s="34">
        <v>0.37933382796082149</v>
      </c>
    </row>
    <row r="33" spans="1:9" x14ac:dyDescent="0.3">
      <c r="A33" s="34">
        <v>32</v>
      </c>
      <c r="B33" s="34">
        <v>125</v>
      </c>
      <c r="C33" s="34" t="s">
        <v>7</v>
      </c>
      <c r="D33" s="34">
        <v>18</v>
      </c>
      <c r="E33" s="34">
        <v>1924</v>
      </c>
      <c r="F33" s="34">
        <v>27</v>
      </c>
      <c r="G33" s="34" t="s">
        <v>6</v>
      </c>
      <c r="H33" s="34" t="s">
        <v>9</v>
      </c>
      <c r="I33" s="34">
        <v>0.39440744532574379</v>
      </c>
    </row>
    <row r="34" spans="1:9" x14ac:dyDescent="0.3">
      <c r="A34" s="34">
        <v>33</v>
      </c>
      <c r="B34" s="34">
        <v>725</v>
      </c>
      <c r="C34" s="34" t="s">
        <v>7</v>
      </c>
      <c r="D34" s="34">
        <v>27</v>
      </c>
      <c r="E34" s="34">
        <v>2570</v>
      </c>
      <c r="F34" s="34">
        <v>21</v>
      </c>
      <c r="G34" s="34" t="s">
        <v>6</v>
      </c>
      <c r="H34" s="34" t="s">
        <v>9</v>
      </c>
      <c r="I34" s="34">
        <v>0.39526588349781433</v>
      </c>
    </row>
    <row r="35" spans="1:9" x14ac:dyDescent="0.3">
      <c r="A35" s="34">
        <v>34</v>
      </c>
      <c r="B35" s="34">
        <v>302</v>
      </c>
      <c r="C35" s="34" t="s">
        <v>7</v>
      </c>
      <c r="D35" s="34">
        <v>36</v>
      </c>
      <c r="E35" s="34">
        <v>3804</v>
      </c>
      <c r="F35" s="34">
        <v>42</v>
      </c>
      <c r="G35" s="34" t="s">
        <v>6</v>
      </c>
      <c r="H35" s="34" t="s">
        <v>4</v>
      </c>
      <c r="I35" s="34">
        <v>0.39564021400041116</v>
      </c>
    </row>
    <row r="36" spans="1:9" x14ac:dyDescent="0.3">
      <c r="A36" s="34">
        <v>35</v>
      </c>
      <c r="B36" s="34">
        <v>923</v>
      </c>
      <c r="C36" s="34" t="s">
        <v>7</v>
      </c>
      <c r="D36" s="34">
        <v>9</v>
      </c>
      <c r="E36" s="34">
        <v>1366</v>
      </c>
      <c r="F36" s="34">
        <v>22</v>
      </c>
      <c r="G36" s="34" t="s">
        <v>6</v>
      </c>
      <c r="H36" s="34" t="s">
        <v>9</v>
      </c>
      <c r="I36" s="34">
        <v>0.43433060513546085</v>
      </c>
    </row>
    <row r="37" spans="1:9" x14ac:dyDescent="0.3">
      <c r="A37" s="34">
        <v>36</v>
      </c>
      <c r="B37" s="34">
        <v>250</v>
      </c>
      <c r="C37" s="34" t="s">
        <v>7</v>
      </c>
      <c r="D37" s="34">
        <v>18</v>
      </c>
      <c r="E37" s="34">
        <v>433</v>
      </c>
      <c r="F37" s="34">
        <v>22</v>
      </c>
      <c r="G37" s="34" t="s">
        <v>6</v>
      </c>
      <c r="H37" s="34" t="s">
        <v>9</v>
      </c>
      <c r="I37" s="34">
        <v>0.4345689275187069</v>
      </c>
    </row>
    <row r="38" spans="1:9" x14ac:dyDescent="0.3">
      <c r="A38" s="34">
        <v>37</v>
      </c>
      <c r="B38" s="34">
        <v>382</v>
      </c>
      <c r="C38" s="34" t="s">
        <v>7</v>
      </c>
      <c r="D38" s="34">
        <v>18</v>
      </c>
      <c r="E38" s="34">
        <v>12976</v>
      </c>
      <c r="F38" s="34">
        <v>38</v>
      </c>
      <c r="G38" s="34" t="s">
        <v>6</v>
      </c>
      <c r="H38" s="34" t="s">
        <v>8</v>
      </c>
      <c r="I38" s="34">
        <v>0.44446740744476254</v>
      </c>
    </row>
    <row r="39" spans="1:9" x14ac:dyDescent="0.3">
      <c r="A39" s="34">
        <v>38</v>
      </c>
      <c r="B39" s="34">
        <v>603</v>
      </c>
      <c r="C39" s="34" t="s">
        <v>7</v>
      </c>
      <c r="D39" s="34">
        <v>24</v>
      </c>
      <c r="E39" s="34">
        <v>1837</v>
      </c>
      <c r="F39" s="34">
        <v>34</v>
      </c>
      <c r="G39" s="34" t="s">
        <v>6</v>
      </c>
      <c r="H39" s="34" t="s">
        <v>8</v>
      </c>
      <c r="I39" s="34">
        <v>0.4510891691077068</v>
      </c>
    </row>
    <row r="40" spans="1:9" x14ac:dyDescent="0.3">
      <c r="A40" s="34">
        <v>39</v>
      </c>
      <c r="B40" s="34">
        <v>415</v>
      </c>
      <c r="C40" s="34" t="s">
        <v>7</v>
      </c>
      <c r="D40" s="34">
        <v>24</v>
      </c>
      <c r="E40" s="34">
        <v>1381</v>
      </c>
      <c r="F40" s="34">
        <v>35</v>
      </c>
      <c r="G40" s="34" t="s">
        <v>6</v>
      </c>
      <c r="H40" s="34" t="s">
        <v>4</v>
      </c>
      <c r="I40" s="34">
        <v>0.46004332174354856</v>
      </c>
    </row>
    <row r="41" spans="1:9" x14ac:dyDescent="0.3">
      <c r="A41" s="34">
        <v>40</v>
      </c>
      <c r="B41" s="34">
        <v>953</v>
      </c>
      <c r="C41" s="34" t="s">
        <v>7</v>
      </c>
      <c r="D41" s="34">
        <v>24</v>
      </c>
      <c r="E41" s="34">
        <v>4113</v>
      </c>
      <c r="F41" s="34">
        <v>28</v>
      </c>
      <c r="G41" s="34" t="s">
        <v>6</v>
      </c>
      <c r="H41" s="34" t="s">
        <v>9</v>
      </c>
      <c r="I41" s="34">
        <v>0.46338905060150959</v>
      </c>
    </row>
    <row r="42" spans="1:9" x14ac:dyDescent="0.3">
      <c r="A42" s="34">
        <v>41</v>
      </c>
      <c r="B42" s="34">
        <v>772</v>
      </c>
      <c r="C42" s="34" t="s">
        <v>7</v>
      </c>
      <c r="D42" s="34">
        <v>36</v>
      </c>
      <c r="E42" s="34">
        <v>8065</v>
      </c>
      <c r="F42" s="34">
        <v>25</v>
      </c>
      <c r="G42" s="34" t="s">
        <v>6</v>
      </c>
      <c r="H42" s="34" t="s">
        <v>4</v>
      </c>
      <c r="I42" s="34">
        <v>0.47378148533183839</v>
      </c>
    </row>
    <row r="43" spans="1:9" x14ac:dyDescent="0.3">
      <c r="A43" s="34">
        <v>42</v>
      </c>
      <c r="B43" s="34">
        <v>173</v>
      </c>
      <c r="C43" s="34" t="s">
        <v>7</v>
      </c>
      <c r="D43" s="34">
        <v>24</v>
      </c>
      <c r="E43" s="34">
        <v>2064</v>
      </c>
      <c r="F43" s="34">
        <v>34</v>
      </c>
      <c r="G43" s="34" t="s">
        <v>6</v>
      </c>
      <c r="H43" s="34" t="s">
        <v>4</v>
      </c>
      <c r="I43" s="34">
        <v>0.47874503647068645</v>
      </c>
    </row>
    <row r="44" spans="1:9" x14ac:dyDescent="0.3">
      <c r="A44" s="34">
        <v>43</v>
      </c>
      <c r="B44" s="34">
        <v>832</v>
      </c>
      <c r="C44" s="34" t="s">
        <v>7</v>
      </c>
      <c r="D44" s="34">
        <v>18</v>
      </c>
      <c r="E44" s="34">
        <v>1216</v>
      </c>
      <c r="F44" s="34">
        <v>23</v>
      </c>
      <c r="G44" s="34" t="s">
        <v>6</v>
      </c>
      <c r="H44" s="34" t="s">
        <v>9</v>
      </c>
      <c r="I44" s="34">
        <v>0.47911914863105443</v>
      </c>
    </row>
    <row r="45" spans="1:9" x14ac:dyDescent="0.3">
      <c r="A45" s="34">
        <v>44</v>
      </c>
      <c r="B45" s="34">
        <v>447</v>
      </c>
      <c r="C45" s="34" t="s">
        <v>7</v>
      </c>
      <c r="D45" s="34">
        <v>36</v>
      </c>
      <c r="E45" s="34">
        <v>1842</v>
      </c>
      <c r="F45" s="34">
        <v>34</v>
      </c>
      <c r="G45" s="34" t="s">
        <v>6</v>
      </c>
      <c r="H45" s="34" t="s">
        <v>4</v>
      </c>
      <c r="I45" s="34">
        <v>0.48047101666388103</v>
      </c>
    </row>
    <row r="46" spans="1:9" x14ac:dyDescent="0.3">
      <c r="A46" s="34">
        <v>45</v>
      </c>
      <c r="B46" s="34">
        <v>596</v>
      </c>
      <c r="C46" s="34" t="s">
        <v>7</v>
      </c>
      <c r="D46" s="34">
        <v>6</v>
      </c>
      <c r="E46" s="34">
        <v>931</v>
      </c>
      <c r="F46" s="34">
        <v>32</v>
      </c>
      <c r="G46" s="34" t="s">
        <v>6</v>
      </c>
      <c r="H46" s="34" t="s">
        <v>4</v>
      </c>
      <c r="I46" s="34">
        <v>0.48219558304791088</v>
      </c>
    </row>
    <row r="47" spans="1:9" x14ac:dyDescent="0.3">
      <c r="A47" s="34">
        <v>46</v>
      </c>
      <c r="B47" s="34">
        <v>586</v>
      </c>
      <c r="C47" s="34" t="s">
        <v>7</v>
      </c>
      <c r="D47" s="34">
        <v>18</v>
      </c>
      <c r="E47" s="34">
        <v>2039</v>
      </c>
      <c r="F47" s="34">
        <v>20</v>
      </c>
      <c r="G47" s="34" t="s">
        <v>6</v>
      </c>
      <c r="H47" s="34" t="s">
        <v>9</v>
      </c>
      <c r="I47" s="34">
        <v>0.48631048783733577</v>
      </c>
    </row>
    <row r="48" spans="1:9" x14ac:dyDescent="0.3">
      <c r="A48" s="34">
        <v>47</v>
      </c>
      <c r="B48" s="34">
        <v>121</v>
      </c>
      <c r="C48" s="34" t="s">
        <v>7</v>
      </c>
      <c r="D48" s="34">
        <v>21</v>
      </c>
      <c r="E48" s="34">
        <v>1835</v>
      </c>
      <c r="F48" s="34">
        <v>25</v>
      </c>
      <c r="G48" s="34" t="s">
        <v>6</v>
      </c>
      <c r="H48" s="34" t="s">
        <v>4</v>
      </c>
      <c r="I48" s="34">
        <v>0.49503326264415526</v>
      </c>
    </row>
    <row r="49" spans="1:9" x14ac:dyDescent="0.3">
      <c r="A49" s="34">
        <v>48</v>
      </c>
      <c r="B49" s="34">
        <v>791</v>
      </c>
      <c r="C49" s="34" t="s">
        <v>7</v>
      </c>
      <c r="D49" s="34">
        <v>21</v>
      </c>
      <c r="E49" s="34">
        <v>1188</v>
      </c>
      <c r="F49" s="34">
        <v>39</v>
      </c>
      <c r="G49" s="34" t="s">
        <v>6</v>
      </c>
      <c r="H49" s="34" t="s">
        <v>4</v>
      </c>
      <c r="I49" s="34">
        <v>0.51155440927665441</v>
      </c>
    </row>
    <row r="50" spans="1:9" x14ac:dyDescent="0.3">
      <c r="A50" s="34">
        <v>49</v>
      </c>
      <c r="B50" s="34">
        <v>557</v>
      </c>
      <c r="C50" s="34" t="s">
        <v>7</v>
      </c>
      <c r="D50" s="34">
        <v>18</v>
      </c>
      <c r="E50" s="34">
        <v>2278</v>
      </c>
      <c r="F50" s="34">
        <v>28</v>
      </c>
      <c r="G50" s="34" t="s">
        <v>6</v>
      </c>
      <c r="H50" s="34" t="s">
        <v>4</v>
      </c>
      <c r="I50" s="34">
        <v>0.51293861439438049</v>
      </c>
    </row>
    <row r="51" spans="1:9" x14ac:dyDescent="0.3">
      <c r="A51" s="34">
        <v>50</v>
      </c>
      <c r="B51" s="34">
        <v>615</v>
      </c>
      <c r="C51" s="34" t="s">
        <v>7</v>
      </c>
      <c r="D51" s="34">
        <v>18</v>
      </c>
      <c r="E51" s="34">
        <v>1808</v>
      </c>
      <c r="F51" s="34">
        <v>22</v>
      </c>
      <c r="G51" s="34" t="s">
        <v>6</v>
      </c>
      <c r="H51" s="34" t="s">
        <v>4</v>
      </c>
      <c r="I51" s="34">
        <v>0.52652074070668053</v>
      </c>
    </row>
    <row r="52" spans="1:9" x14ac:dyDescent="0.3">
      <c r="A52" s="34">
        <v>51</v>
      </c>
      <c r="B52" s="34">
        <v>472</v>
      </c>
      <c r="C52" s="34" t="s">
        <v>7</v>
      </c>
      <c r="D52" s="34">
        <v>6</v>
      </c>
      <c r="E52" s="34">
        <v>448</v>
      </c>
      <c r="F52" s="34">
        <v>23</v>
      </c>
      <c r="G52" s="34" t="s">
        <v>6</v>
      </c>
      <c r="H52" s="34" t="s">
        <v>4</v>
      </c>
      <c r="I52" s="34">
        <v>0.53710181061774465</v>
      </c>
    </row>
    <row r="53" spans="1:9" x14ac:dyDescent="0.3">
      <c r="A53" s="34">
        <v>52</v>
      </c>
      <c r="B53" s="34">
        <v>114</v>
      </c>
      <c r="C53" s="34" t="s">
        <v>7</v>
      </c>
      <c r="D53" s="34">
        <v>36</v>
      </c>
      <c r="E53" s="34">
        <v>7855</v>
      </c>
      <c r="F53" s="34">
        <v>25</v>
      </c>
      <c r="G53" s="34" t="s">
        <v>6</v>
      </c>
      <c r="H53" s="34" t="s">
        <v>4</v>
      </c>
      <c r="I53" s="34">
        <v>0.54550125319947529</v>
      </c>
    </row>
    <row r="54" spans="1:9" x14ac:dyDescent="0.3">
      <c r="A54" s="34">
        <v>53</v>
      </c>
      <c r="B54" s="34">
        <v>737</v>
      </c>
      <c r="C54" s="34" t="s">
        <v>7</v>
      </c>
      <c r="D54" s="34">
        <v>24</v>
      </c>
      <c r="E54" s="34">
        <v>11560</v>
      </c>
      <c r="F54" s="34">
        <v>23</v>
      </c>
      <c r="G54" s="34" t="s">
        <v>6</v>
      </c>
      <c r="H54" s="34" t="s">
        <v>9</v>
      </c>
      <c r="I54" s="34">
        <v>0.5583514877440684</v>
      </c>
    </row>
    <row r="55" spans="1:9" x14ac:dyDescent="0.3">
      <c r="A55" s="34">
        <v>54</v>
      </c>
      <c r="B55" s="34">
        <v>954</v>
      </c>
      <c r="C55" s="34" t="s">
        <v>7</v>
      </c>
      <c r="D55" s="34">
        <v>36</v>
      </c>
      <c r="E55" s="34">
        <v>10974</v>
      </c>
      <c r="F55" s="34">
        <v>26</v>
      </c>
      <c r="G55" s="34" t="s">
        <v>6</v>
      </c>
      <c r="H55" s="34" t="s">
        <v>4</v>
      </c>
      <c r="I55" s="34">
        <v>0.55911032280285067</v>
      </c>
    </row>
    <row r="56" spans="1:9" x14ac:dyDescent="0.3">
      <c r="A56" s="34">
        <v>55</v>
      </c>
      <c r="B56" s="34">
        <v>728</v>
      </c>
      <c r="C56" s="34" t="s">
        <v>7</v>
      </c>
      <c r="D56" s="34">
        <v>18</v>
      </c>
      <c r="E56" s="34">
        <v>1882</v>
      </c>
      <c r="F56" s="34">
        <v>25</v>
      </c>
      <c r="G56" s="34" t="s">
        <v>6</v>
      </c>
      <c r="H56" s="34" t="s">
        <v>9</v>
      </c>
      <c r="I56" s="34">
        <v>0.57527845266141775</v>
      </c>
    </row>
    <row r="57" spans="1:9" x14ac:dyDescent="0.3">
      <c r="A57" s="34">
        <v>56</v>
      </c>
      <c r="B57" s="34">
        <v>635</v>
      </c>
      <c r="C57" s="34" t="s">
        <v>7</v>
      </c>
      <c r="D57" s="34">
        <v>24</v>
      </c>
      <c r="E57" s="34">
        <v>1355</v>
      </c>
      <c r="F57" s="34">
        <v>25</v>
      </c>
      <c r="G57" s="34" t="s">
        <v>6</v>
      </c>
      <c r="H57" s="34" t="s">
        <v>4</v>
      </c>
      <c r="I57" s="34">
        <v>0.57843702874828296</v>
      </c>
    </row>
    <row r="58" spans="1:9" x14ac:dyDescent="0.3">
      <c r="A58" s="34">
        <v>57</v>
      </c>
      <c r="B58" s="34">
        <v>156</v>
      </c>
      <c r="C58" s="34" t="s">
        <v>7</v>
      </c>
      <c r="D58" s="34">
        <v>12</v>
      </c>
      <c r="E58" s="34">
        <v>1282</v>
      </c>
      <c r="F58" s="34">
        <v>20</v>
      </c>
      <c r="G58" s="34" t="s">
        <v>6</v>
      </c>
      <c r="H58" s="34" t="s">
        <v>9</v>
      </c>
      <c r="I58" s="34">
        <v>0.58270491451183359</v>
      </c>
    </row>
    <row r="59" spans="1:9" x14ac:dyDescent="0.3">
      <c r="A59" s="34">
        <v>58</v>
      </c>
      <c r="B59" s="34">
        <v>338</v>
      </c>
      <c r="C59" s="34" t="s">
        <v>7</v>
      </c>
      <c r="D59" s="34">
        <v>15</v>
      </c>
      <c r="E59" s="34">
        <v>1275</v>
      </c>
      <c r="F59" s="34">
        <v>24</v>
      </c>
      <c r="G59" s="34" t="s">
        <v>6</v>
      </c>
      <c r="H59" s="34" t="s">
        <v>9</v>
      </c>
      <c r="I59" s="34">
        <v>0.58667396704438846</v>
      </c>
    </row>
    <row r="60" spans="1:9" x14ac:dyDescent="0.3">
      <c r="A60" s="34">
        <v>59</v>
      </c>
      <c r="B60" s="34">
        <v>352</v>
      </c>
      <c r="C60" s="34" t="s">
        <v>7</v>
      </c>
      <c r="D60" s="34">
        <v>9</v>
      </c>
      <c r="E60" s="34">
        <v>959</v>
      </c>
      <c r="F60" s="34">
        <v>29</v>
      </c>
      <c r="G60" s="34" t="s">
        <v>6</v>
      </c>
      <c r="H60" s="34" t="s">
        <v>4</v>
      </c>
      <c r="I60" s="34">
        <v>0.62415527831526163</v>
      </c>
    </row>
    <row r="61" spans="1:9" x14ac:dyDescent="0.3">
      <c r="A61" s="34">
        <v>60</v>
      </c>
      <c r="B61" s="34">
        <v>445</v>
      </c>
      <c r="C61" s="34" t="s">
        <v>7</v>
      </c>
      <c r="D61" s="34">
        <v>48</v>
      </c>
      <c r="E61" s="34">
        <v>5096</v>
      </c>
      <c r="F61" s="34">
        <v>30</v>
      </c>
      <c r="G61" s="34" t="s">
        <v>6</v>
      </c>
      <c r="H61" s="34" t="s">
        <v>4</v>
      </c>
      <c r="I61" s="34">
        <v>0.62670615221052262</v>
      </c>
    </row>
    <row r="62" spans="1:9" x14ac:dyDescent="0.3">
      <c r="A62" s="34">
        <v>61</v>
      </c>
      <c r="B62" s="34">
        <v>648</v>
      </c>
      <c r="C62" s="34" t="s">
        <v>7</v>
      </c>
      <c r="D62" s="34">
        <v>12</v>
      </c>
      <c r="E62" s="34">
        <v>1386</v>
      </c>
      <c r="F62" s="34">
        <v>26</v>
      </c>
      <c r="G62" s="34" t="s">
        <v>6</v>
      </c>
      <c r="H62" s="34" t="s">
        <v>4</v>
      </c>
      <c r="I62" s="34">
        <v>0.63519697322976798</v>
      </c>
    </row>
    <row r="63" spans="1:9" x14ac:dyDescent="0.3">
      <c r="A63" s="34">
        <v>62</v>
      </c>
      <c r="B63" s="34">
        <v>505</v>
      </c>
      <c r="C63" s="34" t="s">
        <v>7</v>
      </c>
      <c r="D63" s="34">
        <v>24</v>
      </c>
      <c r="E63" s="34">
        <v>1207</v>
      </c>
      <c r="F63" s="34">
        <v>24</v>
      </c>
      <c r="G63" s="34" t="s">
        <v>6</v>
      </c>
      <c r="H63" s="34" t="s">
        <v>9</v>
      </c>
      <c r="I63" s="34">
        <v>0.63889543814598693</v>
      </c>
    </row>
    <row r="64" spans="1:9" x14ac:dyDescent="0.3">
      <c r="A64" s="34">
        <v>63</v>
      </c>
      <c r="B64" s="34">
        <v>198</v>
      </c>
      <c r="C64" s="34" t="s">
        <v>7</v>
      </c>
      <c r="D64" s="34">
        <v>12</v>
      </c>
      <c r="E64" s="34">
        <v>951</v>
      </c>
      <c r="F64" s="34">
        <v>27</v>
      </c>
      <c r="G64" s="34" t="s">
        <v>6</v>
      </c>
      <c r="H64" s="34" t="s">
        <v>9</v>
      </c>
      <c r="I64" s="34">
        <v>0.64731465280185252</v>
      </c>
    </row>
    <row r="65" spans="1:9" x14ac:dyDescent="0.3">
      <c r="A65" s="34">
        <v>64</v>
      </c>
      <c r="B65" s="34">
        <v>296</v>
      </c>
      <c r="C65" s="34" t="s">
        <v>7</v>
      </c>
      <c r="D65" s="34">
        <v>48</v>
      </c>
      <c r="E65" s="34">
        <v>9960</v>
      </c>
      <c r="F65" s="34">
        <v>26</v>
      </c>
      <c r="G65" s="34" t="s">
        <v>6</v>
      </c>
      <c r="H65" s="34" t="s">
        <v>4</v>
      </c>
      <c r="I65" s="34">
        <v>0.68004223956164389</v>
      </c>
    </row>
    <row r="66" spans="1:9" x14ac:dyDescent="0.3">
      <c r="A66" s="34">
        <v>65</v>
      </c>
      <c r="B66" s="34">
        <v>241</v>
      </c>
      <c r="C66" s="34" t="s">
        <v>7</v>
      </c>
      <c r="D66" s="34">
        <v>24</v>
      </c>
      <c r="E66" s="34">
        <v>915</v>
      </c>
      <c r="F66" s="34">
        <v>29</v>
      </c>
      <c r="G66" s="34" t="s">
        <v>6</v>
      </c>
      <c r="H66" s="34" t="s">
        <v>4</v>
      </c>
      <c r="I66" s="34">
        <v>0.68019970027862986</v>
      </c>
    </row>
    <row r="67" spans="1:9" x14ac:dyDescent="0.3">
      <c r="A67" s="34">
        <v>66</v>
      </c>
      <c r="B67" s="34">
        <v>333</v>
      </c>
      <c r="C67" s="34" t="s">
        <v>7</v>
      </c>
      <c r="D67" s="34">
        <v>60</v>
      </c>
      <c r="E67" s="34">
        <v>7408</v>
      </c>
      <c r="F67" s="34">
        <v>24</v>
      </c>
      <c r="G67" s="34" t="s">
        <v>6</v>
      </c>
      <c r="H67" s="34" t="s">
        <v>4</v>
      </c>
      <c r="I67" s="34">
        <v>0.69050025520363412</v>
      </c>
    </row>
    <row r="68" spans="1:9" x14ac:dyDescent="0.3">
      <c r="A68" s="34">
        <v>67</v>
      </c>
      <c r="B68" s="34">
        <v>334</v>
      </c>
      <c r="C68" s="34" t="s">
        <v>7</v>
      </c>
      <c r="D68" s="34">
        <v>48</v>
      </c>
      <c r="E68" s="34">
        <v>11590</v>
      </c>
      <c r="F68" s="34">
        <v>24</v>
      </c>
      <c r="G68" s="34" t="s">
        <v>6</v>
      </c>
      <c r="H68" s="34" t="s">
        <v>9</v>
      </c>
      <c r="I68" s="34">
        <v>0.701152478131289</v>
      </c>
    </row>
    <row r="69" spans="1:9" x14ac:dyDescent="0.3">
      <c r="A69" s="34">
        <v>68</v>
      </c>
      <c r="B69" s="34">
        <v>309</v>
      </c>
      <c r="C69" s="34" t="s">
        <v>7</v>
      </c>
      <c r="D69" s="34">
        <v>8</v>
      </c>
      <c r="E69" s="34">
        <v>1237</v>
      </c>
      <c r="F69" s="34">
        <v>24</v>
      </c>
      <c r="G69" s="34" t="s">
        <v>6</v>
      </c>
      <c r="H69" s="34" t="s">
        <v>4</v>
      </c>
      <c r="I69" s="34">
        <v>0.70187547224892399</v>
      </c>
    </row>
    <row r="70" spans="1:9" x14ac:dyDescent="0.3">
      <c r="A70" s="34">
        <v>69</v>
      </c>
      <c r="B70" s="34">
        <v>784</v>
      </c>
      <c r="C70" s="34" t="s">
        <v>7</v>
      </c>
      <c r="D70" s="34">
        <v>12</v>
      </c>
      <c r="E70" s="34">
        <v>836</v>
      </c>
      <c r="F70" s="34">
        <v>23</v>
      </c>
      <c r="G70" s="34" t="s">
        <v>6</v>
      </c>
      <c r="H70" s="34" t="s">
        <v>4</v>
      </c>
      <c r="I70" s="34">
        <v>0.70528170984816119</v>
      </c>
    </row>
    <row r="71" spans="1:9" x14ac:dyDescent="0.3">
      <c r="A71" s="34">
        <v>70</v>
      </c>
      <c r="B71" s="34">
        <v>11</v>
      </c>
      <c r="C71" s="34" t="s">
        <v>7</v>
      </c>
      <c r="D71" s="34">
        <v>12</v>
      </c>
      <c r="E71" s="34">
        <v>1295</v>
      </c>
      <c r="F71" s="34">
        <v>25</v>
      </c>
      <c r="G71" s="34" t="s">
        <v>6</v>
      </c>
      <c r="H71" s="34" t="s">
        <v>9</v>
      </c>
      <c r="I71" s="34">
        <v>0.71073965810826856</v>
      </c>
    </row>
    <row r="72" spans="1:9" x14ac:dyDescent="0.3">
      <c r="A72" s="34">
        <v>71</v>
      </c>
      <c r="B72" s="34">
        <v>612</v>
      </c>
      <c r="C72" s="34" t="s">
        <v>7</v>
      </c>
      <c r="D72" s="34">
        <v>10</v>
      </c>
      <c r="E72" s="34">
        <v>1240</v>
      </c>
      <c r="F72" s="34">
        <v>48</v>
      </c>
      <c r="G72" s="34" t="s">
        <v>6</v>
      </c>
      <c r="H72" s="34" t="s">
        <v>8</v>
      </c>
      <c r="I72" s="34">
        <v>0.72201915236436542</v>
      </c>
    </row>
    <row r="73" spans="1:9" x14ac:dyDescent="0.3">
      <c r="A73" s="34">
        <v>72</v>
      </c>
      <c r="B73" s="34">
        <v>16</v>
      </c>
      <c r="C73" s="34" t="s">
        <v>7</v>
      </c>
      <c r="D73" s="34">
        <v>24</v>
      </c>
      <c r="E73" s="34">
        <v>1282</v>
      </c>
      <c r="F73" s="34">
        <v>32</v>
      </c>
      <c r="G73" s="34" t="s">
        <v>6</v>
      </c>
      <c r="H73" s="34" t="s">
        <v>4</v>
      </c>
      <c r="I73" s="34">
        <v>0.72811616753972996</v>
      </c>
    </row>
    <row r="74" spans="1:9" x14ac:dyDescent="0.3">
      <c r="A74" s="34">
        <v>73</v>
      </c>
      <c r="B74" s="34">
        <v>886</v>
      </c>
      <c r="C74" s="34" t="s">
        <v>7</v>
      </c>
      <c r="D74" s="34">
        <v>12</v>
      </c>
      <c r="E74" s="34">
        <v>795</v>
      </c>
      <c r="F74" s="34">
        <v>53</v>
      </c>
      <c r="G74" s="34" t="s">
        <v>6</v>
      </c>
      <c r="H74" s="34" t="s">
        <v>4</v>
      </c>
      <c r="I74" s="34">
        <v>0.73507430967310805</v>
      </c>
    </row>
    <row r="75" spans="1:9" x14ac:dyDescent="0.3">
      <c r="A75" s="34">
        <v>74</v>
      </c>
      <c r="B75" s="34">
        <v>712</v>
      </c>
      <c r="C75" s="34" t="s">
        <v>7</v>
      </c>
      <c r="D75" s="34">
        <v>6</v>
      </c>
      <c r="E75" s="34">
        <v>1198</v>
      </c>
      <c r="F75" s="34">
        <v>35</v>
      </c>
      <c r="G75" s="34" t="s">
        <v>6</v>
      </c>
      <c r="H75" s="34" t="s">
        <v>8</v>
      </c>
      <c r="I75" s="34">
        <v>0.73713527711649696</v>
      </c>
    </row>
    <row r="76" spans="1:9" x14ac:dyDescent="0.3">
      <c r="A76" s="34">
        <v>75</v>
      </c>
      <c r="B76" s="34">
        <v>634</v>
      </c>
      <c r="C76" s="34" t="s">
        <v>7</v>
      </c>
      <c r="D76" s="34">
        <v>9</v>
      </c>
      <c r="E76" s="34">
        <v>1980</v>
      </c>
      <c r="F76" s="34">
        <v>19</v>
      </c>
      <c r="G76" s="34" t="s">
        <v>6</v>
      </c>
      <c r="H76" s="34" t="s">
        <v>9</v>
      </c>
      <c r="I76" s="34">
        <v>0.74564531538612766</v>
      </c>
    </row>
    <row r="77" spans="1:9" x14ac:dyDescent="0.3">
      <c r="A77" s="34">
        <v>76</v>
      </c>
      <c r="B77" s="34">
        <v>2</v>
      </c>
      <c r="C77" s="34" t="s">
        <v>7</v>
      </c>
      <c r="D77" s="34">
        <v>48</v>
      </c>
      <c r="E77" s="34">
        <v>5951</v>
      </c>
      <c r="F77" s="34">
        <v>22</v>
      </c>
      <c r="G77" s="34" t="s">
        <v>6</v>
      </c>
      <c r="H77" s="34" t="s">
        <v>4</v>
      </c>
      <c r="I77" s="34">
        <v>0.74728847601999249</v>
      </c>
    </row>
    <row r="78" spans="1:9" x14ac:dyDescent="0.3">
      <c r="A78" s="34">
        <v>77</v>
      </c>
      <c r="B78" s="34">
        <v>501</v>
      </c>
      <c r="C78" s="34" t="s">
        <v>7</v>
      </c>
      <c r="D78" s="34">
        <v>24</v>
      </c>
      <c r="E78" s="34">
        <v>3123</v>
      </c>
      <c r="F78" s="34">
        <v>27</v>
      </c>
      <c r="G78" s="34" t="s">
        <v>6</v>
      </c>
      <c r="H78" s="34" t="s">
        <v>4</v>
      </c>
      <c r="I78" s="34">
        <v>0.75124975092275226</v>
      </c>
    </row>
    <row r="79" spans="1:9" x14ac:dyDescent="0.3">
      <c r="A79" s="34">
        <v>78</v>
      </c>
      <c r="B79" s="34">
        <v>81</v>
      </c>
      <c r="C79" s="34" t="s">
        <v>7</v>
      </c>
      <c r="D79" s="34">
        <v>24</v>
      </c>
      <c r="E79" s="34">
        <v>5943</v>
      </c>
      <c r="F79" s="34">
        <v>44</v>
      </c>
      <c r="G79" s="34" t="s">
        <v>6</v>
      </c>
      <c r="H79" s="34" t="s">
        <v>4</v>
      </c>
      <c r="I79" s="34">
        <v>0.75366657872278231</v>
      </c>
    </row>
    <row r="80" spans="1:9" x14ac:dyDescent="0.3">
      <c r="A80" s="34">
        <v>79</v>
      </c>
      <c r="B80" s="34">
        <v>467</v>
      </c>
      <c r="C80" s="34" t="s">
        <v>7</v>
      </c>
      <c r="D80" s="34">
        <v>24</v>
      </c>
      <c r="E80" s="34">
        <v>1659</v>
      </c>
      <c r="F80" s="34">
        <v>29</v>
      </c>
      <c r="G80" s="34" t="s">
        <v>6</v>
      </c>
      <c r="H80" s="34" t="s">
        <v>9</v>
      </c>
      <c r="I80" s="34">
        <v>0.76155665182815901</v>
      </c>
    </row>
    <row r="81" spans="1:9" x14ac:dyDescent="0.3">
      <c r="A81" s="34">
        <v>80</v>
      </c>
      <c r="B81" s="34">
        <v>619</v>
      </c>
      <c r="C81" s="34" t="s">
        <v>7</v>
      </c>
      <c r="D81" s="34">
        <v>30</v>
      </c>
      <c r="E81" s="34">
        <v>3441</v>
      </c>
      <c r="F81" s="34">
        <v>21</v>
      </c>
      <c r="G81" s="34" t="s">
        <v>6</v>
      </c>
      <c r="H81" s="34" t="s">
        <v>9</v>
      </c>
      <c r="I81" s="34">
        <v>0.76343934526717638</v>
      </c>
    </row>
    <row r="82" spans="1:9" x14ac:dyDescent="0.3">
      <c r="A82" s="34">
        <v>81</v>
      </c>
      <c r="B82" s="34">
        <v>932</v>
      </c>
      <c r="C82" s="34" t="s">
        <v>7</v>
      </c>
      <c r="D82" s="34">
        <v>9</v>
      </c>
      <c r="E82" s="34">
        <v>1670</v>
      </c>
      <c r="F82" s="34">
        <v>22</v>
      </c>
      <c r="G82" s="34" t="s">
        <v>6</v>
      </c>
      <c r="H82" s="34" t="s">
        <v>4</v>
      </c>
      <c r="I82" s="34">
        <v>0.7635685259292353</v>
      </c>
    </row>
    <row r="83" spans="1:9" x14ac:dyDescent="0.3">
      <c r="A83" s="34">
        <v>82</v>
      </c>
      <c r="B83" s="34">
        <v>492</v>
      </c>
      <c r="C83" s="34" t="s">
        <v>7</v>
      </c>
      <c r="D83" s="34">
        <v>27</v>
      </c>
      <c r="E83" s="34">
        <v>8318</v>
      </c>
      <c r="F83" s="34">
        <v>42</v>
      </c>
      <c r="G83" s="34" t="s">
        <v>6</v>
      </c>
      <c r="H83" s="34" t="s">
        <v>8</v>
      </c>
      <c r="I83" s="34">
        <v>0.78021882474490434</v>
      </c>
    </row>
    <row r="84" spans="1:9" x14ac:dyDescent="0.3">
      <c r="A84" s="34">
        <v>83</v>
      </c>
      <c r="B84" s="34">
        <v>440</v>
      </c>
      <c r="C84" s="34" t="s">
        <v>7</v>
      </c>
      <c r="D84" s="34">
        <v>12</v>
      </c>
      <c r="E84" s="34">
        <v>609</v>
      </c>
      <c r="F84" s="34">
        <v>26</v>
      </c>
      <c r="G84" s="34" t="s">
        <v>6</v>
      </c>
      <c r="H84" s="34" t="s">
        <v>4</v>
      </c>
      <c r="I84" s="34">
        <v>0.78546058361640414</v>
      </c>
    </row>
    <row r="85" spans="1:9" x14ac:dyDescent="0.3">
      <c r="A85" s="34">
        <v>84</v>
      </c>
      <c r="B85" s="34">
        <v>597</v>
      </c>
      <c r="C85" s="34" t="s">
        <v>7</v>
      </c>
      <c r="D85" s="34">
        <v>24</v>
      </c>
      <c r="E85" s="34">
        <v>1442</v>
      </c>
      <c r="F85" s="34">
        <v>23</v>
      </c>
      <c r="G85" s="34" t="s">
        <v>6</v>
      </c>
      <c r="H85" s="34" t="s">
        <v>9</v>
      </c>
      <c r="I85" s="34">
        <v>0.79275981511039451</v>
      </c>
    </row>
    <row r="86" spans="1:9" x14ac:dyDescent="0.3">
      <c r="A86" s="34">
        <v>85</v>
      </c>
      <c r="B86" s="34">
        <v>752</v>
      </c>
      <c r="C86" s="34" t="s">
        <v>7</v>
      </c>
      <c r="D86" s="34">
        <v>18</v>
      </c>
      <c r="E86" s="34">
        <v>976</v>
      </c>
      <c r="F86" s="34">
        <v>23</v>
      </c>
      <c r="G86" s="34" t="s">
        <v>6</v>
      </c>
      <c r="H86" s="34" t="s">
        <v>4</v>
      </c>
      <c r="I86" s="34">
        <v>0.79766440632925506</v>
      </c>
    </row>
    <row r="87" spans="1:9" x14ac:dyDescent="0.3">
      <c r="A87" s="34">
        <v>86</v>
      </c>
      <c r="B87" s="34">
        <v>740</v>
      </c>
      <c r="C87" s="34" t="s">
        <v>7</v>
      </c>
      <c r="D87" s="34">
        <v>30</v>
      </c>
      <c r="E87" s="34">
        <v>4280</v>
      </c>
      <c r="F87" s="34">
        <v>26</v>
      </c>
      <c r="G87" s="34" t="s">
        <v>6</v>
      </c>
      <c r="H87" s="34" t="s">
        <v>9</v>
      </c>
      <c r="I87" s="34">
        <v>0.80146259251832275</v>
      </c>
    </row>
    <row r="88" spans="1:9" x14ac:dyDescent="0.3">
      <c r="A88" s="34">
        <v>87</v>
      </c>
      <c r="B88" s="34">
        <v>549</v>
      </c>
      <c r="C88" s="34" t="s">
        <v>7</v>
      </c>
      <c r="D88" s="34">
        <v>12</v>
      </c>
      <c r="E88" s="34">
        <v>626</v>
      </c>
      <c r="F88" s="34">
        <v>24</v>
      </c>
      <c r="G88" s="34" t="s">
        <v>6</v>
      </c>
      <c r="H88" s="34" t="s">
        <v>4</v>
      </c>
      <c r="I88" s="34">
        <v>0.80611323137528601</v>
      </c>
    </row>
    <row r="89" spans="1:9" x14ac:dyDescent="0.3">
      <c r="A89" s="34">
        <v>88</v>
      </c>
      <c r="B89" s="34">
        <v>570</v>
      </c>
      <c r="C89" s="34" t="s">
        <v>7</v>
      </c>
      <c r="D89" s="34">
        <v>48</v>
      </c>
      <c r="E89" s="34">
        <v>6758</v>
      </c>
      <c r="F89" s="34">
        <v>31</v>
      </c>
      <c r="G89" s="34" t="s">
        <v>6</v>
      </c>
      <c r="H89" s="34" t="s">
        <v>4</v>
      </c>
      <c r="I89" s="34">
        <v>0.8132862520896007</v>
      </c>
    </row>
    <row r="90" spans="1:9" x14ac:dyDescent="0.3">
      <c r="A90" s="34">
        <v>89</v>
      </c>
      <c r="B90" s="34">
        <v>602</v>
      </c>
      <c r="C90" s="34" t="s">
        <v>7</v>
      </c>
      <c r="D90" s="34">
        <v>9</v>
      </c>
      <c r="E90" s="34">
        <v>918</v>
      </c>
      <c r="F90" s="34">
        <v>30</v>
      </c>
      <c r="G90" s="34" t="s">
        <v>6</v>
      </c>
      <c r="H90" s="34" t="s">
        <v>4</v>
      </c>
      <c r="I90" s="34">
        <v>0.81700471117739604</v>
      </c>
    </row>
    <row r="91" spans="1:9" x14ac:dyDescent="0.3">
      <c r="A91" s="34">
        <v>90</v>
      </c>
      <c r="B91" s="34">
        <v>167</v>
      </c>
      <c r="C91" s="34" t="s">
        <v>7</v>
      </c>
      <c r="D91" s="34">
        <v>18</v>
      </c>
      <c r="E91" s="34">
        <v>1131</v>
      </c>
      <c r="F91" s="34">
        <v>33</v>
      </c>
      <c r="G91" s="34" t="s">
        <v>6</v>
      </c>
      <c r="H91" s="34" t="s">
        <v>4</v>
      </c>
      <c r="I91" s="34">
        <v>0.83085397659542748</v>
      </c>
    </row>
    <row r="92" spans="1:9" x14ac:dyDescent="0.3">
      <c r="A92" s="34">
        <v>91</v>
      </c>
      <c r="B92" s="34">
        <v>19</v>
      </c>
      <c r="C92" s="34" t="s">
        <v>7</v>
      </c>
      <c r="D92" s="34">
        <v>24</v>
      </c>
      <c r="E92" s="34">
        <v>12579</v>
      </c>
      <c r="F92" s="34">
        <v>44</v>
      </c>
      <c r="G92" s="34" t="s">
        <v>6</v>
      </c>
      <c r="H92" s="34" t="s">
        <v>8</v>
      </c>
      <c r="I92" s="34">
        <v>0.83929157440795654</v>
      </c>
    </row>
    <row r="93" spans="1:9" x14ac:dyDescent="0.3">
      <c r="A93" s="34">
        <v>92</v>
      </c>
      <c r="B93" s="34">
        <v>835</v>
      </c>
      <c r="C93" s="34" t="s">
        <v>7</v>
      </c>
      <c r="D93" s="34">
        <v>15</v>
      </c>
      <c r="E93" s="34">
        <v>2327</v>
      </c>
      <c r="F93" s="34">
        <v>25</v>
      </c>
      <c r="G93" s="34" t="s">
        <v>6</v>
      </c>
      <c r="H93" s="34" t="s">
        <v>4</v>
      </c>
      <c r="I93" s="34">
        <v>0.84499307395074974</v>
      </c>
    </row>
    <row r="94" spans="1:9" x14ac:dyDescent="0.3">
      <c r="A94" s="34">
        <v>93</v>
      </c>
      <c r="B94" s="34">
        <v>641</v>
      </c>
      <c r="C94" s="34" t="s">
        <v>7</v>
      </c>
      <c r="D94" s="34">
        <v>18</v>
      </c>
      <c r="E94" s="34">
        <v>750</v>
      </c>
      <c r="F94" s="34">
        <v>27</v>
      </c>
      <c r="G94" s="34" t="s">
        <v>6</v>
      </c>
      <c r="H94" s="34" t="s">
        <v>4</v>
      </c>
      <c r="I94" s="34">
        <v>0.85672325864419407</v>
      </c>
    </row>
    <row r="95" spans="1:9" x14ac:dyDescent="0.3">
      <c r="A95" s="34">
        <v>94</v>
      </c>
      <c r="B95" s="34">
        <v>522</v>
      </c>
      <c r="C95" s="34" t="s">
        <v>7</v>
      </c>
      <c r="D95" s="34">
        <v>18</v>
      </c>
      <c r="E95" s="34">
        <v>3190</v>
      </c>
      <c r="F95" s="34">
        <v>24</v>
      </c>
      <c r="G95" s="34" t="s">
        <v>6</v>
      </c>
      <c r="H95" s="34" t="s">
        <v>4</v>
      </c>
      <c r="I95" s="34">
        <v>0.86229677154023376</v>
      </c>
    </row>
    <row r="96" spans="1:9" x14ac:dyDescent="0.3">
      <c r="A96" s="34">
        <v>95</v>
      </c>
      <c r="B96" s="34">
        <v>722</v>
      </c>
      <c r="C96" s="34" t="s">
        <v>7</v>
      </c>
      <c r="D96" s="34">
        <v>6</v>
      </c>
      <c r="E96" s="34">
        <v>433</v>
      </c>
      <c r="F96" s="34">
        <v>24</v>
      </c>
      <c r="G96" s="34" t="s">
        <v>6</v>
      </c>
      <c r="H96" s="34" t="s">
        <v>9</v>
      </c>
      <c r="I96" s="34">
        <v>0.88797002453178908</v>
      </c>
    </row>
    <row r="97" spans="1:9" x14ac:dyDescent="0.3">
      <c r="A97" s="34">
        <v>96</v>
      </c>
      <c r="B97" s="34">
        <v>518</v>
      </c>
      <c r="C97" s="34" t="s">
        <v>7</v>
      </c>
      <c r="D97" s="34">
        <v>36</v>
      </c>
      <c r="E97" s="34">
        <v>7127</v>
      </c>
      <c r="F97" s="34">
        <v>23</v>
      </c>
      <c r="G97" s="34" t="s">
        <v>6</v>
      </c>
      <c r="H97" s="34" t="s">
        <v>9</v>
      </c>
      <c r="I97" s="34">
        <v>0.89114439154986747</v>
      </c>
    </row>
    <row r="98" spans="1:9" x14ac:dyDescent="0.3">
      <c r="A98" s="34">
        <v>97</v>
      </c>
      <c r="B98" s="34">
        <v>810</v>
      </c>
      <c r="C98" s="34" t="s">
        <v>7</v>
      </c>
      <c r="D98" s="34">
        <v>15</v>
      </c>
      <c r="E98" s="34">
        <v>1778</v>
      </c>
      <c r="F98" s="34">
        <v>26</v>
      </c>
      <c r="G98" s="34" t="s">
        <v>6</v>
      </c>
      <c r="H98" s="34" t="s">
        <v>9</v>
      </c>
      <c r="I98" s="34">
        <v>0.90917185151403868</v>
      </c>
    </row>
    <row r="99" spans="1:9" x14ac:dyDescent="0.3">
      <c r="A99" s="34">
        <v>98</v>
      </c>
      <c r="B99" s="34">
        <v>611</v>
      </c>
      <c r="C99" s="34" t="s">
        <v>7</v>
      </c>
      <c r="D99" s="34">
        <v>12</v>
      </c>
      <c r="E99" s="34">
        <v>741</v>
      </c>
      <c r="F99" s="34">
        <v>22</v>
      </c>
      <c r="G99" s="34" t="s">
        <v>6</v>
      </c>
      <c r="H99" s="34" t="s">
        <v>4</v>
      </c>
      <c r="I99" s="34">
        <v>0.9137355572691872</v>
      </c>
    </row>
    <row r="100" spans="1:9" x14ac:dyDescent="0.3">
      <c r="A100" s="34">
        <v>99</v>
      </c>
      <c r="B100" s="34">
        <v>756</v>
      </c>
      <c r="C100" s="34" t="s">
        <v>7</v>
      </c>
      <c r="D100" s="34">
        <v>24</v>
      </c>
      <c r="E100" s="34">
        <v>1285</v>
      </c>
      <c r="F100" s="34">
        <v>32</v>
      </c>
      <c r="G100" s="34" t="s">
        <v>6</v>
      </c>
      <c r="H100" s="34" t="s">
        <v>9</v>
      </c>
      <c r="I100" s="34">
        <v>0.91396357318005927</v>
      </c>
    </row>
    <row r="101" spans="1:9" x14ac:dyDescent="0.3">
      <c r="A101" s="34">
        <v>100</v>
      </c>
      <c r="B101" s="34">
        <v>332</v>
      </c>
      <c r="C101" s="34" t="s">
        <v>7</v>
      </c>
      <c r="D101" s="34">
        <v>18</v>
      </c>
      <c r="E101" s="34">
        <v>1864</v>
      </c>
      <c r="F101" s="34">
        <v>30</v>
      </c>
      <c r="G101" s="34" t="s">
        <v>6</v>
      </c>
      <c r="H101" s="34" t="s">
        <v>4</v>
      </c>
      <c r="I101" s="34">
        <v>0.91876613810630192</v>
      </c>
    </row>
    <row r="102" spans="1:9" x14ac:dyDescent="0.3">
      <c r="A102" s="34">
        <v>101</v>
      </c>
      <c r="B102" s="34">
        <v>973</v>
      </c>
      <c r="C102" s="34" t="s">
        <v>7</v>
      </c>
      <c r="D102" s="34">
        <v>24</v>
      </c>
      <c r="E102" s="34">
        <v>1193</v>
      </c>
      <c r="F102" s="34">
        <v>29</v>
      </c>
      <c r="G102" s="34" t="s">
        <v>6</v>
      </c>
      <c r="H102" s="34" t="s">
        <v>9</v>
      </c>
      <c r="I102" s="34">
        <v>0.93978541741446808</v>
      </c>
    </row>
    <row r="103" spans="1:9" x14ac:dyDescent="0.3">
      <c r="A103" s="34">
        <v>102</v>
      </c>
      <c r="B103" s="34">
        <v>594</v>
      </c>
      <c r="C103" s="34" t="s">
        <v>7</v>
      </c>
      <c r="D103" s="34">
        <v>24</v>
      </c>
      <c r="E103" s="34">
        <v>2718</v>
      </c>
      <c r="F103" s="34">
        <v>20</v>
      </c>
      <c r="G103" s="34" t="s">
        <v>6</v>
      </c>
      <c r="H103" s="34" t="s">
        <v>9</v>
      </c>
      <c r="I103" s="34">
        <v>0.94061188835385068</v>
      </c>
    </row>
    <row r="104" spans="1:9" x14ac:dyDescent="0.3">
      <c r="A104" s="34">
        <v>103</v>
      </c>
      <c r="B104" s="34">
        <v>360</v>
      </c>
      <c r="C104" s="34" t="s">
        <v>7</v>
      </c>
      <c r="D104" s="34">
        <v>30</v>
      </c>
      <c r="E104" s="34">
        <v>2406</v>
      </c>
      <c r="F104" s="34">
        <v>23</v>
      </c>
      <c r="G104" s="34" t="s">
        <v>6</v>
      </c>
      <c r="H104" s="34" t="s">
        <v>9</v>
      </c>
      <c r="I104" s="34">
        <v>0.94336676215719695</v>
      </c>
    </row>
    <row r="105" spans="1:9" x14ac:dyDescent="0.3">
      <c r="A105" s="34">
        <v>104</v>
      </c>
      <c r="B105" s="34">
        <v>119</v>
      </c>
      <c r="C105" s="34" t="s">
        <v>7</v>
      </c>
      <c r="D105" s="34">
        <v>33</v>
      </c>
      <c r="E105" s="34">
        <v>4281</v>
      </c>
      <c r="F105" s="34">
        <v>23</v>
      </c>
      <c r="G105" s="34" t="s">
        <v>6</v>
      </c>
      <c r="H105" s="34" t="s">
        <v>4</v>
      </c>
      <c r="I105" s="34">
        <v>0.94443052818370132</v>
      </c>
    </row>
    <row r="106" spans="1:9" x14ac:dyDescent="0.3">
      <c r="A106" s="34">
        <v>105</v>
      </c>
      <c r="B106" s="34">
        <v>701</v>
      </c>
      <c r="C106" s="34" t="s">
        <v>7</v>
      </c>
      <c r="D106" s="34">
        <v>12</v>
      </c>
      <c r="E106" s="34">
        <v>1123</v>
      </c>
      <c r="F106" s="34">
        <v>29</v>
      </c>
      <c r="G106" s="34" t="s">
        <v>6</v>
      </c>
      <c r="H106" s="34" t="s">
        <v>9</v>
      </c>
      <c r="I106" s="34">
        <v>0.95841578461647914</v>
      </c>
    </row>
    <row r="107" spans="1:9" x14ac:dyDescent="0.3">
      <c r="A107" s="34">
        <v>106</v>
      </c>
      <c r="B107" s="34">
        <v>937</v>
      </c>
      <c r="C107" s="34" t="s">
        <v>7</v>
      </c>
      <c r="D107" s="34">
        <v>9</v>
      </c>
      <c r="E107" s="34">
        <v>745</v>
      </c>
      <c r="F107" s="34">
        <v>28</v>
      </c>
      <c r="G107" s="34" t="s">
        <v>6</v>
      </c>
      <c r="H107" s="34" t="s">
        <v>4</v>
      </c>
      <c r="I107" s="34">
        <v>0.96285595344722141</v>
      </c>
    </row>
    <row r="108" spans="1:9" x14ac:dyDescent="0.3">
      <c r="A108" s="34">
        <v>107</v>
      </c>
      <c r="B108" s="34">
        <v>187</v>
      </c>
      <c r="C108" s="34" t="s">
        <v>7</v>
      </c>
      <c r="D108" s="34">
        <v>9</v>
      </c>
      <c r="E108" s="34">
        <v>5129</v>
      </c>
      <c r="F108" s="34">
        <v>74</v>
      </c>
      <c r="G108" s="34" t="s">
        <v>6</v>
      </c>
      <c r="H108" s="34" t="s">
        <v>8</v>
      </c>
      <c r="I108" s="34">
        <v>0.9796941839467046</v>
      </c>
    </row>
    <row r="109" spans="1:9" x14ac:dyDescent="0.3">
      <c r="A109" s="34">
        <v>108</v>
      </c>
      <c r="B109" s="34">
        <v>776</v>
      </c>
      <c r="C109" s="34" t="s">
        <v>7</v>
      </c>
      <c r="D109" s="34">
        <v>24</v>
      </c>
      <c r="E109" s="34">
        <v>1371</v>
      </c>
      <c r="F109" s="34">
        <v>25</v>
      </c>
      <c r="G109" s="34" t="s">
        <v>6</v>
      </c>
      <c r="H109" s="34" t="s">
        <v>9</v>
      </c>
      <c r="I109" s="34">
        <v>0.98473951208689403</v>
      </c>
    </row>
    <row r="110" spans="1:9" x14ac:dyDescent="0.3">
      <c r="A110" s="35">
        <v>109</v>
      </c>
      <c r="B110" s="35">
        <v>476</v>
      </c>
      <c r="C110" s="35" t="s">
        <v>7</v>
      </c>
      <c r="D110" s="35">
        <v>18</v>
      </c>
      <c r="E110" s="35">
        <v>3114</v>
      </c>
      <c r="F110" s="35">
        <v>26</v>
      </c>
      <c r="G110" s="35" t="s">
        <v>6</v>
      </c>
      <c r="H110" s="35" t="s">
        <v>9</v>
      </c>
      <c r="I110" s="35">
        <v>0.99310172429162458</v>
      </c>
    </row>
  </sheetData>
  <sortState xmlns:xlrd2="http://schemas.microsoft.com/office/spreadsheetml/2017/richdata2" ref="B2:L110">
    <sortCondition ref="L2:L110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D76D-073A-4873-95FF-9342C0A10665}">
  <sheetPr>
    <tabColor theme="6" tint="0.59999389629810485"/>
  </sheetPr>
  <dimension ref="A1:N209"/>
  <sheetViews>
    <sheetView topLeftCell="B18" zoomScale="130" zoomScaleNormal="130" workbookViewId="0">
      <selection activeCell="O15" sqref="O15"/>
    </sheetView>
  </sheetViews>
  <sheetFormatPr defaultRowHeight="14.4" x14ac:dyDescent="0.3"/>
  <cols>
    <col min="2" max="2" width="9.109375" bestFit="1" customWidth="1"/>
    <col min="4" max="4" width="11.88671875" bestFit="1" customWidth="1"/>
    <col min="6" max="6" width="11.44140625" customWidth="1"/>
  </cols>
  <sheetData>
    <row r="1" spans="1:14" ht="15" thickBot="1" x14ac:dyDescent="0.35"/>
    <row r="2" spans="1:14" ht="15" thickBot="1" x14ac:dyDescent="0.35">
      <c r="B2" s="316" t="s">
        <v>72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8"/>
    </row>
    <row r="3" spans="1:14" ht="15" customHeight="1" x14ac:dyDescent="0.3">
      <c r="B3" s="319" t="s">
        <v>273</v>
      </c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1"/>
      <c r="N3" s="87"/>
    </row>
    <row r="4" spans="1:14" x14ac:dyDescent="0.3">
      <c r="B4" s="322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4"/>
      <c r="N4" s="87"/>
    </row>
    <row r="5" spans="1:14" x14ac:dyDescent="0.3">
      <c r="B5" s="322"/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4"/>
      <c r="N5" s="87"/>
    </row>
    <row r="6" spans="1:14" ht="15" thickBot="1" x14ac:dyDescent="0.35">
      <c r="B6" s="325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7"/>
      <c r="N6" s="87"/>
    </row>
    <row r="8" spans="1:14" x14ac:dyDescent="0.3">
      <c r="C8" s="33" t="s">
        <v>74</v>
      </c>
      <c r="D8" s="33" t="s">
        <v>23</v>
      </c>
    </row>
    <row r="9" spans="1:14" x14ac:dyDescent="0.3">
      <c r="A9" s="37" t="s">
        <v>13</v>
      </c>
      <c r="B9" s="37" t="s">
        <v>12</v>
      </c>
      <c r="C9" s="37" t="s">
        <v>42</v>
      </c>
      <c r="D9" s="41" t="s">
        <v>63</v>
      </c>
      <c r="F9" s="8" t="s">
        <v>43</v>
      </c>
      <c r="J9" s="8" t="s">
        <v>44</v>
      </c>
    </row>
    <row r="10" spans="1:14" x14ac:dyDescent="0.3">
      <c r="A10" s="34">
        <v>1</v>
      </c>
      <c r="B10" s="34">
        <v>249</v>
      </c>
      <c r="C10" s="34" t="s">
        <v>54</v>
      </c>
      <c r="D10" s="39">
        <f>VLOOKUP('3.1 Losowanie warstwowe PROP'!B10,lw!$A$1:$G$1001,2,FALSE)</f>
        <v>24</v>
      </c>
      <c r="F10" s="9"/>
      <c r="G10" s="314" t="s">
        <v>45</v>
      </c>
      <c r="H10" s="315"/>
      <c r="J10" s="9"/>
      <c r="K10" s="314" t="s">
        <v>45</v>
      </c>
      <c r="L10" s="315"/>
    </row>
    <row r="11" spans="1:14" x14ac:dyDescent="0.3">
      <c r="A11" s="34">
        <v>2</v>
      </c>
      <c r="B11" s="34">
        <v>774</v>
      </c>
      <c r="C11" s="34" t="s">
        <v>54</v>
      </c>
      <c r="D11" s="39">
        <f>VLOOKUP('3.1 Losowanie warstwowe PROP'!B11,lw!$A$1:$G$1001,2,FALSE)</f>
        <v>24</v>
      </c>
      <c r="F11" s="4" t="s">
        <v>42</v>
      </c>
      <c r="G11" s="10" t="s">
        <v>46</v>
      </c>
      <c r="H11" s="11" t="s">
        <v>47</v>
      </c>
      <c r="J11" s="4" t="s">
        <v>42</v>
      </c>
      <c r="K11" s="10" t="s">
        <v>46</v>
      </c>
      <c r="L11" s="11" t="s">
        <v>47</v>
      </c>
    </row>
    <row r="12" spans="1:14" x14ac:dyDescent="0.3">
      <c r="A12" s="34">
        <v>3</v>
      </c>
      <c r="B12" s="34">
        <v>894</v>
      </c>
      <c r="C12" s="34" t="s">
        <v>54</v>
      </c>
      <c r="D12" s="39">
        <f>VLOOKUP('3.1 Losowanie warstwowe PROP'!B12,lw!$A$1:$G$1001,2,FALSE)</f>
        <v>36</v>
      </c>
      <c r="F12" s="12" t="s">
        <v>5</v>
      </c>
      <c r="G12" s="82">
        <f>G17/$G$21</f>
        <v>0.499</v>
      </c>
      <c r="H12" s="82">
        <f>G19/$G$21</f>
        <v>0.20100000000000001</v>
      </c>
      <c r="J12" s="12" t="s">
        <v>5</v>
      </c>
      <c r="K12" s="82">
        <f>I17/$I$21</f>
        <v>0.5</v>
      </c>
      <c r="L12" s="82">
        <f>I19/$I$21</f>
        <v>0.2</v>
      </c>
    </row>
    <row r="13" spans="1:14" x14ac:dyDescent="0.3">
      <c r="A13" s="34">
        <v>4</v>
      </c>
      <c r="B13" s="34">
        <v>124</v>
      </c>
      <c r="C13" s="34" t="s">
        <v>54</v>
      </c>
      <c r="D13" s="39">
        <f>VLOOKUP('3.1 Losowanie warstwowe PROP'!B13,lw!$A$1:$G$1001,2,FALSE)</f>
        <v>10</v>
      </c>
      <c r="F13" s="13" t="s">
        <v>7</v>
      </c>
      <c r="G13" s="82">
        <f>G18/$G$21</f>
        <v>0.191</v>
      </c>
      <c r="H13" s="82">
        <f>G20/$G$21</f>
        <v>0.109</v>
      </c>
      <c r="J13" s="13" t="s">
        <v>7</v>
      </c>
      <c r="K13" s="82">
        <f>I18/$I$21</f>
        <v>0.19</v>
      </c>
      <c r="L13" s="82">
        <f>I20/$I$21</f>
        <v>0.11</v>
      </c>
    </row>
    <row r="14" spans="1:14" x14ac:dyDescent="0.3">
      <c r="A14" s="34">
        <v>5</v>
      </c>
      <c r="B14" s="34">
        <v>887</v>
      </c>
      <c r="C14" s="34" t="s">
        <v>54</v>
      </c>
      <c r="D14" s="39">
        <f>VLOOKUP('3.1 Losowanie warstwowe PROP'!B14,lw!$A$1:$G$1001,2,FALSE)</f>
        <v>24</v>
      </c>
    </row>
    <row r="15" spans="1:14" x14ac:dyDescent="0.3">
      <c r="A15" s="34">
        <v>6</v>
      </c>
      <c r="B15" s="34">
        <v>265</v>
      </c>
      <c r="C15" s="34" t="s">
        <v>54</v>
      </c>
      <c r="D15" s="39">
        <f>VLOOKUP('3.1 Losowanie warstwowe PROP'!B15,lw!$A$1:$G$1001,2,FALSE)</f>
        <v>10</v>
      </c>
      <c r="F15" s="14" t="s">
        <v>254</v>
      </c>
      <c r="G15" s="14"/>
    </row>
    <row r="16" spans="1:14" ht="16.8" x14ac:dyDescent="0.35">
      <c r="A16" s="34">
        <v>7</v>
      </c>
      <c r="B16" s="34">
        <v>907</v>
      </c>
      <c r="C16" s="34" t="s">
        <v>54</v>
      </c>
      <c r="D16" s="39">
        <f>VLOOKUP('3.1 Losowanie warstwowe PROP'!B16,lw!$A$1:$G$1001,2,FALSE)</f>
        <v>21</v>
      </c>
      <c r="F16" s="80" t="s">
        <v>49</v>
      </c>
      <c r="G16" s="81" t="s">
        <v>68</v>
      </c>
      <c r="H16" s="15" t="s">
        <v>50</v>
      </c>
      <c r="I16" s="77" t="s">
        <v>51</v>
      </c>
      <c r="J16" s="16" t="s">
        <v>52</v>
      </c>
    </row>
    <row r="17" spans="1:10" x14ac:dyDescent="0.3">
      <c r="A17" s="34">
        <v>8</v>
      </c>
      <c r="B17" s="34">
        <v>811</v>
      </c>
      <c r="C17" s="34" t="s">
        <v>54</v>
      </c>
      <c r="D17" s="39">
        <f>VLOOKUP('3.1 Losowanie warstwowe PROP'!B17,lw!$A$1:$G$1001,2,FALSE)</f>
        <v>8</v>
      </c>
      <c r="F17" s="17" t="s">
        <v>54</v>
      </c>
      <c r="G17" s="18">
        <v>499</v>
      </c>
      <c r="H17" s="9">
        <f>G17/$G$21</f>
        <v>0.499</v>
      </c>
      <c r="I17" s="12">
        <f>ROUND(H17*$G$25,0)</f>
        <v>100</v>
      </c>
      <c r="J17" s="20" cm="1">
        <f t="array" ref="J17">_xlfn.VAR.S(IF($C$10:$C$209=F17,$D$10:$D$209,""))</f>
        <v>136.33080808080808</v>
      </c>
    </row>
    <row r="18" spans="1:10" x14ac:dyDescent="0.3">
      <c r="A18" s="34">
        <v>9</v>
      </c>
      <c r="B18" s="34">
        <v>831</v>
      </c>
      <c r="C18" s="34" t="s">
        <v>54</v>
      </c>
      <c r="D18" s="39">
        <f>VLOOKUP('3.1 Losowanie warstwowe PROP'!B18,lw!$A$1:$G$1001,2,FALSE)</f>
        <v>24</v>
      </c>
      <c r="F18" s="21" t="s">
        <v>55</v>
      </c>
      <c r="G18" s="18">
        <v>191</v>
      </c>
      <c r="H18" s="19">
        <f>G18/$G$21</f>
        <v>0.191</v>
      </c>
      <c r="I18" s="75">
        <f>ROUND(H18*$G$25,0)</f>
        <v>38</v>
      </c>
      <c r="J18" s="20" cm="1">
        <f t="array" ref="J18">_xlfn.VAR.S(IF($C$10:$C$209=F18,$D$10:$D$209,""))</f>
        <v>177.90113798008531</v>
      </c>
    </row>
    <row r="19" spans="1:10" x14ac:dyDescent="0.3">
      <c r="A19" s="34">
        <v>10</v>
      </c>
      <c r="B19" s="34">
        <v>34</v>
      </c>
      <c r="C19" s="34" t="s">
        <v>54</v>
      </c>
      <c r="D19" s="39">
        <f>VLOOKUP('3.1 Losowanie warstwowe PROP'!B19,lw!$A$1:$G$1001,2,FALSE)</f>
        <v>12</v>
      </c>
      <c r="F19" s="21" t="s">
        <v>56</v>
      </c>
      <c r="G19" s="18">
        <v>201</v>
      </c>
      <c r="H19" s="19">
        <f>G19/$G$21</f>
        <v>0.20100000000000001</v>
      </c>
      <c r="I19" s="75">
        <f>ROUND(H19*$G$25,0)</f>
        <v>40</v>
      </c>
      <c r="J19" s="20" cm="1">
        <f t="array" ref="J19">_xlfn.VAR.S(IF($C$10:$C$209=F19,$D$10:$D$209,""))</f>
        <v>88.625</v>
      </c>
    </row>
    <row r="20" spans="1:10" x14ac:dyDescent="0.3">
      <c r="A20" s="34">
        <v>11</v>
      </c>
      <c r="B20" s="34">
        <v>587</v>
      </c>
      <c r="C20" s="34" t="s">
        <v>54</v>
      </c>
      <c r="D20" s="39">
        <f>VLOOKUP('3.1 Losowanie warstwowe PROP'!B20,lw!$A$1:$G$1001,2,FALSE)</f>
        <v>9</v>
      </c>
      <c r="F20" s="22" t="s">
        <v>57</v>
      </c>
      <c r="G20" s="23">
        <v>109</v>
      </c>
      <c r="H20" s="76">
        <f>G20/$G$21</f>
        <v>0.109</v>
      </c>
      <c r="I20" s="13">
        <f>ROUND(H20*$G$25,0)</f>
        <v>22</v>
      </c>
      <c r="J20" s="20" cm="1">
        <f t="array" ref="J20">_xlfn.VAR.S(IF($C$10:$C$209=F20,$D$10:$D$209,""))</f>
        <v>208.53896103896096</v>
      </c>
    </row>
    <row r="21" spans="1:10" x14ac:dyDescent="0.3">
      <c r="A21" s="34">
        <v>12</v>
      </c>
      <c r="B21" s="34">
        <v>561</v>
      </c>
      <c r="C21" s="34" t="s">
        <v>54</v>
      </c>
      <c r="D21" s="39">
        <f>VLOOKUP('3.1 Losowanie warstwowe PROP'!B21,lw!$A$1:$G$1001,2,FALSE)</f>
        <v>24</v>
      </c>
      <c r="F21" s="78" t="s">
        <v>53</v>
      </c>
      <c r="G21" s="4">
        <f>SUM(G17:G20)</f>
        <v>1000</v>
      </c>
      <c r="H21" s="76">
        <f>SUM(H17:H20)</f>
        <v>1</v>
      </c>
      <c r="I21" s="4">
        <f>SUM(I17:I20)</f>
        <v>200</v>
      </c>
      <c r="J21" s="79"/>
    </row>
    <row r="22" spans="1:10" x14ac:dyDescent="0.3">
      <c r="A22" s="34">
        <v>13</v>
      </c>
      <c r="B22" s="34">
        <v>934</v>
      </c>
      <c r="C22" s="34" t="s">
        <v>54</v>
      </c>
      <c r="D22" s="39">
        <f>VLOOKUP('3.1 Losowanie warstwowe PROP'!B22,lw!$A$1:$G$1001,2,FALSE)</f>
        <v>12</v>
      </c>
      <c r="H22" t="s">
        <v>48</v>
      </c>
    </row>
    <row r="23" spans="1:10" x14ac:dyDescent="0.3">
      <c r="A23" s="34">
        <v>14</v>
      </c>
      <c r="B23" s="34">
        <v>515</v>
      </c>
      <c r="C23" s="34" t="s">
        <v>54</v>
      </c>
      <c r="D23" s="39">
        <f>VLOOKUP('3.1 Losowanie warstwowe PROP'!B23,lw!$A$1:$G$1001,2,FALSE)</f>
        <v>24</v>
      </c>
      <c r="F23" s="25" t="s">
        <v>14</v>
      </c>
      <c r="G23" s="4">
        <v>1000</v>
      </c>
      <c r="I23" s="2" t="s">
        <v>24</v>
      </c>
    </row>
    <row r="24" spans="1:10" ht="16.8" x14ac:dyDescent="0.35">
      <c r="A24" s="34">
        <v>15</v>
      </c>
      <c r="B24" s="34">
        <v>8</v>
      </c>
      <c r="C24" s="34" t="s">
        <v>54</v>
      </c>
      <c r="D24" s="39">
        <f>VLOOKUP('3.1 Losowanie warstwowe PROP'!B24,lw!$A$1:$G$1001,2,FALSE)</f>
        <v>36</v>
      </c>
      <c r="F24" s="25" t="s">
        <v>20</v>
      </c>
      <c r="G24" s="4">
        <v>2</v>
      </c>
      <c r="I24" s="3" t="s">
        <v>58</v>
      </c>
      <c r="J24" s="4">
        <f>SUMPRODUCT(J17:J20,H17:H20)</f>
        <v>142.55256233976627</v>
      </c>
    </row>
    <row r="25" spans="1:10" ht="15.6" x14ac:dyDescent="0.35">
      <c r="A25" s="34">
        <v>16</v>
      </c>
      <c r="B25" s="34">
        <v>610</v>
      </c>
      <c r="C25" s="34" t="s">
        <v>54</v>
      </c>
      <c r="D25" s="39">
        <f>VLOOKUP('3.1 Losowanie warstwowe PROP'!B25,lw!$A$1:$G$1001,2,FALSE)</f>
        <v>15</v>
      </c>
      <c r="F25" s="25" t="s">
        <v>16</v>
      </c>
      <c r="G25" s="24">
        <v>200</v>
      </c>
      <c r="I25" s="3" t="s">
        <v>59</v>
      </c>
      <c r="J25" s="4">
        <f>ROUNDUP(J24/(G24^2/4+J24/G23),0)</f>
        <v>125</v>
      </c>
    </row>
    <row r="26" spans="1:10" x14ac:dyDescent="0.3">
      <c r="A26" s="34">
        <v>17</v>
      </c>
      <c r="B26" s="34">
        <v>40</v>
      </c>
      <c r="C26" s="34" t="s">
        <v>54</v>
      </c>
      <c r="D26" s="39">
        <f>VLOOKUP('3.1 Losowanie warstwowe PROP'!B26,lw!$A$1:$G$1001,2,FALSE)</f>
        <v>9</v>
      </c>
      <c r="F26" s="25" t="s">
        <v>15</v>
      </c>
      <c r="G26" s="4">
        <v>200</v>
      </c>
      <c r="I26" t="s">
        <v>151</v>
      </c>
    </row>
    <row r="27" spans="1:10" x14ac:dyDescent="0.3">
      <c r="A27" s="34">
        <v>18</v>
      </c>
      <c r="B27" s="34">
        <v>324</v>
      </c>
      <c r="C27" s="34" t="s">
        <v>54</v>
      </c>
      <c r="D27" s="39">
        <f>VLOOKUP('3.1 Losowanie warstwowe PROP'!B27,lw!$A$1:$G$1001,2,FALSE)</f>
        <v>18</v>
      </c>
    </row>
    <row r="28" spans="1:10" x14ac:dyDescent="0.3">
      <c r="A28" s="34">
        <v>19</v>
      </c>
      <c r="B28" s="34">
        <v>158</v>
      </c>
      <c r="C28" s="34" t="s">
        <v>54</v>
      </c>
      <c r="D28" s="39">
        <f>VLOOKUP('3.1 Losowanie warstwowe PROP'!B28,lw!$A$1:$G$1001,2,FALSE)</f>
        <v>12</v>
      </c>
      <c r="F28" s="2" t="s">
        <v>69</v>
      </c>
    </row>
    <row r="29" spans="1:10" ht="15.6" x14ac:dyDescent="0.35">
      <c r="A29" s="34">
        <v>20</v>
      </c>
      <c r="B29" s="34">
        <v>208</v>
      </c>
      <c r="C29" s="34" t="s">
        <v>54</v>
      </c>
      <c r="D29" s="39">
        <f>VLOOKUP('3.1 Losowanie warstwowe PROP'!B29,lw!$A$1:$G$1001,2,FALSE)</f>
        <v>12</v>
      </c>
      <c r="F29" s="84" t="s">
        <v>70</v>
      </c>
      <c r="G29" s="100">
        <f>AVERAGE(D10:D209)</f>
        <v>21.43</v>
      </c>
      <c r="J29" s="83"/>
    </row>
    <row r="30" spans="1:10" ht="16.8" x14ac:dyDescent="0.35">
      <c r="A30" s="34">
        <v>21</v>
      </c>
      <c r="B30" s="34">
        <v>699</v>
      </c>
      <c r="C30" s="34" t="s">
        <v>54</v>
      </c>
      <c r="D30" s="39">
        <f>VLOOKUP('3.1 Losowanie warstwowe PROP'!B30,lw!$A$1:$G$1001,2,FALSE)</f>
        <v>18</v>
      </c>
      <c r="F30" s="28" t="s">
        <v>161</v>
      </c>
      <c r="G30" s="4">
        <f>SUMPRODUCT(H17:H20,J17:J20)</f>
        <v>142.55256233976627</v>
      </c>
    </row>
    <row r="31" spans="1:10" x14ac:dyDescent="0.3">
      <c r="A31" s="34">
        <v>22</v>
      </c>
      <c r="B31" s="34">
        <v>246</v>
      </c>
      <c r="C31" s="34" t="s">
        <v>54</v>
      </c>
      <c r="D31" s="39">
        <f>VLOOKUP('3.1 Losowanie warstwowe PROP'!B31,lw!$A$1:$G$1001,2,FALSE)</f>
        <v>24</v>
      </c>
      <c r="F31" s="28" t="str">
        <f xml:space="preserve"> "D" &amp; _xlfn.UNICHAR(770) &amp; "²prop(" &amp; "y" &amp; _xlfn.UNICHAR(773) &amp; "w)"</f>
        <v>D̂²prop(y̅w)</v>
      </c>
      <c r="G31" s="4">
        <f>(1-G26/G23)*(G30/G26)</f>
        <v>0.57021024935906517</v>
      </c>
    </row>
    <row r="32" spans="1:10" x14ac:dyDescent="0.3">
      <c r="A32" s="34">
        <v>23</v>
      </c>
      <c r="B32" s="34">
        <v>801</v>
      </c>
      <c r="C32" s="34" t="s">
        <v>54</v>
      </c>
      <c r="D32" s="39">
        <f>VLOOKUP('3.1 Losowanie warstwowe PROP'!B32,lw!$A$1:$G$1001,2,FALSE)</f>
        <v>24</v>
      </c>
      <c r="F32" s="28" t="str">
        <f xml:space="preserve"> "D" &amp; _xlfn.UNICHAR(770) &amp; "prop(" &amp; "y" &amp; _xlfn.UNICHAR(773) &amp; "w)"</f>
        <v>D̂prop(y̅w)</v>
      </c>
      <c r="G32" s="100">
        <f>SQRT(G31)</f>
        <v>0.75512267172894842</v>
      </c>
    </row>
    <row r="33" spans="1:7" x14ac:dyDescent="0.3">
      <c r="A33" s="34">
        <v>24</v>
      </c>
      <c r="B33" s="34">
        <v>914</v>
      </c>
      <c r="C33" s="34" t="s">
        <v>54</v>
      </c>
      <c r="D33" s="39">
        <f>VLOOKUP('3.1 Losowanie warstwowe PROP'!B33,lw!$A$1:$G$1001,2,FALSE)</f>
        <v>11</v>
      </c>
    </row>
    <row r="34" spans="1:7" x14ac:dyDescent="0.3">
      <c r="A34" s="34">
        <v>25</v>
      </c>
      <c r="B34" s="34">
        <v>519</v>
      </c>
      <c r="C34" s="34" t="s">
        <v>54</v>
      </c>
      <c r="D34" s="39">
        <f>VLOOKUP('3.1 Losowanie warstwowe PROP'!B34,lw!$A$1:$G$1001,2,FALSE)</f>
        <v>6</v>
      </c>
      <c r="F34" t="s">
        <v>257</v>
      </c>
    </row>
    <row r="35" spans="1:7" x14ac:dyDescent="0.3">
      <c r="A35" s="34">
        <v>26</v>
      </c>
      <c r="B35" s="34">
        <v>217</v>
      </c>
      <c r="C35" s="34" t="s">
        <v>54</v>
      </c>
      <c r="D35" s="39">
        <f>VLOOKUP('3.1 Losowanie warstwowe PROP'!B35,lw!$A$1:$G$1001,2,FALSE)</f>
        <v>18</v>
      </c>
    </row>
    <row r="36" spans="1:7" x14ac:dyDescent="0.3">
      <c r="A36" s="34">
        <v>27</v>
      </c>
      <c r="B36" s="34">
        <v>892</v>
      </c>
      <c r="C36" s="34" t="s">
        <v>54</v>
      </c>
      <c r="D36" s="39">
        <f>VLOOKUP('3.1 Losowanie warstwowe PROP'!B36,lw!$A$1:$G$1001,2,FALSE)</f>
        <v>15</v>
      </c>
      <c r="F36" s="2" t="s">
        <v>71</v>
      </c>
    </row>
    <row r="37" spans="1:7" ht="15.6" x14ac:dyDescent="0.3">
      <c r="A37" s="34">
        <v>28</v>
      </c>
      <c r="B37" s="34">
        <v>609</v>
      </c>
      <c r="C37" s="34" t="s">
        <v>54</v>
      </c>
      <c r="D37" s="39">
        <f>VLOOKUP('3.1 Losowanie warstwowe PROP'!B37,lw!$A$1:$G$1001,2,FALSE)</f>
        <v>18</v>
      </c>
      <c r="F37" s="64" t="s">
        <v>22</v>
      </c>
      <c r="G37" s="190">
        <f>G29*G23</f>
        <v>21430</v>
      </c>
    </row>
    <row r="38" spans="1:7" ht="15.6" x14ac:dyDescent="0.3">
      <c r="A38" s="34">
        <v>29</v>
      </c>
      <c r="B38" s="34">
        <v>548</v>
      </c>
      <c r="C38" s="34" t="s">
        <v>54</v>
      </c>
      <c r="D38" s="39">
        <f>VLOOKUP('3.1 Losowanie warstwowe PROP'!B38,lw!$A$1:$G$1001,2,FALSE)</f>
        <v>24</v>
      </c>
      <c r="F38" s="64" t="str">
        <f>"D"&amp;_xlfn.UNICHAR(770) &amp; "²(ŷ)"</f>
        <v>D̂²(ŷ)</v>
      </c>
      <c r="G38" s="4">
        <f>G31*G23^2</f>
        <v>570210.2493590652</v>
      </c>
    </row>
    <row r="39" spans="1:7" ht="15.6" x14ac:dyDescent="0.3">
      <c r="A39" s="34">
        <v>30</v>
      </c>
      <c r="B39" s="34">
        <v>719</v>
      </c>
      <c r="C39" s="34" t="s">
        <v>54</v>
      </c>
      <c r="D39" s="39">
        <f>VLOOKUP('3.1 Losowanie warstwowe PROP'!B39,lw!$A$1:$G$1001,2,FALSE)</f>
        <v>24</v>
      </c>
      <c r="F39" s="64" t="str">
        <f>"D"&amp;_xlfn.UNICHAR(770) &amp; "(ŷ)"</f>
        <v>D̂(ŷ)</v>
      </c>
      <c r="G39" s="100">
        <f>SQRT(G38)</f>
        <v>755.12267172894838</v>
      </c>
    </row>
    <row r="40" spans="1:7" x14ac:dyDescent="0.3">
      <c r="A40" s="34">
        <v>31</v>
      </c>
      <c r="B40" s="34">
        <v>679</v>
      </c>
      <c r="C40" s="34" t="s">
        <v>54</v>
      </c>
      <c r="D40" s="39">
        <f>VLOOKUP('3.1 Losowanie warstwowe PROP'!B40,lw!$A$1:$G$1001,2,FALSE)</f>
        <v>24</v>
      </c>
    </row>
    <row r="41" spans="1:7" x14ac:dyDescent="0.3">
      <c r="A41" s="34">
        <v>32</v>
      </c>
      <c r="B41" s="34">
        <v>32</v>
      </c>
      <c r="C41" s="34" t="s">
        <v>54</v>
      </c>
      <c r="D41" s="39">
        <f>VLOOKUP('3.1 Losowanie warstwowe PROP'!B41,lw!$A$1:$G$1001,2,FALSE)</f>
        <v>24</v>
      </c>
      <c r="F41" t="s">
        <v>256</v>
      </c>
    </row>
    <row r="42" spans="1:7" x14ac:dyDescent="0.3">
      <c r="A42" s="34">
        <v>33</v>
      </c>
      <c r="B42" s="34">
        <v>340</v>
      </c>
      <c r="C42" s="34" t="s">
        <v>54</v>
      </c>
      <c r="D42" s="39">
        <f>VLOOKUP('3.1 Losowanie warstwowe PROP'!B42,lw!$A$1:$G$1001,2,FALSE)</f>
        <v>10</v>
      </c>
    </row>
    <row r="43" spans="1:7" x14ac:dyDescent="0.3">
      <c r="A43" s="34">
        <v>34</v>
      </c>
      <c r="B43" s="34">
        <v>785</v>
      </c>
      <c r="C43" s="34" t="s">
        <v>54</v>
      </c>
      <c r="D43" s="39">
        <f>VLOOKUP('3.1 Losowanie warstwowe PROP'!B43,lw!$A$1:$G$1001,2,FALSE)</f>
        <v>20</v>
      </c>
      <c r="F43" s="5" t="s">
        <v>60</v>
      </c>
    </row>
    <row r="44" spans="1:7" x14ac:dyDescent="0.3">
      <c r="A44" s="34">
        <v>35</v>
      </c>
      <c r="B44" s="34">
        <v>454</v>
      </c>
      <c r="C44" s="34" t="s">
        <v>54</v>
      </c>
      <c r="D44" s="39">
        <f>VLOOKUP('3.1 Losowanie warstwowe PROP'!B44,lw!$A$1:$G$1001,2,FALSE)</f>
        <v>24</v>
      </c>
      <c r="F44" s="6" t="s">
        <v>21</v>
      </c>
      <c r="G44" s="27">
        <f>_xlfn.VAR.S(D10:D209)</f>
        <v>151.78402010050254</v>
      </c>
    </row>
    <row r="45" spans="1:7" x14ac:dyDescent="0.3">
      <c r="A45" s="34">
        <v>36</v>
      </c>
      <c r="B45" s="34">
        <v>285</v>
      </c>
      <c r="C45" s="34" t="s">
        <v>54</v>
      </c>
      <c r="D45" s="39">
        <f>VLOOKUP('3.1 Losowanie warstwowe PROP'!B45,lw!$A$1:$G$1001,2,FALSE)</f>
        <v>24</v>
      </c>
      <c r="F45" s="6" t="str">
        <f xml:space="preserve"> "D" &amp; _xlfn.UNICHAR(770) &amp; "²(" &amp; "y" &amp; _xlfn.UNICHAR(773) &amp; ")"</f>
        <v>D̂²(y̅)</v>
      </c>
      <c r="G45" s="4">
        <f>(1-G26/G23)*(G44/G26)</f>
        <v>0.60713608040201017</v>
      </c>
    </row>
    <row r="46" spans="1:7" x14ac:dyDescent="0.3">
      <c r="A46" s="34">
        <v>37</v>
      </c>
      <c r="B46" s="34">
        <v>108</v>
      </c>
      <c r="C46" s="34" t="s">
        <v>54</v>
      </c>
      <c r="D46" s="39">
        <f>VLOOKUP('3.1 Losowanie warstwowe PROP'!B46,lw!$A$1:$G$1001,2,FALSE)</f>
        <v>12</v>
      </c>
    </row>
    <row r="47" spans="1:7" x14ac:dyDescent="0.3">
      <c r="A47" s="34">
        <v>38</v>
      </c>
      <c r="B47" s="34">
        <v>160</v>
      </c>
      <c r="C47" s="34" t="s">
        <v>54</v>
      </c>
      <c r="D47" s="39">
        <f>VLOOKUP('3.1 Losowanie warstwowe PROP'!B47,lw!$A$1:$G$1001,2,FALSE)</f>
        <v>6</v>
      </c>
    </row>
    <row r="48" spans="1:7" x14ac:dyDescent="0.3">
      <c r="A48" s="34">
        <v>39</v>
      </c>
      <c r="B48" s="34">
        <v>393</v>
      </c>
      <c r="C48" s="34" t="s">
        <v>54</v>
      </c>
      <c r="D48" s="39">
        <f>VLOOKUP('3.1 Losowanie warstwowe PROP'!B48,lw!$A$1:$G$1001,2,FALSE)</f>
        <v>36</v>
      </c>
      <c r="G48" s="261">
        <f>(G31-G45)/G45</f>
        <v>-6.0819694686065871E-2</v>
      </c>
    </row>
    <row r="49" spans="1:6" x14ac:dyDescent="0.3">
      <c r="A49" s="34">
        <v>40</v>
      </c>
      <c r="B49" s="34">
        <v>378</v>
      </c>
      <c r="C49" s="34" t="s">
        <v>54</v>
      </c>
      <c r="D49" s="39">
        <f>VLOOKUP('3.1 Losowanie warstwowe PROP'!B49,lw!$A$1:$G$1001,2,FALSE)</f>
        <v>7</v>
      </c>
    </row>
    <row r="50" spans="1:6" x14ac:dyDescent="0.3">
      <c r="A50" s="34">
        <v>41</v>
      </c>
      <c r="B50" s="34">
        <v>477</v>
      </c>
      <c r="C50" s="34" t="s">
        <v>54</v>
      </c>
      <c r="D50" s="39">
        <f>VLOOKUP('3.1 Losowanie warstwowe PROP'!B50,lw!$A$1:$G$1001,2,FALSE)</f>
        <v>39</v>
      </c>
      <c r="F50" s="43" t="s">
        <v>207</v>
      </c>
    </row>
    <row r="51" spans="1:6" x14ac:dyDescent="0.3">
      <c r="A51" s="34">
        <v>42</v>
      </c>
      <c r="B51" s="34">
        <v>994</v>
      </c>
      <c r="C51" s="34" t="s">
        <v>54</v>
      </c>
      <c r="D51" s="39">
        <f>VLOOKUP('3.1 Losowanie warstwowe PROP'!B51,lw!$A$1:$G$1001,2,FALSE)</f>
        <v>36</v>
      </c>
    </row>
    <row r="52" spans="1:6" x14ac:dyDescent="0.3">
      <c r="A52" s="34">
        <v>43</v>
      </c>
      <c r="B52" s="34">
        <v>126</v>
      </c>
      <c r="C52" s="34" t="s">
        <v>54</v>
      </c>
      <c r="D52" s="39">
        <f>VLOOKUP('3.1 Losowanie warstwowe PROP'!B52,lw!$A$1:$G$1001,2,FALSE)</f>
        <v>12</v>
      </c>
    </row>
    <row r="53" spans="1:6" x14ac:dyDescent="0.3">
      <c r="A53" s="34">
        <v>44</v>
      </c>
      <c r="B53" s="34">
        <v>24</v>
      </c>
      <c r="C53" s="34" t="s">
        <v>54</v>
      </c>
      <c r="D53" s="39">
        <f>VLOOKUP('3.1 Losowanie warstwowe PROP'!B53,lw!$A$1:$G$1001,2,FALSE)</f>
        <v>12</v>
      </c>
    </row>
    <row r="54" spans="1:6" x14ac:dyDescent="0.3">
      <c r="A54" s="34">
        <v>45</v>
      </c>
      <c r="B54" s="34">
        <v>443</v>
      </c>
      <c r="C54" s="34" t="s">
        <v>54</v>
      </c>
      <c r="D54" s="39">
        <f>VLOOKUP('3.1 Losowanie warstwowe PROP'!B54,lw!$A$1:$G$1001,2,FALSE)</f>
        <v>20</v>
      </c>
    </row>
    <row r="55" spans="1:6" x14ac:dyDescent="0.3">
      <c r="A55" s="34">
        <v>46</v>
      </c>
      <c r="B55" s="34">
        <v>700</v>
      </c>
      <c r="C55" s="34" t="s">
        <v>54</v>
      </c>
      <c r="D55" s="39">
        <f>VLOOKUP('3.1 Losowanie warstwowe PROP'!B55,lw!$A$1:$G$1001,2,FALSE)</f>
        <v>15</v>
      </c>
    </row>
    <row r="56" spans="1:6" x14ac:dyDescent="0.3">
      <c r="A56" s="34">
        <v>47</v>
      </c>
      <c r="B56" s="34">
        <v>503</v>
      </c>
      <c r="C56" s="34" t="s">
        <v>54</v>
      </c>
      <c r="D56" s="39">
        <f>VLOOKUP('3.1 Losowanie warstwowe PROP'!B56,lw!$A$1:$G$1001,2,FALSE)</f>
        <v>9</v>
      </c>
    </row>
    <row r="57" spans="1:6" x14ac:dyDescent="0.3">
      <c r="A57" s="34">
        <v>48</v>
      </c>
      <c r="B57" s="34">
        <v>283</v>
      </c>
      <c r="C57" s="34" t="s">
        <v>54</v>
      </c>
      <c r="D57" s="39">
        <f>VLOOKUP('3.1 Losowanie warstwowe PROP'!B57,lw!$A$1:$G$1001,2,FALSE)</f>
        <v>18</v>
      </c>
    </row>
    <row r="58" spans="1:6" x14ac:dyDescent="0.3">
      <c r="A58" s="34">
        <v>49</v>
      </c>
      <c r="B58" s="34">
        <v>23</v>
      </c>
      <c r="C58" s="34" t="s">
        <v>54</v>
      </c>
      <c r="D58" s="39">
        <f>VLOOKUP('3.1 Losowanie warstwowe PROP'!B58,lw!$A$1:$G$1001,2,FALSE)</f>
        <v>10</v>
      </c>
    </row>
    <row r="59" spans="1:6" x14ac:dyDescent="0.3">
      <c r="A59" s="34">
        <v>50</v>
      </c>
      <c r="B59" s="34">
        <v>479</v>
      </c>
      <c r="C59" s="34" t="s">
        <v>54</v>
      </c>
      <c r="D59" s="39">
        <f>VLOOKUP('3.1 Losowanie warstwowe PROP'!B59,lw!$A$1:$G$1001,2,FALSE)</f>
        <v>12</v>
      </c>
    </row>
    <row r="60" spans="1:6" x14ac:dyDescent="0.3">
      <c r="A60" s="34">
        <v>51</v>
      </c>
      <c r="B60" s="34">
        <v>263</v>
      </c>
      <c r="C60" s="34" t="s">
        <v>54</v>
      </c>
      <c r="D60" s="39">
        <f>VLOOKUP('3.1 Losowanie warstwowe PROP'!B60,lw!$A$1:$G$1001,2,FALSE)</f>
        <v>18</v>
      </c>
    </row>
    <row r="61" spans="1:6" x14ac:dyDescent="0.3">
      <c r="A61" s="34">
        <v>52</v>
      </c>
      <c r="B61" s="34">
        <v>374</v>
      </c>
      <c r="C61" s="34" t="s">
        <v>54</v>
      </c>
      <c r="D61" s="39">
        <f>VLOOKUP('3.1 Losowanie warstwowe PROP'!B61,lw!$A$1:$G$1001,2,FALSE)</f>
        <v>60</v>
      </c>
    </row>
    <row r="62" spans="1:6" x14ac:dyDescent="0.3">
      <c r="A62" s="34">
        <v>53</v>
      </c>
      <c r="B62" s="34">
        <v>157</v>
      </c>
      <c r="C62" s="34" t="s">
        <v>54</v>
      </c>
      <c r="D62" s="39">
        <f>VLOOKUP('3.1 Losowanie warstwowe PROP'!B62,lw!$A$1:$G$1001,2,FALSE)</f>
        <v>9</v>
      </c>
    </row>
    <row r="63" spans="1:6" x14ac:dyDescent="0.3">
      <c r="A63" s="34">
        <v>54</v>
      </c>
      <c r="B63" s="34">
        <v>66</v>
      </c>
      <c r="C63" s="34" t="s">
        <v>54</v>
      </c>
      <c r="D63" s="39">
        <f>VLOOKUP('3.1 Losowanie warstwowe PROP'!B63,lw!$A$1:$G$1001,2,FALSE)</f>
        <v>27</v>
      </c>
    </row>
    <row r="64" spans="1:6" x14ac:dyDescent="0.3">
      <c r="A64" s="34">
        <v>55</v>
      </c>
      <c r="B64" s="34">
        <v>799</v>
      </c>
      <c r="C64" s="34" t="s">
        <v>54</v>
      </c>
      <c r="D64" s="39">
        <f>VLOOKUP('3.1 Losowanie warstwowe PROP'!B64,lw!$A$1:$G$1001,2,FALSE)</f>
        <v>24</v>
      </c>
    </row>
    <row r="65" spans="1:4" x14ac:dyDescent="0.3">
      <c r="A65" s="34">
        <v>56</v>
      </c>
      <c r="B65" s="34">
        <v>423</v>
      </c>
      <c r="C65" s="34" t="s">
        <v>54</v>
      </c>
      <c r="D65" s="39">
        <f>VLOOKUP('3.1 Losowanie warstwowe PROP'!B65,lw!$A$1:$G$1001,2,FALSE)</f>
        <v>12</v>
      </c>
    </row>
    <row r="66" spans="1:4" x14ac:dyDescent="0.3">
      <c r="A66" s="34">
        <v>57</v>
      </c>
      <c r="B66" s="34">
        <v>68</v>
      </c>
      <c r="C66" s="34" t="s">
        <v>54</v>
      </c>
      <c r="D66" s="39">
        <f>VLOOKUP('3.1 Losowanie warstwowe PROP'!B66,lw!$A$1:$G$1001,2,FALSE)</f>
        <v>12</v>
      </c>
    </row>
    <row r="67" spans="1:4" x14ac:dyDescent="0.3">
      <c r="A67" s="34">
        <v>58</v>
      </c>
      <c r="B67" s="34">
        <v>284</v>
      </c>
      <c r="C67" s="34" t="s">
        <v>54</v>
      </c>
      <c r="D67" s="39">
        <f>VLOOKUP('3.1 Losowanie warstwowe PROP'!B67,lw!$A$1:$G$1001,2,FALSE)</f>
        <v>15</v>
      </c>
    </row>
    <row r="68" spans="1:4" x14ac:dyDescent="0.3">
      <c r="A68" s="34">
        <v>59</v>
      </c>
      <c r="B68" s="34">
        <v>215</v>
      </c>
      <c r="C68" s="34" t="s">
        <v>54</v>
      </c>
      <c r="D68" s="39">
        <f>VLOOKUP('3.1 Losowanie warstwowe PROP'!B68,lw!$A$1:$G$1001,2,FALSE)</f>
        <v>36</v>
      </c>
    </row>
    <row r="69" spans="1:4" x14ac:dyDescent="0.3">
      <c r="A69" s="34">
        <v>60</v>
      </c>
      <c r="B69" s="34">
        <v>278</v>
      </c>
      <c r="C69" s="34" t="s">
        <v>54</v>
      </c>
      <c r="D69" s="39">
        <f>VLOOKUP('3.1 Losowanie warstwowe PROP'!B69,lw!$A$1:$G$1001,2,FALSE)</f>
        <v>12</v>
      </c>
    </row>
    <row r="70" spans="1:4" x14ac:dyDescent="0.3">
      <c r="A70" s="34">
        <v>61</v>
      </c>
      <c r="B70" s="34">
        <v>470</v>
      </c>
      <c r="C70" s="34" t="s">
        <v>54</v>
      </c>
      <c r="D70" s="39">
        <f>VLOOKUP('3.1 Losowanie warstwowe PROP'!B70,lw!$A$1:$G$1001,2,FALSE)</f>
        <v>24</v>
      </c>
    </row>
    <row r="71" spans="1:4" x14ac:dyDescent="0.3">
      <c r="A71" s="34">
        <v>62</v>
      </c>
      <c r="B71" s="34">
        <v>211</v>
      </c>
      <c r="C71" s="34" t="s">
        <v>54</v>
      </c>
      <c r="D71" s="39">
        <f>VLOOKUP('3.1 Losowanie warstwowe PROP'!B71,lw!$A$1:$G$1001,2,FALSE)</f>
        <v>9</v>
      </c>
    </row>
    <row r="72" spans="1:4" x14ac:dyDescent="0.3">
      <c r="A72" s="34">
        <v>63</v>
      </c>
      <c r="B72" s="34">
        <v>686</v>
      </c>
      <c r="C72" s="34" t="s">
        <v>54</v>
      </c>
      <c r="D72" s="39">
        <f>VLOOKUP('3.1 Losowanie warstwowe PROP'!B72,lw!$A$1:$G$1001,2,FALSE)</f>
        <v>60</v>
      </c>
    </row>
    <row r="73" spans="1:4" x14ac:dyDescent="0.3">
      <c r="A73" s="34">
        <v>64</v>
      </c>
      <c r="B73" s="34">
        <v>565</v>
      </c>
      <c r="C73" s="34" t="s">
        <v>54</v>
      </c>
      <c r="D73" s="39">
        <f>VLOOKUP('3.1 Losowanie warstwowe PROP'!B73,lw!$A$1:$G$1001,2,FALSE)</f>
        <v>24</v>
      </c>
    </row>
    <row r="74" spans="1:4" x14ac:dyDescent="0.3">
      <c r="A74" s="34">
        <v>65</v>
      </c>
      <c r="B74" s="34">
        <v>345</v>
      </c>
      <c r="C74" s="34" t="s">
        <v>54</v>
      </c>
      <c r="D74" s="39">
        <f>VLOOKUP('3.1 Losowanie warstwowe PROP'!B74,lw!$A$1:$G$1001,2,FALSE)</f>
        <v>10</v>
      </c>
    </row>
    <row r="75" spans="1:4" x14ac:dyDescent="0.3">
      <c r="A75" s="34">
        <v>66</v>
      </c>
      <c r="B75" s="34">
        <v>21</v>
      </c>
      <c r="C75" s="34" t="s">
        <v>54</v>
      </c>
      <c r="D75" s="39">
        <f>VLOOKUP('3.1 Losowanie warstwowe PROP'!B75,lw!$A$1:$G$1001,2,FALSE)</f>
        <v>9</v>
      </c>
    </row>
    <row r="76" spans="1:4" x14ac:dyDescent="0.3">
      <c r="A76" s="34">
        <v>67</v>
      </c>
      <c r="B76" s="34">
        <v>310</v>
      </c>
      <c r="C76" s="34" t="s">
        <v>54</v>
      </c>
      <c r="D76" s="39">
        <f>VLOOKUP('3.1 Losowanie warstwowe PROP'!B76,lw!$A$1:$G$1001,2,FALSE)</f>
        <v>9</v>
      </c>
    </row>
    <row r="77" spans="1:4" x14ac:dyDescent="0.3">
      <c r="A77" s="34">
        <v>68</v>
      </c>
      <c r="B77" s="34">
        <v>962</v>
      </c>
      <c r="C77" s="34" t="s">
        <v>54</v>
      </c>
      <c r="D77" s="39">
        <f>VLOOKUP('3.1 Losowanie warstwowe PROP'!B77,lw!$A$1:$G$1001,2,FALSE)</f>
        <v>21</v>
      </c>
    </row>
    <row r="78" spans="1:4" x14ac:dyDescent="0.3">
      <c r="A78" s="34">
        <v>69</v>
      </c>
      <c r="B78" s="34">
        <v>225</v>
      </c>
      <c r="C78" s="34" t="s">
        <v>54</v>
      </c>
      <c r="D78" s="39">
        <f>VLOOKUP('3.1 Losowanie warstwowe PROP'!B78,lw!$A$1:$G$1001,2,FALSE)</f>
        <v>15</v>
      </c>
    </row>
    <row r="79" spans="1:4" x14ac:dyDescent="0.3">
      <c r="A79" s="34">
        <v>70</v>
      </c>
      <c r="B79" s="34">
        <v>869</v>
      </c>
      <c r="C79" s="34" t="s">
        <v>54</v>
      </c>
      <c r="D79" s="39">
        <f>VLOOKUP('3.1 Losowanie warstwowe PROP'!B79,lw!$A$1:$G$1001,2,FALSE)</f>
        <v>36</v>
      </c>
    </row>
    <row r="80" spans="1:4" x14ac:dyDescent="0.3">
      <c r="A80" s="34">
        <v>71</v>
      </c>
      <c r="B80" s="34">
        <v>922</v>
      </c>
      <c r="C80" s="34" t="s">
        <v>54</v>
      </c>
      <c r="D80" s="39">
        <f>VLOOKUP('3.1 Losowanie warstwowe PROP'!B80,lw!$A$1:$G$1001,2,FALSE)</f>
        <v>48</v>
      </c>
    </row>
    <row r="81" spans="1:4" x14ac:dyDescent="0.3">
      <c r="A81" s="34">
        <v>72</v>
      </c>
      <c r="B81" s="34">
        <v>299</v>
      </c>
      <c r="C81" s="34" t="s">
        <v>54</v>
      </c>
      <c r="D81" s="39">
        <f>VLOOKUP('3.1 Losowanie warstwowe PROP'!B81,lw!$A$1:$G$1001,2,FALSE)</f>
        <v>18</v>
      </c>
    </row>
    <row r="82" spans="1:4" x14ac:dyDescent="0.3">
      <c r="A82" s="34">
        <v>73</v>
      </c>
      <c r="B82" s="34">
        <v>388</v>
      </c>
      <c r="C82" s="34" t="s">
        <v>54</v>
      </c>
      <c r="D82" s="39">
        <f>VLOOKUP('3.1 Losowanie warstwowe PROP'!B82,lw!$A$1:$G$1001,2,FALSE)</f>
        <v>18</v>
      </c>
    </row>
    <row r="83" spans="1:4" x14ac:dyDescent="0.3">
      <c r="A83" s="34">
        <v>74</v>
      </c>
      <c r="B83" s="34">
        <v>521</v>
      </c>
      <c r="C83" s="34" t="s">
        <v>54</v>
      </c>
      <c r="D83" s="39">
        <f>VLOOKUP('3.1 Losowanie warstwowe PROP'!B83,lw!$A$1:$G$1001,2,FALSE)</f>
        <v>24</v>
      </c>
    </row>
    <row r="84" spans="1:4" x14ac:dyDescent="0.3">
      <c r="A84" s="34">
        <v>75</v>
      </c>
      <c r="B84" s="34">
        <v>291</v>
      </c>
      <c r="C84" s="34" t="s">
        <v>54</v>
      </c>
      <c r="D84" s="39">
        <f>VLOOKUP('3.1 Losowanie warstwowe PROP'!B84,lw!$A$1:$G$1001,2,FALSE)</f>
        <v>12</v>
      </c>
    </row>
    <row r="85" spans="1:4" x14ac:dyDescent="0.3">
      <c r="A85" s="34">
        <v>76</v>
      </c>
      <c r="B85" s="34">
        <v>864</v>
      </c>
      <c r="C85" s="34" t="s">
        <v>54</v>
      </c>
      <c r="D85" s="39">
        <f>VLOOKUP('3.1 Losowanie warstwowe PROP'!B85,lw!$A$1:$G$1001,2,FALSE)</f>
        <v>27</v>
      </c>
    </row>
    <row r="86" spans="1:4" x14ac:dyDescent="0.3">
      <c r="A86" s="34">
        <v>77</v>
      </c>
      <c r="B86" s="34">
        <v>146</v>
      </c>
      <c r="C86" s="34" t="s">
        <v>54</v>
      </c>
      <c r="D86" s="39">
        <f>VLOOKUP('3.1 Losowanie warstwowe PROP'!B86,lw!$A$1:$G$1001,2,FALSE)</f>
        <v>48</v>
      </c>
    </row>
    <row r="87" spans="1:4" x14ac:dyDescent="0.3">
      <c r="A87" s="34">
        <v>78</v>
      </c>
      <c r="B87" s="34">
        <v>41</v>
      </c>
      <c r="C87" s="34" t="s">
        <v>54</v>
      </c>
      <c r="D87" s="39">
        <f>VLOOKUP('3.1 Losowanie warstwowe PROP'!B87,lw!$A$1:$G$1001,2,FALSE)</f>
        <v>30</v>
      </c>
    </row>
    <row r="88" spans="1:4" x14ac:dyDescent="0.3">
      <c r="A88" s="34">
        <v>79</v>
      </c>
      <c r="B88" s="34">
        <v>530</v>
      </c>
      <c r="C88" s="34" t="s">
        <v>54</v>
      </c>
      <c r="D88" s="39">
        <f>VLOOKUP('3.1 Losowanie warstwowe PROP'!B88,lw!$A$1:$G$1001,2,FALSE)</f>
        <v>6</v>
      </c>
    </row>
    <row r="89" spans="1:4" x14ac:dyDescent="0.3">
      <c r="A89" s="34">
        <v>80</v>
      </c>
      <c r="B89" s="34">
        <v>294</v>
      </c>
      <c r="C89" s="34" t="s">
        <v>54</v>
      </c>
      <c r="D89" s="39">
        <f>VLOOKUP('3.1 Losowanie warstwowe PROP'!B89,lw!$A$1:$G$1001,2,FALSE)</f>
        <v>42</v>
      </c>
    </row>
    <row r="90" spans="1:4" x14ac:dyDescent="0.3">
      <c r="A90" s="34">
        <v>81</v>
      </c>
      <c r="B90" s="34">
        <v>164</v>
      </c>
      <c r="C90" s="34" t="s">
        <v>54</v>
      </c>
      <c r="D90" s="39">
        <f>VLOOKUP('3.1 Losowanie warstwowe PROP'!B90,lw!$A$1:$G$1001,2,FALSE)</f>
        <v>10</v>
      </c>
    </row>
    <row r="91" spans="1:4" x14ac:dyDescent="0.3">
      <c r="A91" s="34">
        <v>82</v>
      </c>
      <c r="B91" s="34">
        <v>427</v>
      </c>
      <c r="C91" s="34" t="s">
        <v>54</v>
      </c>
      <c r="D91" s="39">
        <f>VLOOKUP('3.1 Losowanie warstwowe PROP'!B91,lw!$A$1:$G$1001,2,FALSE)</f>
        <v>28</v>
      </c>
    </row>
    <row r="92" spans="1:4" x14ac:dyDescent="0.3">
      <c r="A92" s="34">
        <v>83</v>
      </c>
      <c r="B92" s="34">
        <v>235</v>
      </c>
      <c r="C92" s="34" t="s">
        <v>54</v>
      </c>
      <c r="D92" s="39">
        <f>VLOOKUP('3.1 Losowanie warstwowe PROP'!B92,lw!$A$1:$G$1001,2,FALSE)</f>
        <v>4</v>
      </c>
    </row>
    <row r="93" spans="1:4" x14ac:dyDescent="0.3">
      <c r="A93" s="34">
        <v>84</v>
      </c>
      <c r="B93" s="34">
        <v>738</v>
      </c>
      <c r="C93" s="34" t="s">
        <v>54</v>
      </c>
      <c r="D93" s="39">
        <f>VLOOKUP('3.1 Losowanie warstwowe PROP'!B93,lw!$A$1:$G$1001,2,FALSE)</f>
        <v>18</v>
      </c>
    </row>
    <row r="94" spans="1:4" x14ac:dyDescent="0.3">
      <c r="A94" s="34">
        <v>85</v>
      </c>
      <c r="B94" s="34">
        <v>391</v>
      </c>
      <c r="C94" s="34" t="s">
        <v>54</v>
      </c>
      <c r="D94" s="39">
        <f>VLOOKUP('3.1 Losowanie warstwowe PROP'!B94,lw!$A$1:$G$1001,2,FALSE)</f>
        <v>18</v>
      </c>
    </row>
    <row r="95" spans="1:4" x14ac:dyDescent="0.3">
      <c r="A95" s="34">
        <v>86</v>
      </c>
      <c r="B95" s="34">
        <v>494</v>
      </c>
      <c r="C95" s="34" t="s">
        <v>54</v>
      </c>
      <c r="D95" s="39">
        <f>VLOOKUP('3.1 Losowanie warstwowe PROP'!B95,lw!$A$1:$G$1001,2,FALSE)</f>
        <v>6</v>
      </c>
    </row>
    <row r="96" spans="1:4" x14ac:dyDescent="0.3">
      <c r="A96" s="34">
        <v>87</v>
      </c>
      <c r="B96" s="34">
        <v>9</v>
      </c>
      <c r="C96" s="34" t="s">
        <v>54</v>
      </c>
      <c r="D96" s="39">
        <f>VLOOKUP('3.1 Losowanie warstwowe PROP'!B96,lw!$A$1:$G$1001,2,FALSE)</f>
        <v>12</v>
      </c>
    </row>
    <row r="97" spans="1:4" x14ac:dyDescent="0.3">
      <c r="A97" s="34">
        <v>88</v>
      </c>
      <c r="B97" s="34">
        <v>746</v>
      </c>
      <c r="C97" s="34" t="s">
        <v>54</v>
      </c>
      <c r="D97" s="39">
        <f>VLOOKUP('3.1 Losowanie warstwowe PROP'!B97,lw!$A$1:$G$1001,2,FALSE)</f>
        <v>13</v>
      </c>
    </row>
    <row r="98" spans="1:4" x14ac:dyDescent="0.3">
      <c r="A98" s="34">
        <v>89</v>
      </c>
      <c r="B98" s="34">
        <v>61</v>
      </c>
      <c r="C98" s="34" t="s">
        <v>54</v>
      </c>
      <c r="D98" s="39">
        <f>VLOOKUP('3.1 Losowanie warstwowe PROP'!B98,lw!$A$1:$G$1001,2,FALSE)</f>
        <v>9</v>
      </c>
    </row>
    <row r="99" spans="1:4" x14ac:dyDescent="0.3">
      <c r="A99" s="34">
        <v>90</v>
      </c>
      <c r="B99" s="34">
        <v>89</v>
      </c>
      <c r="C99" s="34" t="s">
        <v>54</v>
      </c>
      <c r="D99" s="39">
        <f>VLOOKUP('3.1 Losowanie warstwowe PROP'!B99,lw!$A$1:$G$1001,2,FALSE)</f>
        <v>18</v>
      </c>
    </row>
    <row r="100" spans="1:4" x14ac:dyDescent="0.3">
      <c r="A100" s="34">
        <v>91</v>
      </c>
      <c r="B100" s="34">
        <v>441</v>
      </c>
      <c r="C100" s="34" t="s">
        <v>54</v>
      </c>
      <c r="D100" s="39">
        <f>VLOOKUP('3.1 Losowanie warstwowe PROP'!B100,lw!$A$1:$G$1001,2,FALSE)</f>
        <v>12</v>
      </c>
    </row>
    <row r="101" spans="1:4" x14ac:dyDescent="0.3">
      <c r="A101" s="34">
        <v>92</v>
      </c>
      <c r="B101" s="34">
        <v>26</v>
      </c>
      <c r="C101" s="34" t="s">
        <v>54</v>
      </c>
      <c r="D101" s="39">
        <f>VLOOKUP('3.1 Losowanie warstwowe PROP'!B101,lw!$A$1:$G$1001,2,FALSE)</f>
        <v>6</v>
      </c>
    </row>
    <row r="102" spans="1:4" x14ac:dyDescent="0.3">
      <c r="A102" s="34">
        <v>93</v>
      </c>
      <c r="B102" s="34">
        <v>7</v>
      </c>
      <c r="C102" s="34" t="s">
        <v>54</v>
      </c>
      <c r="D102" s="39">
        <f>VLOOKUP('3.1 Losowanie warstwowe PROP'!B102,lw!$A$1:$G$1001,2,FALSE)</f>
        <v>24</v>
      </c>
    </row>
    <row r="103" spans="1:4" x14ac:dyDescent="0.3">
      <c r="A103" s="34">
        <v>94</v>
      </c>
      <c r="B103" s="34">
        <v>989</v>
      </c>
      <c r="C103" s="34" t="s">
        <v>54</v>
      </c>
      <c r="D103" s="39">
        <f>VLOOKUP('3.1 Losowanie warstwowe PROP'!B103,lw!$A$1:$G$1001,2,FALSE)</f>
        <v>24</v>
      </c>
    </row>
    <row r="104" spans="1:4" x14ac:dyDescent="0.3">
      <c r="A104" s="34">
        <v>95</v>
      </c>
      <c r="B104" s="34">
        <v>42</v>
      </c>
      <c r="C104" s="34" t="s">
        <v>54</v>
      </c>
      <c r="D104" s="39">
        <f>VLOOKUP('3.1 Losowanie warstwowe PROP'!B104,lw!$A$1:$G$1001,2,FALSE)</f>
        <v>12</v>
      </c>
    </row>
    <row r="105" spans="1:4" x14ac:dyDescent="0.3">
      <c r="A105" s="34">
        <v>96</v>
      </c>
      <c r="B105" s="34">
        <v>163</v>
      </c>
      <c r="C105" s="34" t="s">
        <v>54</v>
      </c>
      <c r="D105" s="39">
        <f>VLOOKUP('3.1 Losowanie warstwowe PROP'!B105,lw!$A$1:$G$1001,2,FALSE)</f>
        <v>15</v>
      </c>
    </row>
    <row r="106" spans="1:4" x14ac:dyDescent="0.3">
      <c r="A106" s="34">
        <v>97</v>
      </c>
      <c r="B106" s="34">
        <v>969</v>
      </c>
      <c r="C106" s="34" t="s">
        <v>54</v>
      </c>
      <c r="D106" s="39">
        <f>VLOOKUP('3.1 Losowanie warstwowe PROP'!B106,lw!$A$1:$G$1001,2,FALSE)</f>
        <v>42</v>
      </c>
    </row>
    <row r="107" spans="1:4" x14ac:dyDescent="0.3">
      <c r="A107" s="34">
        <v>98</v>
      </c>
      <c r="B107" s="34">
        <v>155</v>
      </c>
      <c r="C107" s="34" t="s">
        <v>54</v>
      </c>
      <c r="D107" s="39">
        <f>VLOOKUP('3.1 Losowanie warstwowe PROP'!B107,lw!$A$1:$G$1001,2,FALSE)</f>
        <v>24</v>
      </c>
    </row>
    <row r="108" spans="1:4" x14ac:dyDescent="0.3">
      <c r="A108" s="34">
        <v>99</v>
      </c>
      <c r="B108" s="34">
        <v>311</v>
      </c>
      <c r="C108" s="34" t="s">
        <v>54</v>
      </c>
      <c r="D108" s="39">
        <f>VLOOKUP('3.1 Losowanie warstwowe PROP'!B108,lw!$A$1:$G$1001,2,FALSE)</f>
        <v>48</v>
      </c>
    </row>
    <row r="109" spans="1:4" x14ac:dyDescent="0.3">
      <c r="A109" s="34">
        <v>100</v>
      </c>
      <c r="B109" s="34">
        <v>49</v>
      </c>
      <c r="C109" s="34" t="s">
        <v>54</v>
      </c>
      <c r="D109" s="39">
        <f>VLOOKUP('3.1 Losowanie warstwowe PROP'!B109,lw!$A$1:$G$1001,2,FALSE)</f>
        <v>11</v>
      </c>
    </row>
    <row r="110" spans="1:4" x14ac:dyDescent="0.3">
      <c r="A110" s="34">
        <v>101</v>
      </c>
      <c r="B110" s="34">
        <v>553</v>
      </c>
      <c r="C110" s="34" t="s">
        <v>55</v>
      </c>
      <c r="D110" s="39">
        <f>VLOOKUP('3.1 Losowanie warstwowe PROP'!B110,lw!$A$1:$G$1001,2,FALSE)</f>
        <v>48</v>
      </c>
    </row>
    <row r="111" spans="1:4" x14ac:dyDescent="0.3">
      <c r="A111" s="34">
        <v>102</v>
      </c>
      <c r="B111" s="34">
        <v>590</v>
      </c>
      <c r="C111" s="34" t="s">
        <v>55</v>
      </c>
      <c r="D111" s="39">
        <f>VLOOKUP('3.1 Losowanie warstwowe PROP'!B111,lw!$A$1:$G$1001,2,FALSE)</f>
        <v>12</v>
      </c>
    </row>
    <row r="112" spans="1:4" x14ac:dyDescent="0.3">
      <c r="A112" s="34">
        <v>103</v>
      </c>
      <c r="B112" s="34">
        <v>274</v>
      </c>
      <c r="C112" s="34" t="s">
        <v>55</v>
      </c>
      <c r="D112" s="39">
        <f>VLOOKUP('3.1 Losowanie warstwowe PROP'!B112,lw!$A$1:$G$1001,2,FALSE)</f>
        <v>48</v>
      </c>
    </row>
    <row r="113" spans="1:4" x14ac:dyDescent="0.3">
      <c r="A113" s="34">
        <v>104</v>
      </c>
      <c r="B113" s="34">
        <v>399</v>
      </c>
      <c r="C113" s="34" t="s">
        <v>55</v>
      </c>
      <c r="D113" s="39">
        <f>VLOOKUP('3.1 Losowanie warstwowe PROP'!B113,lw!$A$1:$G$1001,2,FALSE)</f>
        <v>12</v>
      </c>
    </row>
    <row r="114" spans="1:4" x14ac:dyDescent="0.3">
      <c r="A114" s="34">
        <v>105</v>
      </c>
      <c r="B114" s="34">
        <v>191</v>
      </c>
      <c r="C114" s="34" t="s">
        <v>55</v>
      </c>
      <c r="D114" s="39">
        <f>VLOOKUP('3.1 Losowanie warstwowe PROP'!B114,lw!$A$1:$G$1001,2,FALSE)</f>
        <v>24</v>
      </c>
    </row>
    <row r="115" spans="1:4" x14ac:dyDescent="0.3">
      <c r="A115" s="34">
        <v>106</v>
      </c>
      <c r="B115" s="34">
        <v>138</v>
      </c>
      <c r="C115" s="34" t="s">
        <v>55</v>
      </c>
      <c r="D115" s="39">
        <f>VLOOKUP('3.1 Losowanie warstwowe PROP'!B115,lw!$A$1:$G$1001,2,FALSE)</f>
        <v>12</v>
      </c>
    </row>
    <row r="116" spans="1:4" x14ac:dyDescent="0.3">
      <c r="A116" s="34">
        <v>107</v>
      </c>
      <c r="B116" s="34">
        <v>541</v>
      </c>
      <c r="C116" s="34" t="s">
        <v>55</v>
      </c>
      <c r="D116" s="39">
        <f>VLOOKUP('3.1 Losowanie warstwowe PROP'!B116,lw!$A$1:$G$1001,2,FALSE)</f>
        <v>12</v>
      </c>
    </row>
    <row r="117" spans="1:4" x14ac:dyDescent="0.3">
      <c r="A117" s="34">
        <v>108</v>
      </c>
      <c r="B117" s="34">
        <v>475</v>
      </c>
      <c r="C117" s="34" t="s">
        <v>55</v>
      </c>
      <c r="D117" s="39">
        <f>VLOOKUP('3.1 Losowanie warstwowe PROP'!B117,lw!$A$1:$G$1001,2,FALSE)</f>
        <v>18</v>
      </c>
    </row>
    <row r="118" spans="1:4" x14ac:dyDescent="0.3">
      <c r="A118" s="34">
        <v>109</v>
      </c>
      <c r="B118" s="34">
        <v>231</v>
      </c>
      <c r="C118" s="34" t="s">
        <v>55</v>
      </c>
      <c r="D118" s="39">
        <f>VLOOKUP('3.1 Losowanie warstwowe PROP'!B118,lw!$A$1:$G$1001,2,FALSE)</f>
        <v>36</v>
      </c>
    </row>
    <row r="119" spans="1:4" x14ac:dyDescent="0.3">
      <c r="A119" s="34">
        <v>110</v>
      </c>
      <c r="B119" s="34">
        <v>598</v>
      </c>
      <c r="C119" s="34" t="s">
        <v>55</v>
      </c>
      <c r="D119" s="39">
        <f>VLOOKUP('3.1 Losowanie warstwowe PROP'!B119,lw!$A$1:$G$1001,2,FALSE)</f>
        <v>24</v>
      </c>
    </row>
    <row r="120" spans="1:4" x14ac:dyDescent="0.3">
      <c r="A120" s="34">
        <v>111</v>
      </c>
      <c r="B120" s="34">
        <v>290</v>
      </c>
      <c r="C120" s="34" t="s">
        <v>55</v>
      </c>
      <c r="D120" s="39">
        <f>VLOOKUP('3.1 Losowanie warstwowe PROP'!B120,lw!$A$1:$G$1001,2,FALSE)</f>
        <v>24</v>
      </c>
    </row>
    <row r="121" spans="1:4" x14ac:dyDescent="0.3">
      <c r="A121" s="34">
        <v>112</v>
      </c>
      <c r="B121" s="34">
        <v>132</v>
      </c>
      <c r="C121" s="34" t="s">
        <v>55</v>
      </c>
      <c r="D121" s="39">
        <f>VLOOKUP('3.1 Losowanie warstwowe PROP'!B121,lw!$A$1:$G$1001,2,FALSE)</f>
        <v>36</v>
      </c>
    </row>
    <row r="122" spans="1:4" x14ac:dyDescent="0.3">
      <c r="A122" s="34">
        <v>113</v>
      </c>
      <c r="B122" s="34">
        <v>760</v>
      </c>
      <c r="C122" s="34" t="s">
        <v>55</v>
      </c>
      <c r="D122" s="39">
        <f>VLOOKUP('3.1 Losowanie warstwowe PROP'!B122,lw!$A$1:$G$1001,2,FALSE)</f>
        <v>12</v>
      </c>
    </row>
    <row r="123" spans="1:4" x14ac:dyDescent="0.3">
      <c r="A123" s="34">
        <v>114</v>
      </c>
      <c r="B123" s="34">
        <v>625</v>
      </c>
      <c r="C123" s="34" t="s">
        <v>55</v>
      </c>
      <c r="D123" s="39">
        <f>VLOOKUP('3.1 Losowanie warstwowe PROP'!B123,lw!$A$1:$G$1001,2,FALSE)</f>
        <v>18</v>
      </c>
    </row>
    <row r="124" spans="1:4" x14ac:dyDescent="0.3">
      <c r="A124" s="34">
        <v>115</v>
      </c>
      <c r="B124" s="34">
        <v>496</v>
      </c>
      <c r="C124" s="34" t="s">
        <v>55</v>
      </c>
      <c r="D124" s="39">
        <f>VLOOKUP('3.1 Losowanie warstwowe PROP'!B124,lw!$A$1:$G$1001,2,FALSE)</f>
        <v>24</v>
      </c>
    </row>
    <row r="125" spans="1:4" x14ac:dyDescent="0.3">
      <c r="A125" s="34">
        <v>116</v>
      </c>
      <c r="B125" s="34">
        <v>504</v>
      </c>
      <c r="C125" s="34" t="s">
        <v>55</v>
      </c>
      <c r="D125" s="39">
        <f>VLOOKUP('3.1 Losowanie warstwowe PROP'!B125,lw!$A$1:$G$1001,2,FALSE)</f>
        <v>24</v>
      </c>
    </row>
    <row r="126" spans="1:4" x14ac:dyDescent="0.3">
      <c r="A126" s="34">
        <v>117</v>
      </c>
      <c r="B126" s="34">
        <v>662</v>
      </c>
      <c r="C126" s="34" t="s">
        <v>55</v>
      </c>
      <c r="D126" s="39">
        <f>VLOOKUP('3.1 Losowanie warstwowe PROP'!B126,lw!$A$1:$G$1001,2,FALSE)</f>
        <v>12</v>
      </c>
    </row>
    <row r="127" spans="1:4" x14ac:dyDescent="0.3">
      <c r="A127" s="34">
        <v>118</v>
      </c>
      <c r="B127" s="34">
        <v>269</v>
      </c>
      <c r="C127" s="34" t="s">
        <v>55</v>
      </c>
      <c r="D127" s="39">
        <f>VLOOKUP('3.1 Losowanie warstwowe PROP'!B127,lw!$A$1:$G$1001,2,FALSE)</f>
        <v>14</v>
      </c>
    </row>
    <row r="128" spans="1:4" x14ac:dyDescent="0.3">
      <c r="A128" s="34">
        <v>119</v>
      </c>
      <c r="B128" s="34">
        <v>654</v>
      </c>
      <c r="C128" s="34" t="s">
        <v>55</v>
      </c>
      <c r="D128" s="39">
        <f>VLOOKUP('3.1 Losowanie warstwowe PROP'!B128,lw!$A$1:$G$1001,2,FALSE)</f>
        <v>36</v>
      </c>
    </row>
    <row r="129" spans="1:4" x14ac:dyDescent="0.3">
      <c r="A129" s="34">
        <v>120</v>
      </c>
      <c r="B129" s="34">
        <v>764</v>
      </c>
      <c r="C129" s="34" t="s">
        <v>55</v>
      </c>
      <c r="D129" s="39">
        <f>VLOOKUP('3.1 Losowanie warstwowe PROP'!B129,lw!$A$1:$G$1001,2,FALSE)</f>
        <v>21</v>
      </c>
    </row>
    <row r="130" spans="1:4" x14ac:dyDescent="0.3">
      <c r="A130" s="34">
        <v>121</v>
      </c>
      <c r="B130" s="34">
        <v>984</v>
      </c>
      <c r="C130" s="34" t="s">
        <v>55</v>
      </c>
      <c r="D130" s="39">
        <f>VLOOKUP('3.1 Losowanie warstwowe PROP'!B130,lw!$A$1:$G$1001,2,FALSE)</f>
        <v>36</v>
      </c>
    </row>
    <row r="131" spans="1:4" x14ac:dyDescent="0.3">
      <c r="A131" s="34">
        <v>122</v>
      </c>
      <c r="B131" s="34">
        <v>523</v>
      </c>
      <c r="C131" s="34" t="s">
        <v>55</v>
      </c>
      <c r="D131" s="39">
        <f>VLOOKUP('3.1 Losowanie warstwowe PROP'!B131,lw!$A$1:$G$1001,2,FALSE)</f>
        <v>48</v>
      </c>
    </row>
    <row r="132" spans="1:4" x14ac:dyDescent="0.3">
      <c r="A132" s="34">
        <v>123</v>
      </c>
      <c r="B132" s="34">
        <v>813</v>
      </c>
      <c r="C132" s="34" t="s">
        <v>55</v>
      </c>
      <c r="D132" s="39">
        <f>VLOOKUP('3.1 Losowanie warstwowe PROP'!B132,lw!$A$1:$G$1001,2,FALSE)</f>
        <v>36</v>
      </c>
    </row>
    <row r="133" spans="1:4" x14ac:dyDescent="0.3">
      <c r="A133" s="34">
        <v>124</v>
      </c>
      <c r="B133" s="34">
        <v>107</v>
      </c>
      <c r="C133" s="34" t="s">
        <v>55</v>
      </c>
      <c r="D133" s="39">
        <f>VLOOKUP('3.1 Losowanie warstwowe PROP'!B133,lw!$A$1:$G$1001,2,FALSE)</f>
        <v>18</v>
      </c>
    </row>
    <row r="134" spans="1:4" x14ac:dyDescent="0.3">
      <c r="A134" s="34">
        <v>125</v>
      </c>
      <c r="B134" s="34">
        <v>640</v>
      </c>
      <c r="C134" s="34" t="s">
        <v>55</v>
      </c>
      <c r="D134" s="39">
        <f>VLOOKUP('3.1 Losowanie warstwowe PROP'!B134,lw!$A$1:$G$1001,2,FALSE)</f>
        <v>42</v>
      </c>
    </row>
    <row r="135" spans="1:4" x14ac:dyDescent="0.3">
      <c r="A135" s="34">
        <v>126</v>
      </c>
      <c r="B135" s="34">
        <v>815</v>
      </c>
      <c r="C135" s="34" t="s">
        <v>55</v>
      </c>
      <c r="D135" s="39">
        <f>VLOOKUP('3.1 Losowanie warstwowe PROP'!B135,lw!$A$1:$G$1001,2,FALSE)</f>
        <v>48</v>
      </c>
    </row>
    <row r="136" spans="1:4" x14ac:dyDescent="0.3">
      <c r="A136" s="34">
        <v>127</v>
      </c>
      <c r="B136" s="34">
        <v>854</v>
      </c>
      <c r="C136" s="34" t="s">
        <v>55</v>
      </c>
      <c r="D136" s="39">
        <f>VLOOKUP('3.1 Losowanie warstwowe PROP'!B136,lw!$A$1:$G$1001,2,FALSE)</f>
        <v>18</v>
      </c>
    </row>
    <row r="137" spans="1:4" x14ac:dyDescent="0.3">
      <c r="A137" s="34">
        <v>128</v>
      </c>
      <c r="B137" s="34">
        <v>308</v>
      </c>
      <c r="C137" s="34" t="s">
        <v>55</v>
      </c>
      <c r="D137" s="39">
        <f>VLOOKUP('3.1 Losowanie warstwowe PROP'!B137,lw!$A$1:$G$1001,2,FALSE)</f>
        <v>12</v>
      </c>
    </row>
    <row r="138" spans="1:4" x14ac:dyDescent="0.3">
      <c r="A138" s="34">
        <v>129</v>
      </c>
      <c r="B138" s="34">
        <v>599</v>
      </c>
      <c r="C138" s="34" t="s">
        <v>55</v>
      </c>
      <c r="D138" s="39">
        <f>VLOOKUP('3.1 Losowanie warstwowe PROP'!B138,lw!$A$1:$G$1001,2,FALSE)</f>
        <v>18</v>
      </c>
    </row>
    <row r="139" spans="1:4" x14ac:dyDescent="0.3">
      <c r="A139" s="34">
        <v>130</v>
      </c>
      <c r="B139" s="34">
        <v>721</v>
      </c>
      <c r="C139" s="34" t="s">
        <v>55</v>
      </c>
      <c r="D139" s="39">
        <f>VLOOKUP('3.1 Losowanie warstwowe PROP'!B139,lw!$A$1:$G$1001,2,FALSE)</f>
        <v>9</v>
      </c>
    </row>
    <row r="140" spans="1:4" x14ac:dyDescent="0.3">
      <c r="A140" s="34">
        <v>131</v>
      </c>
      <c r="B140" s="34">
        <v>928</v>
      </c>
      <c r="C140" s="34" t="s">
        <v>55</v>
      </c>
      <c r="D140" s="39">
        <f>VLOOKUP('3.1 Losowanie warstwowe PROP'!B140,lw!$A$1:$G$1001,2,FALSE)</f>
        <v>48</v>
      </c>
    </row>
    <row r="141" spans="1:4" x14ac:dyDescent="0.3">
      <c r="A141" s="34">
        <v>132</v>
      </c>
      <c r="B141" s="34">
        <v>354</v>
      </c>
      <c r="C141" s="34" t="s">
        <v>55</v>
      </c>
      <c r="D141" s="39">
        <f>VLOOKUP('3.1 Losowanie warstwowe PROP'!B141,lw!$A$1:$G$1001,2,FALSE)</f>
        <v>12</v>
      </c>
    </row>
    <row r="142" spans="1:4" x14ac:dyDescent="0.3">
      <c r="A142" s="34">
        <v>133</v>
      </c>
      <c r="B142" s="34">
        <v>292</v>
      </c>
      <c r="C142" s="34" t="s">
        <v>55</v>
      </c>
      <c r="D142" s="39">
        <f>VLOOKUP('3.1 Losowanie warstwowe PROP'!B142,lw!$A$1:$G$1001,2,FALSE)</f>
        <v>36</v>
      </c>
    </row>
    <row r="143" spans="1:4" x14ac:dyDescent="0.3">
      <c r="A143" s="34">
        <v>134</v>
      </c>
      <c r="B143" s="34">
        <v>632</v>
      </c>
      <c r="C143" s="34" t="s">
        <v>55</v>
      </c>
      <c r="D143" s="39">
        <f>VLOOKUP('3.1 Losowanie warstwowe PROP'!B143,lw!$A$1:$G$1001,2,FALSE)</f>
        <v>18</v>
      </c>
    </row>
    <row r="144" spans="1:4" x14ac:dyDescent="0.3">
      <c r="A144" s="34">
        <v>135</v>
      </c>
      <c r="B144" s="34">
        <v>236</v>
      </c>
      <c r="C144" s="34" t="s">
        <v>55</v>
      </c>
      <c r="D144" s="39">
        <f>VLOOKUP('3.1 Losowanie warstwowe PROP'!B144,lw!$A$1:$G$1001,2,FALSE)</f>
        <v>24</v>
      </c>
    </row>
    <row r="145" spans="1:4" x14ac:dyDescent="0.3">
      <c r="A145" s="34">
        <v>136</v>
      </c>
      <c r="B145" s="34">
        <v>243</v>
      </c>
      <c r="C145" s="34" t="s">
        <v>55</v>
      </c>
      <c r="D145" s="39">
        <f>VLOOKUP('3.1 Losowanie warstwowe PROP'!B145,lw!$A$1:$G$1001,2,FALSE)</f>
        <v>48</v>
      </c>
    </row>
    <row r="146" spans="1:4" x14ac:dyDescent="0.3">
      <c r="A146" s="34">
        <v>137</v>
      </c>
      <c r="B146" s="34">
        <v>628</v>
      </c>
      <c r="C146" s="34" t="s">
        <v>55</v>
      </c>
      <c r="D146" s="39">
        <f>VLOOKUP('3.1 Losowanie warstwowe PROP'!B146,lw!$A$1:$G$1001,2,FALSE)</f>
        <v>9</v>
      </c>
    </row>
    <row r="147" spans="1:4" x14ac:dyDescent="0.3">
      <c r="A147" s="34">
        <v>138</v>
      </c>
      <c r="B147" s="34">
        <v>379</v>
      </c>
      <c r="C147" s="34" t="s">
        <v>55</v>
      </c>
      <c r="D147" s="39">
        <f>VLOOKUP('3.1 Losowanie warstwowe PROP'!B147,lw!$A$1:$G$1001,2,FALSE)</f>
        <v>36</v>
      </c>
    </row>
    <row r="148" spans="1:4" x14ac:dyDescent="0.3">
      <c r="A148" s="34">
        <v>139</v>
      </c>
      <c r="B148" s="34">
        <v>733</v>
      </c>
      <c r="C148" s="34" t="s">
        <v>56</v>
      </c>
      <c r="D148" s="39">
        <f>VLOOKUP('3.1 Losowanie warstwowe PROP'!B148,lw!$A$1:$G$1001,2,FALSE)</f>
        <v>8</v>
      </c>
    </row>
    <row r="149" spans="1:4" x14ac:dyDescent="0.3">
      <c r="A149" s="34">
        <v>140</v>
      </c>
      <c r="B149" s="34">
        <v>212</v>
      </c>
      <c r="C149" s="34" t="s">
        <v>56</v>
      </c>
      <c r="D149" s="39">
        <f>VLOOKUP('3.1 Losowanie warstwowe PROP'!B149,lw!$A$1:$G$1001,2,FALSE)</f>
        <v>36</v>
      </c>
    </row>
    <row r="150" spans="1:4" x14ac:dyDescent="0.3">
      <c r="A150" s="34">
        <v>141</v>
      </c>
      <c r="B150" s="34">
        <v>706</v>
      </c>
      <c r="C150" s="34" t="s">
        <v>56</v>
      </c>
      <c r="D150" s="39">
        <f>VLOOKUP('3.1 Losowanie warstwowe PROP'!B150,lw!$A$1:$G$1001,2,FALSE)</f>
        <v>15</v>
      </c>
    </row>
    <row r="151" spans="1:4" x14ac:dyDescent="0.3">
      <c r="A151" s="34">
        <v>142</v>
      </c>
      <c r="B151" s="34">
        <v>538</v>
      </c>
      <c r="C151" s="34" t="s">
        <v>56</v>
      </c>
      <c r="D151" s="39">
        <f>VLOOKUP('3.1 Losowanie warstwowe PROP'!B151,lw!$A$1:$G$1001,2,FALSE)</f>
        <v>18</v>
      </c>
    </row>
    <row r="152" spans="1:4" x14ac:dyDescent="0.3">
      <c r="A152" s="34">
        <v>143</v>
      </c>
      <c r="B152" s="34">
        <v>761</v>
      </c>
      <c r="C152" s="34" t="s">
        <v>56</v>
      </c>
      <c r="D152" s="39">
        <f>VLOOKUP('3.1 Losowanie warstwowe PROP'!B152,lw!$A$1:$G$1001,2,FALSE)</f>
        <v>15</v>
      </c>
    </row>
    <row r="153" spans="1:4" x14ac:dyDescent="0.3">
      <c r="A153" s="34">
        <v>144</v>
      </c>
      <c r="B153" s="34">
        <v>370</v>
      </c>
      <c r="C153" s="34" t="s">
        <v>56</v>
      </c>
      <c r="D153" s="39">
        <f>VLOOKUP('3.1 Losowanie warstwowe PROP'!B153,lw!$A$1:$G$1001,2,FALSE)</f>
        <v>18</v>
      </c>
    </row>
    <row r="154" spans="1:4" x14ac:dyDescent="0.3">
      <c r="A154" s="34">
        <v>145</v>
      </c>
      <c r="B154" s="34">
        <v>874</v>
      </c>
      <c r="C154" s="34" t="s">
        <v>56</v>
      </c>
      <c r="D154" s="39">
        <f>VLOOKUP('3.1 Losowanie warstwowe PROP'!B154,lw!$A$1:$G$1001,2,FALSE)</f>
        <v>15</v>
      </c>
    </row>
    <row r="155" spans="1:4" x14ac:dyDescent="0.3">
      <c r="A155" s="34">
        <v>146</v>
      </c>
      <c r="B155" s="34">
        <v>50</v>
      </c>
      <c r="C155" s="34" t="s">
        <v>56</v>
      </c>
      <c r="D155" s="39">
        <f>VLOOKUP('3.1 Losowanie warstwowe PROP'!B155,lw!$A$1:$G$1001,2,FALSE)</f>
        <v>12</v>
      </c>
    </row>
    <row r="156" spans="1:4" x14ac:dyDescent="0.3">
      <c r="A156" s="34">
        <v>147</v>
      </c>
      <c r="B156" s="34">
        <v>576</v>
      </c>
      <c r="C156" s="34" t="s">
        <v>56</v>
      </c>
      <c r="D156" s="39">
        <f>VLOOKUP('3.1 Losowanie warstwowe PROP'!B156,lw!$A$1:$G$1001,2,FALSE)</f>
        <v>15</v>
      </c>
    </row>
    <row r="157" spans="1:4" x14ac:dyDescent="0.3">
      <c r="A157" s="34">
        <v>148</v>
      </c>
      <c r="B157" s="34">
        <v>516</v>
      </c>
      <c r="C157" s="34" t="s">
        <v>56</v>
      </c>
      <c r="D157" s="39">
        <f>VLOOKUP('3.1 Losowanie warstwowe PROP'!B157,lw!$A$1:$G$1001,2,FALSE)</f>
        <v>6</v>
      </c>
    </row>
    <row r="158" spans="1:4" x14ac:dyDescent="0.3">
      <c r="A158" s="34">
        <v>149</v>
      </c>
      <c r="B158" s="34">
        <v>469</v>
      </c>
      <c r="C158" s="34" t="s">
        <v>56</v>
      </c>
      <c r="D158" s="39">
        <f>VLOOKUP('3.1 Losowanie warstwowe PROP'!B158,lw!$A$1:$G$1001,2,FALSE)</f>
        <v>33</v>
      </c>
    </row>
    <row r="159" spans="1:4" x14ac:dyDescent="0.3">
      <c r="A159" s="34">
        <v>150</v>
      </c>
      <c r="B159" s="34">
        <v>346</v>
      </c>
      <c r="C159" s="34" t="s">
        <v>56</v>
      </c>
      <c r="D159" s="39">
        <f>VLOOKUP('3.1 Losowanie warstwowe PROP'!B159,lw!$A$1:$G$1001,2,FALSE)</f>
        <v>15</v>
      </c>
    </row>
    <row r="160" spans="1:4" x14ac:dyDescent="0.3">
      <c r="A160" s="34">
        <v>151</v>
      </c>
      <c r="B160" s="34">
        <v>703</v>
      </c>
      <c r="C160" s="34" t="s">
        <v>56</v>
      </c>
      <c r="D160" s="39">
        <f>VLOOKUP('3.1 Losowanie warstwowe PROP'!B160,lw!$A$1:$G$1001,2,FALSE)</f>
        <v>24</v>
      </c>
    </row>
    <row r="161" spans="1:4" x14ac:dyDescent="0.3">
      <c r="A161" s="34">
        <v>152</v>
      </c>
      <c r="B161" s="34">
        <v>172</v>
      </c>
      <c r="C161" s="34" t="s">
        <v>56</v>
      </c>
      <c r="D161" s="39">
        <f>VLOOKUP('3.1 Losowanie warstwowe PROP'!B161,lw!$A$1:$G$1001,2,FALSE)</f>
        <v>12</v>
      </c>
    </row>
    <row r="162" spans="1:4" x14ac:dyDescent="0.3">
      <c r="A162" s="34">
        <v>153</v>
      </c>
      <c r="B162" s="34">
        <v>676</v>
      </c>
      <c r="C162" s="34" t="s">
        <v>56</v>
      </c>
      <c r="D162" s="39">
        <f>VLOOKUP('3.1 Losowanie warstwowe PROP'!B162,lw!$A$1:$G$1001,2,FALSE)</f>
        <v>30</v>
      </c>
    </row>
    <row r="163" spans="1:4" x14ac:dyDescent="0.3">
      <c r="A163" s="34">
        <v>154</v>
      </c>
      <c r="B163" s="34">
        <v>260</v>
      </c>
      <c r="C163" s="34" t="s">
        <v>56</v>
      </c>
      <c r="D163" s="39">
        <f>VLOOKUP('3.1 Losowanie warstwowe PROP'!B163,lw!$A$1:$G$1001,2,FALSE)</f>
        <v>11</v>
      </c>
    </row>
    <row r="164" spans="1:4" x14ac:dyDescent="0.3">
      <c r="A164" s="34">
        <v>155</v>
      </c>
      <c r="B164" s="34">
        <v>197</v>
      </c>
      <c r="C164" s="34" t="s">
        <v>56</v>
      </c>
      <c r="D164" s="39">
        <f>VLOOKUP('3.1 Losowanie warstwowe PROP'!B164,lw!$A$1:$G$1001,2,FALSE)</f>
        <v>6</v>
      </c>
    </row>
    <row r="165" spans="1:4" x14ac:dyDescent="0.3">
      <c r="A165" s="34">
        <v>156</v>
      </c>
      <c r="B165" s="34">
        <v>837</v>
      </c>
      <c r="C165" s="34" t="s">
        <v>56</v>
      </c>
      <c r="D165" s="39">
        <f>VLOOKUP('3.1 Losowanie warstwowe PROP'!B165,lw!$A$1:$G$1001,2,FALSE)</f>
        <v>12</v>
      </c>
    </row>
    <row r="166" spans="1:4" x14ac:dyDescent="0.3">
      <c r="A166" s="34">
        <v>157</v>
      </c>
      <c r="B166" s="34">
        <v>109</v>
      </c>
      <c r="C166" s="34" t="s">
        <v>56</v>
      </c>
      <c r="D166" s="39">
        <f>VLOOKUP('3.1 Losowanie warstwowe PROP'!B166,lw!$A$1:$G$1001,2,FALSE)</f>
        <v>24</v>
      </c>
    </row>
    <row r="167" spans="1:4" x14ac:dyDescent="0.3">
      <c r="A167" s="34">
        <v>158</v>
      </c>
      <c r="B167" s="34">
        <v>373</v>
      </c>
      <c r="C167" s="34" t="s">
        <v>56</v>
      </c>
      <c r="D167" s="39">
        <f>VLOOKUP('3.1 Losowanie warstwowe PROP'!B167,lw!$A$1:$G$1001,2,FALSE)</f>
        <v>10</v>
      </c>
    </row>
    <row r="168" spans="1:4" x14ac:dyDescent="0.3">
      <c r="A168" s="34">
        <v>159</v>
      </c>
      <c r="B168" s="34">
        <v>15</v>
      </c>
      <c r="C168" s="34" t="s">
        <v>56</v>
      </c>
      <c r="D168" s="39">
        <f>VLOOKUP('3.1 Losowanie warstwowe PROP'!B168,lw!$A$1:$G$1001,2,FALSE)</f>
        <v>15</v>
      </c>
    </row>
    <row r="169" spans="1:4" x14ac:dyDescent="0.3">
      <c r="A169" s="34">
        <v>160</v>
      </c>
      <c r="B169" s="34">
        <v>87</v>
      </c>
      <c r="C169" s="34" t="s">
        <v>56</v>
      </c>
      <c r="D169" s="39">
        <f>VLOOKUP('3.1 Losowanie warstwowe PROP'!B169,lw!$A$1:$G$1001,2,FALSE)</f>
        <v>18</v>
      </c>
    </row>
    <row r="170" spans="1:4" x14ac:dyDescent="0.3">
      <c r="A170" s="34">
        <v>161</v>
      </c>
      <c r="B170" s="34">
        <v>446</v>
      </c>
      <c r="C170" s="34" t="s">
        <v>56</v>
      </c>
      <c r="D170" s="39">
        <f>VLOOKUP('3.1 Losowanie warstwowe PROP'!B170,lw!$A$1:$G$1001,2,FALSE)</f>
        <v>9</v>
      </c>
    </row>
    <row r="171" spans="1:4" x14ac:dyDescent="0.3">
      <c r="A171" s="34">
        <v>162</v>
      </c>
      <c r="B171" s="34">
        <v>637</v>
      </c>
      <c r="C171" s="34" t="s">
        <v>56</v>
      </c>
      <c r="D171" s="39">
        <f>VLOOKUP('3.1 Losowanie warstwowe PROP'!B171,lw!$A$1:$G$1001,2,FALSE)</f>
        <v>24</v>
      </c>
    </row>
    <row r="172" spans="1:4" x14ac:dyDescent="0.3">
      <c r="A172" s="34">
        <v>163</v>
      </c>
      <c r="B172" s="34">
        <v>70</v>
      </c>
      <c r="C172" s="34" t="s">
        <v>56</v>
      </c>
      <c r="D172" s="39">
        <f>VLOOKUP('3.1 Losowanie warstwowe PROP'!B172,lw!$A$1:$G$1001,2,FALSE)</f>
        <v>36</v>
      </c>
    </row>
    <row r="173" spans="1:4" x14ac:dyDescent="0.3">
      <c r="A173" s="34">
        <v>164</v>
      </c>
      <c r="B173" s="34">
        <v>780</v>
      </c>
      <c r="C173" s="34" t="s">
        <v>56</v>
      </c>
      <c r="D173" s="39">
        <f>VLOOKUP('3.1 Losowanie warstwowe PROP'!B173,lw!$A$1:$G$1001,2,FALSE)</f>
        <v>18</v>
      </c>
    </row>
    <row r="174" spans="1:4" x14ac:dyDescent="0.3">
      <c r="A174" s="34">
        <v>165</v>
      </c>
      <c r="B174" s="34">
        <v>264</v>
      </c>
      <c r="C174" s="34" t="s">
        <v>56</v>
      </c>
      <c r="D174" s="39">
        <f>VLOOKUP('3.1 Losowanie warstwowe PROP'!B174,lw!$A$1:$G$1001,2,FALSE)</f>
        <v>12</v>
      </c>
    </row>
    <row r="175" spans="1:4" x14ac:dyDescent="0.3">
      <c r="A175" s="34">
        <v>166</v>
      </c>
      <c r="B175" s="34">
        <v>802</v>
      </c>
      <c r="C175" s="34" t="s">
        <v>56</v>
      </c>
      <c r="D175" s="39">
        <f>VLOOKUP('3.1 Losowanie warstwowe PROP'!B175,lw!$A$1:$G$1001,2,FALSE)</f>
        <v>18</v>
      </c>
    </row>
    <row r="176" spans="1:4" x14ac:dyDescent="0.3">
      <c r="A176" s="34">
        <v>167</v>
      </c>
      <c r="B176" s="34">
        <v>46</v>
      </c>
      <c r="C176" s="34" t="s">
        <v>56</v>
      </c>
      <c r="D176" s="39">
        <f>VLOOKUP('3.1 Losowanie warstwowe PROP'!B176,lw!$A$1:$G$1001,2,FALSE)</f>
        <v>11</v>
      </c>
    </row>
    <row r="177" spans="1:4" x14ac:dyDescent="0.3">
      <c r="A177" s="34">
        <v>168</v>
      </c>
      <c r="B177" s="34">
        <v>392</v>
      </c>
      <c r="C177" s="34" t="s">
        <v>56</v>
      </c>
      <c r="D177" s="39">
        <f>VLOOKUP('3.1 Losowanie warstwowe PROP'!B177,lw!$A$1:$G$1001,2,FALSE)</f>
        <v>12</v>
      </c>
    </row>
    <row r="178" spans="1:4" x14ac:dyDescent="0.3">
      <c r="A178" s="34">
        <v>169</v>
      </c>
      <c r="B178" s="34">
        <v>867</v>
      </c>
      <c r="C178" s="34" t="s">
        <v>56</v>
      </c>
      <c r="D178" s="39">
        <f>VLOOKUP('3.1 Losowanie warstwowe PROP'!B178,lw!$A$1:$G$1001,2,FALSE)</f>
        <v>18</v>
      </c>
    </row>
    <row r="179" spans="1:4" x14ac:dyDescent="0.3">
      <c r="A179" s="34">
        <v>170</v>
      </c>
      <c r="B179" s="34">
        <v>555</v>
      </c>
      <c r="C179" s="34" t="s">
        <v>56</v>
      </c>
      <c r="D179" s="39">
        <f>VLOOKUP('3.1 Losowanie warstwowe PROP'!B179,lw!$A$1:$G$1001,2,FALSE)</f>
        <v>9</v>
      </c>
    </row>
    <row r="180" spans="1:4" x14ac:dyDescent="0.3">
      <c r="A180" s="34">
        <v>171</v>
      </c>
      <c r="B180" s="34">
        <v>659</v>
      </c>
      <c r="C180" s="34" t="s">
        <v>56</v>
      </c>
      <c r="D180" s="39">
        <f>VLOOKUP('3.1 Losowanie warstwowe PROP'!B180,lw!$A$1:$G$1001,2,FALSE)</f>
        <v>30</v>
      </c>
    </row>
    <row r="181" spans="1:4" x14ac:dyDescent="0.3">
      <c r="A181" s="34">
        <v>172</v>
      </c>
      <c r="B181" s="34">
        <v>83</v>
      </c>
      <c r="C181" s="34" t="s">
        <v>56</v>
      </c>
      <c r="D181" s="39">
        <f>VLOOKUP('3.1 Losowanie warstwowe PROP'!B181,lw!$A$1:$G$1001,2,FALSE)</f>
        <v>18</v>
      </c>
    </row>
    <row r="182" spans="1:4" x14ac:dyDescent="0.3">
      <c r="A182" s="34">
        <v>173</v>
      </c>
      <c r="B182" s="34">
        <v>86</v>
      </c>
      <c r="C182" s="34" t="s">
        <v>56</v>
      </c>
      <c r="D182" s="39">
        <f>VLOOKUP('3.1 Losowanie warstwowe PROP'!B182,lw!$A$1:$G$1001,2,FALSE)</f>
        <v>12</v>
      </c>
    </row>
    <row r="183" spans="1:4" x14ac:dyDescent="0.3">
      <c r="A183" s="34">
        <v>174</v>
      </c>
      <c r="B183" s="34">
        <v>913</v>
      </c>
      <c r="C183" s="34" t="s">
        <v>56</v>
      </c>
      <c r="D183" s="39">
        <f>VLOOKUP('3.1 Losowanie warstwowe PROP'!B183,lw!$A$1:$G$1001,2,FALSE)</f>
        <v>30</v>
      </c>
    </row>
    <row r="184" spans="1:4" x14ac:dyDescent="0.3">
      <c r="A184" s="34">
        <v>175</v>
      </c>
      <c r="B184" s="34">
        <v>131</v>
      </c>
      <c r="C184" s="34" t="s">
        <v>56</v>
      </c>
      <c r="D184" s="39">
        <f>VLOOKUP('3.1 Losowanie warstwowe PROP'!B184,lw!$A$1:$G$1001,2,FALSE)</f>
        <v>48</v>
      </c>
    </row>
    <row r="185" spans="1:4" x14ac:dyDescent="0.3">
      <c r="A185" s="34">
        <v>176</v>
      </c>
      <c r="B185" s="34">
        <v>342</v>
      </c>
      <c r="C185" s="34" t="s">
        <v>56</v>
      </c>
      <c r="D185" s="39">
        <f>VLOOKUP('3.1 Losowanie warstwowe PROP'!B185,lw!$A$1:$G$1001,2,FALSE)</f>
        <v>21</v>
      </c>
    </row>
    <row r="186" spans="1:4" x14ac:dyDescent="0.3">
      <c r="A186" s="34">
        <v>177</v>
      </c>
      <c r="B186" s="34">
        <v>103</v>
      </c>
      <c r="C186" s="34" t="s">
        <v>56</v>
      </c>
      <c r="D186" s="39">
        <f>VLOOKUP('3.1 Losowanie warstwowe PROP'!B186,lw!$A$1:$G$1001,2,FALSE)</f>
        <v>6</v>
      </c>
    </row>
    <row r="187" spans="1:4" x14ac:dyDescent="0.3">
      <c r="A187" s="34">
        <v>178</v>
      </c>
      <c r="B187" s="34">
        <v>259</v>
      </c>
      <c r="C187" s="34" t="s">
        <v>56</v>
      </c>
      <c r="D187" s="39">
        <f>VLOOKUP('3.1 Losowanie warstwowe PROP'!B187,lw!$A$1:$G$1001,2,FALSE)</f>
        <v>15</v>
      </c>
    </row>
    <row r="188" spans="1:4" x14ac:dyDescent="0.3">
      <c r="A188" s="34">
        <v>179</v>
      </c>
      <c r="B188" s="34">
        <v>843</v>
      </c>
      <c r="C188" s="34" t="s">
        <v>57</v>
      </c>
      <c r="D188" s="39">
        <f>VLOOKUP('3.1 Losowanie warstwowe PROP'!B188,lw!$A$1:$G$1001,2,FALSE)</f>
        <v>18</v>
      </c>
    </row>
    <row r="189" spans="1:4" x14ac:dyDescent="0.3">
      <c r="A189" s="34">
        <v>180</v>
      </c>
      <c r="B189" s="34">
        <v>912</v>
      </c>
      <c r="C189" s="34" t="s">
        <v>57</v>
      </c>
      <c r="D189" s="39">
        <f>VLOOKUP('3.1 Losowanie warstwowe PROP'!B189,lw!$A$1:$G$1001,2,FALSE)</f>
        <v>24</v>
      </c>
    </row>
    <row r="190" spans="1:4" x14ac:dyDescent="0.3">
      <c r="A190" s="34">
        <v>181</v>
      </c>
      <c r="B190" s="34">
        <v>558</v>
      </c>
      <c r="C190" s="34" t="s">
        <v>57</v>
      </c>
      <c r="D190" s="39">
        <f>VLOOKUP('3.1 Losowanie warstwowe PROP'!B190,lw!$A$1:$G$1001,2,FALSE)</f>
        <v>21</v>
      </c>
    </row>
    <row r="191" spans="1:4" x14ac:dyDescent="0.3">
      <c r="A191" s="34">
        <v>182</v>
      </c>
      <c r="B191" s="34">
        <v>723</v>
      </c>
      <c r="C191" s="34" t="s">
        <v>57</v>
      </c>
      <c r="D191" s="39">
        <f>VLOOKUP('3.1 Losowanie warstwowe PROP'!B191,lw!$A$1:$G$1001,2,FALSE)</f>
        <v>12</v>
      </c>
    </row>
    <row r="192" spans="1:4" x14ac:dyDescent="0.3">
      <c r="A192" s="34">
        <v>183</v>
      </c>
      <c r="B192" s="34">
        <v>12</v>
      </c>
      <c r="C192" s="34" t="s">
        <v>57</v>
      </c>
      <c r="D192" s="39">
        <f>VLOOKUP('3.1 Losowanie warstwowe PROP'!B192,lw!$A$1:$G$1001,2,FALSE)</f>
        <v>48</v>
      </c>
    </row>
    <row r="193" spans="1:4" x14ac:dyDescent="0.3">
      <c r="A193" s="34">
        <v>184</v>
      </c>
      <c r="B193" s="34">
        <v>608</v>
      </c>
      <c r="C193" s="34" t="s">
        <v>57</v>
      </c>
      <c r="D193" s="39">
        <f>VLOOKUP('3.1 Losowanie warstwowe PROP'!B193,lw!$A$1:$G$1001,2,FALSE)</f>
        <v>36</v>
      </c>
    </row>
    <row r="194" spans="1:4" x14ac:dyDescent="0.3">
      <c r="A194" s="34">
        <v>185</v>
      </c>
      <c r="B194" s="34">
        <v>762</v>
      </c>
      <c r="C194" s="34" t="s">
        <v>57</v>
      </c>
      <c r="D194" s="39">
        <f>VLOOKUP('3.1 Losowanie warstwowe PROP'!B194,lw!$A$1:$G$1001,2,FALSE)</f>
        <v>18</v>
      </c>
    </row>
    <row r="195" spans="1:4" x14ac:dyDescent="0.3">
      <c r="A195" s="34">
        <v>186</v>
      </c>
      <c r="B195" s="34">
        <v>60</v>
      </c>
      <c r="C195" s="34" t="s">
        <v>57</v>
      </c>
      <c r="D195" s="39">
        <f>VLOOKUP('3.1 Losowanie warstwowe PROP'!B195,lw!$A$1:$G$1001,2,FALSE)</f>
        <v>36</v>
      </c>
    </row>
    <row r="196" spans="1:4" x14ac:dyDescent="0.3">
      <c r="A196" s="34">
        <v>187</v>
      </c>
      <c r="B196" s="34">
        <v>532</v>
      </c>
      <c r="C196" s="34" t="s">
        <v>57</v>
      </c>
      <c r="D196" s="39">
        <f>VLOOKUP('3.1 Losowanie warstwowe PROP'!B196,lw!$A$1:$G$1001,2,FALSE)</f>
        <v>15</v>
      </c>
    </row>
    <row r="197" spans="1:4" x14ac:dyDescent="0.3">
      <c r="A197" s="34">
        <v>188</v>
      </c>
      <c r="B197" s="34">
        <v>425</v>
      </c>
      <c r="C197" s="34" t="s">
        <v>57</v>
      </c>
      <c r="D197" s="39">
        <f>VLOOKUP('3.1 Losowanie warstwowe PROP'!B197,lw!$A$1:$G$1001,2,FALSE)</f>
        <v>12</v>
      </c>
    </row>
    <row r="198" spans="1:4" x14ac:dyDescent="0.3">
      <c r="A198" s="34">
        <v>189</v>
      </c>
      <c r="B198" s="34">
        <v>430</v>
      </c>
      <c r="C198" s="34" t="s">
        <v>57</v>
      </c>
      <c r="D198" s="39">
        <f>VLOOKUP('3.1 Losowanie warstwowe PROP'!B198,lw!$A$1:$G$1001,2,FALSE)</f>
        <v>18</v>
      </c>
    </row>
    <row r="199" spans="1:4" x14ac:dyDescent="0.3">
      <c r="A199" s="34">
        <v>190</v>
      </c>
      <c r="B199" s="34">
        <v>729</v>
      </c>
      <c r="C199" s="34" t="s">
        <v>57</v>
      </c>
      <c r="D199" s="39">
        <f>VLOOKUP('3.1 Losowanie warstwowe PROP'!B199,lw!$A$1:$G$1001,2,FALSE)</f>
        <v>48</v>
      </c>
    </row>
    <row r="200" spans="1:4" x14ac:dyDescent="0.3">
      <c r="A200" s="34">
        <v>191</v>
      </c>
      <c r="B200" s="34">
        <v>916</v>
      </c>
      <c r="C200" s="34" t="s">
        <v>57</v>
      </c>
      <c r="D200" s="39">
        <f>VLOOKUP('3.1 Losowanie warstwowe PROP'!B200,lw!$A$1:$G$1001,2,FALSE)</f>
        <v>48</v>
      </c>
    </row>
    <row r="201" spans="1:4" x14ac:dyDescent="0.3">
      <c r="A201" s="34">
        <v>192</v>
      </c>
      <c r="B201" s="34">
        <v>45</v>
      </c>
      <c r="C201" s="34" t="s">
        <v>57</v>
      </c>
      <c r="D201" s="39">
        <f>VLOOKUP('3.1 Losowanie warstwowe PROP'!B201,lw!$A$1:$G$1001,2,FALSE)</f>
        <v>48</v>
      </c>
    </row>
    <row r="202" spans="1:4" x14ac:dyDescent="0.3">
      <c r="A202" s="34">
        <v>193</v>
      </c>
      <c r="B202" s="34">
        <v>117</v>
      </c>
      <c r="C202" s="34" t="s">
        <v>57</v>
      </c>
      <c r="D202" s="39">
        <f>VLOOKUP('3.1 Losowanie warstwowe PROP'!B202,lw!$A$1:$G$1001,2,FALSE)</f>
        <v>42</v>
      </c>
    </row>
    <row r="203" spans="1:4" x14ac:dyDescent="0.3">
      <c r="A203" s="34">
        <v>194</v>
      </c>
      <c r="B203" s="34">
        <v>176</v>
      </c>
      <c r="C203" s="34" t="s">
        <v>57</v>
      </c>
      <c r="D203" s="39">
        <f>VLOOKUP('3.1 Losowanie warstwowe PROP'!B203,lw!$A$1:$G$1001,2,FALSE)</f>
        <v>30</v>
      </c>
    </row>
    <row r="204" spans="1:4" x14ac:dyDescent="0.3">
      <c r="A204" s="34">
        <v>195</v>
      </c>
      <c r="B204" s="34">
        <v>253</v>
      </c>
      <c r="C204" s="34" t="s">
        <v>57</v>
      </c>
      <c r="D204" s="39">
        <f>VLOOKUP('3.1 Losowanie warstwowe PROP'!B204,lw!$A$1:$G$1001,2,FALSE)</f>
        <v>30</v>
      </c>
    </row>
    <row r="205" spans="1:4" x14ac:dyDescent="0.3">
      <c r="A205" s="34">
        <v>196</v>
      </c>
      <c r="B205" s="34">
        <v>859</v>
      </c>
      <c r="C205" s="34" t="s">
        <v>57</v>
      </c>
      <c r="D205" s="39">
        <f>VLOOKUP('3.1 Losowanie warstwowe PROP'!B205,lw!$A$1:$G$1001,2,FALSE)</f>
        <v>15</v>
      </c>
    </row>
    <row r="206" spans="1:4" x14ac:dyDescent="0.3">
      <c r="A206" s="34">
        <v>197</v>
      </c>
      <c r="B206" s="34">
        <v>93</v>
      </c>
      <c r="C206" s="34" t="s">
        <v>57</v>
      </c>
      <c r="D206" s="39">
        <f>VLOOKUP('3.1 Losowanie warstwowe PROP'!B206,lw!$A$1:$G$1001,2,FALSE)</f>
        <v>12</v>
      </c>
    </row>
    <row r="207" spans="1:4" x14ac:dyDescent="0.3">
      <c r="A207" s="34">
        <v>198</v>
      </c>
      <c r="B207" s="34">
        <v>376</v>
      </c>
      <c r="C207" s="34" t="s">
        <v>57</v>
      </c>
      <c r="D207" s="39">
        <f>VLOOKUP('3.1 Losowanie warstwowe PROP'!B207,lw!$A$1:$G$1001,2,FALSE)</f>
        <v>48</v>
      </c>
    </row>
    <row r="208" spans="1:4" x14ac:dyDescent="0.3">
      <c r="A208" s="34">
        <v>199</v>
      </c>
      <c r="B208" s="34">
        <v>279</v>
      </c>
      <c r="C208" s="34" t="s">
        <v>57</v>
      </c>
      <c r="D208" s="39">
        <f>VLOOKUP('3.1 Losowanie warstwowe PROP'!B208,lw!$A$1:$G$1001,2,FALSE)</f>
        <v>6</v>
      </c>
    </row>
    <row r="209" spans="1:4" x14ac:dyDescent="0.3">
      <c r="A209" s="35">
        <v>200</v>
      </c>
      <c r="B209" s="35">
        <v>420</v>
      </c>
      <c r="C209" s="35" t="s">
        <v>57</v>
      </c>
      <c r="D209" s="40">
        <f>VLOOKUP('3.1 Losowanie warstwowe PROP'!B209,lw!$A$1:$G$1001,2,FALSE)</f>
        <v>18</v>
      </c>
    </row>
  </sheetData>
  <mergeCells count="4">
    <mergeCell ref="G10:H10"/>
    <mergeCell ref="K10:L10"/>
    <mergeCell ref="B2:M2"/>
    <mergeCell ref="B3:M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05D3-9569-42D6-86AA-846A97D717C2}">
  <sheetPr>
    <tabColor theme="6" tint="0.59999389629810485"/>
  </sheetPr>
  <dimension ref="A1:N209"/>
  <sheetViews>
    <sheetView topLeftCell="A9" zoomScale="115" zoomScaleNormal="115" workbookViewId="0">
      <selection activeCell="O12" sqref="O12"/>
    </sheetView>
  </sheetViews>
  <sheetFormatPr defaultRowHeight="14.4" x14ac:dyDescent="0.3"/>
  <cols>
    <col min="2" max="2" width="9.109375" bestFit="1" customWidth="1"/>
    <col min="4" max="4" width="11.88671875" bestFit="1" customWidth="1"/>
    <col min="6" max="6" width="11.44140625" customWidth="1"/>
  </cols>
  <sheetData>
    <row r="1" spans="1:14" ht="15" thickBot="1" x14ac:dyDescent="0.35"/>
    <row r="2" spans="1:14" ht="15" thickBot="1" x14ac:dyDescent="0.35">
      <c r="B2" s="316" t="s">
        <v>76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8"/>
    </row>
    <row r="3" spans="1:14" ht="15" customHeight="1" x14ac:dyDescent="0.3">
      <c r="B3" s="319" t="s">
        <v>274</v>
      </c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1"/>
      <c r="N3" s="87"/>
    </row>
    <row r="4" spans="1:14" x14ac:dyDescent="0.3">
      <c r="B4" s="322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4"/>
      <c r="N4" s="87"/>
    </row>
    <row r="5" spans="1:14" x14ac:dyDescent="0.3">
      <c r="B5" s="322"/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4"/>
      <c r="N5" s="87"/>
    </row>
    <row r="6" spans="1:14" ht="15" thickBot="1" x14ac:dyDescent="0.35">
      <c r="B6" s="325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7"/>
      <c r="N6" s="87"/>
    </row>
    <row r="8" spans="1:14" x14ac:dyDescent="0.3">
      <c r="C8" s="33" t="s">
        <v>74</v>
      </c>
      <c r="D8" s="33" t="s">
        <v>23</v>
      </c>
    </row>
    <row r="9" spans="1:14" x14ac:dyDescent="0.3">
      <c r="A9" s="37" t="s">
        <v>13</v>
      </c>
      <c r="B9" s="37" t="s">
        <v>12</v>
      </c>
      <c r="C9" s="37" t="s">
        <v>42</v>
      </c>
      <c r="D9" s="41" t="s">
        <v>63</v>
      </c>
      <c r="F9" s="8" t="s">
        <v>43</v>
      </c>
      <c r="J9" s="8" t="s">
        <v>44</v>
      </c>
    </row>
    <row r="10" spans="1:14" x14ac:dyDescent="0.3">
      <c r="A10" s="34">
        <v>1</v>
      </c>
      <c r="B10" s="34">
        <v>249</v>
      </c>
      <c r="C10" s="34" t="s">
        <v>54</v>
      </c>
      <c r="D10" s="34">
        <v>24</v>
      </c>
      <c r="F10" s="9"/>
      <c r="G10" s="10" t="s">
        <v>45</v>
      </c>
      <c r="H10" s="11"/>
      <c r="J10" s="9"/>
      <c r="K10" s="10" t="s">
        <v>45</v>
      </c>
      <c r="L10" s="11"/>
    </row>
    <row r="11" spans="1:14" x14ac:dyDescent="0.3">
      <c r="A11" s="34">
        <v>2</v>
      </c>
      <c r="B11" s="34">
        <v>774</v>
      </c>
      <c r="C11" s="34" t="s">
        <v>54</v>
      </c>
      <c r="D11" s="34">
        <v>24</v>
      </c>
      <c r="F11" s="4" t="s">
        <v>42</v>
      </c>
      <c r="G11" s="10" t="s">
        <v>46</v>
      </c>
      <c r="H11" s="11" t="s">
        <v>47</v>
      </c>
      <c r="J11" s="4" t="s">
        <v>42</v>
      </c>
      <c r="K11" s="10" t="s">
        <v>46</v>
      </c>
      <c r="L11" s="11" t="s">
        <v>47</v>
      </c>
    </row>
    <row r="12" spans="1:14" x14ac:dyDescent="0.3">
      <c r="A12" s="34">
        <v>3</v>
      </c>
      <c r="B12" s="34">
        <v>894</v>
      </c>
      <c r="C12" s="34" t="s">
        <v>54</v>
      </c>
      <c r="D12" s="34">
        <v>36</v>
      </c>
      <c r="F12" s="12" t="s">
        <v>5</v>
      </c>
      <c r="G12" s="82">
        <f>G17/$G$21</f>
        <v>0.499</v>
      </c>
      <c r="H12" s="82">
        <f>G19/$G$21</f>
        <v>0.20100000000000001</v>
      </c>
      <c r="J12" s="12" t="s">
        <v>5</v>
      </c>
      <c r="K12" s="82">
        <f>I17/$I$21</f>
        <v>0.25</v>
      </c>
      <c r="L12" s="82">
        <f>I17/$I$21</f>
        <v>0.25</v>
      </c>
    </row>
    <row r="13" spans="1:14" x14ac:dyDescent="0.3">
      <c r="A13" s="34">
        <v>4</v>
      </c>
      <c r="B13" s="34">
        <v>124</v>
      </c>
      <c r="C13" s="34" t="s">
        <v>54</v>
      </c>
      <c r="D13" s="34">
        <v>10</v>
      </c>
      <c r="F13" s="13" t="s">
        <v>7</v>
      </c>
      <c r="G13" s="82">
        <f>G18/$G$21</f>
        <v>0.191</v>
      </c>
      <c r="H13" s="82">
        <f>G20/$G$21</f>
        <v>0.109</v>
      </c>
      <c r="J13" s="13" t="s">
        <v>7</v>
      </c>
      <c r="K13" s="82">
        <f>I18/$I$21</f>
        <v>0.25</v>
      </c>
      <c r="L13" s="82">
        <f>I18/$I$21</f>
        <v>0.25</v>
      </c>
    </row>
    <row r="14" spans="1:14" x14ac:dyDescent="0.3">
      <c r="A14" s="34">
        <v>5</v>
      </c>
      <c r="B14" s="34">
        <v>887</v>
      </c>
      <c r="C14" s="34" t="s">
        <v>54</v>
      </c>
      <c r="D14" s="34">
        <v>24</v>
      </c>
    </row>
    <row r="15" spans="1:14" x14ac:dyDescent="0.3">
      <c r="A15" s="34">
        <v>6</v>
      </c>
      <c r="B15" s="34">
        <v>265</v>
      </c>
      <c r="C15" s="34" t="s">
        <v>54</v>
      </c>
      <c r="D15" s="34">
        <v>10</v>
      </c>
      <c r="F15" s="14" t="s">
        <v>254</v>
      </c>
      <c r="G15" s="14"/>
    </row>
    <row r="16" spans="1:14" ht="24.6" x14ac:dyDescent="0.3">
      <c r="A16" s="34">
        <v>7</v>
      </c>
      <c r="B16" s="34">
        <v>907</v>
      </c>
      <c r="C16" s="34" t="s">
        <v>54</v>
      </c>
      <c r="D16" s="34">
        <v>21</v>
      </c>
      <c r="F16" s="237" t="s">
        <v>49</v>
      </c>
      <c r="G16" s="238" t="s">
        <v>68</v>
      </c>
      <c r="H16" s="239" t="s">
        <v>50</v>
      </c>
      <c r="I16" s="240" t="s">
        <v>156</v>
      </c>
      <c r="J16" s="241" t="s">
        <v>206</v>
      </c>
      <c r="K16" s="249" t="s">
        <v>208</v>
      </c>
    </row>
    <row r="17" spans="1:11" ht="19.5" customHeight="1" x14ac:dyDescent="0.3">
      <c r="A17" s="34">
        <v>8</v>
      </c>
      <c r="B17" s="34">
        <v>811</v>
      </c>
      <c r="C17" s="34" t="s">
        <v>54</v>
      </c>
      <c r="D17" s="34">
        <v>8</v>
      </c>
      <c r="F17" s="17" t="s">
        <v>54</v>
      </c>
      <c r="G17" s="18">
        <v>499</v>
      </c>
      <c r="H17" s="9">
        <f>G17/$G$21</f>
        <v>0.499</v>
      </c>
      <c r="I17" s="12">
        <f>COUNTIF($A$10:$D$209,F17)</f>
        <v>50</v>
      </c>
      <c r="J17" s="20" cm="1">
        <f t="array" ref="J17">_xlfn.VAR.S(IF($C$10:$C$209=F17,$D$10:$D$209,""))</f>
        <v>73.97714285714288</v>
      </c>
      <c r="K17" s="75">
        <f>AVERAGEIF($C$10:$C$209,F17,$D$10:$D$209)</f>
        <v>18.32</v>
      </c>
    </row>
    <row r="18" spans="1:11" x14ac:dyDescent="0.3">
      <c r="A18" s="34">
        <v>9</v>
      </c>
      <c r="B18" s="34">
        <v>831</v>
      </c>
      <c r="C18" s="34" t="s">
        <v>54</v>
      </c>
      <c r="D18" s="34">
        <v>24</v>
      </c>
      <c r="F18" s="21" t="s">
        <v>55</v>
      </c>
      <c r="G18" s="18">
        <v>191</v>
      </c>
      <c r="H18" s="19">
        <f>G18/$G$21</f>
        <v>0.191</v>
      </c>
      <c r="I18" s="75">
        <f t="shared" ref="I18:I20" si="0">COUNTIF($A$10:$D$209,F18)</f>
        <v>50</v>
      </c>
      <c r="J18" s="20" cm="1">
        <f t="array" ref="J18">_xlfn.VAR.S(IF($C$10:$C$209=F18,$D$10:$D$209,""))</f>
        <v>202.35959183673475</v>
      </c>
      <c r="K18" s="75">
        <f t="shared" ref="K18:K20" si="1">AVERAGEIF($C$10:$C$209,F18,$D$10:$D$209)</f>
        <v>26.26</v>
      </c>
    </row>
    <row r="19" spans="1:11" x14ac:dyDescent="0.3">
      <c r="A19" s="34">
        <v>10</v>
      </c>
      <c r="B19" s="34">
        <v>34</v>
      </c>
      <c r="C19" s="34" t="s">
        <v>54</v>
      </c>
      <c r="D19" s="34">
        <v>12</v>
      </c>
      <c r="F19" s="21" t="s">
        <v>56</v>
      </c>
      <c r="G19" s="18">
        <v>201</v>
      </c>
      <c r="H19" s="19">
        <f>G19/$G$21</f>
        <v>0.20100000000000001</v>
      </c>
      <c r="I19" s="75">
        <f t="shared" si="0"/>
        <v>50</v>
      </c>
      <c r="J19" s="20" cm="1">
        <f t="array" ref="J19">_xlfn.VAR.S(IF($C$10:$C$209=F19,$D$10:$D$209,""))</f>
        <v>77.688163265306116</v>
      </c>
      <c r="K19" s="75">
        <f t="shared" si="1"/>
        <v>17.84</v>
      </c>
    </row>
    <row r="20" spans="1:11" x14ac:dyDescent="0.3">
      <c r="A20" s="34">
        <v>11</v>
      </c>
      <c r="B20" s="34">
        <v>587</v>
      </c>
      <c r="C20" s="34" t="s">
        <v>54</v>
      </c>
      <c r="D20" s="34">
        <v>9</v>
      </c>
      <c r="F20" s="22" t="s">
        <v>57</v>
      </c>
      <c r="G20" s="23">
        <v>109</v>
      </c>
      <c r="H20" s="76">
        <f>G20/$G$21</f>
        <v>0.109</v>
      </c>
      <c r="I20" s="13">
        <f t="shared" si="0"/>
        <v>50</v>
      </c>
      <c r="J20" s="20" cm="1">
        <f t="array" ref="J20">_xlfn.VAR.S(IF($C$10:$C$209=F20,$D$10:$D$209,""))</f>
        <v>163.60163265306122</v>
      </c>
      <c r="K20" s="13">
        <f t="shared" si="1"/>
        <v>24.48</v>
      </c>
    </row>
    <row r="21" spans="1:11" x14ac:dyDescent="0.3">
      <c r="A21" s="34">
        <v>12</v>
      </c>
      <c r="B21" s="34">
        <v>561</v>
      </c>
      <c r="C21" s="34" t="s">
        <v>54</v>
      </c>
      <c r="D21" s="34">
        <v>24</v>
      </c>
      <c r="F21" s="78" t="s">
        <v>53</v>
      </c>
      <c r="G21" s="4">
        <f>SUM(G17:G20)</f>
        <v>1000</v>
      </c>
      <c r="H21" s="76">
        <f>SUM(H17:H20)</f>
        <v>1</v>
      </c>
      <c r="I21" s="13">
        <f>SUM(I17:I20)</f>
        <v>200</v>
      </c>
      <c r="J21" s="79"/>
      <c r="K21" s="79"/>
    </row>
    <row r="22" spans="1:11" x14ac:dyDescent="0.3">
      <c r="A22" s="34">
        <v>13</v>
      </c>
      <c r="B22" s="34">
        <v>934</v>
      </c>
      <c r="C22" s="34" t="s">
        <v>54</v>
      </c>
      <c r="D22" s="34">
        <v>12</v>
      </c>
    </row>
    <row r="23" spans="1:11" x14ac:dyDescent="0.3">
      <c r="A23" s="34">
        <v>14</v>
      </c>
      <c r="B23" s="34">
        <v>515</v>
      </c>
      <c r="C23" s="34" t="s">
        <v>54</v>
      </c>
      <c r="D23" s="34">
        <v>24</v>
      </c>
      <c r="F23" s="25" t="s">
        <v>14</v>
      </c>
      <c r="G23" s="4">
        <v>1000</v>
      </c>
    </row>
    <row r="24" spans="1:11" x14ac:dyDescent="0.3">
      <c r="A24" s="34">
        <v>15</v>
      </c>
      <c r="B24" s="34">
        <v>8</v>
      </c>
      <c r="C24" s="34" t="s">
        <v>54</v>
      </c>
      <c r="D24" s="34">
        <v>36</v>
      </c>
      <c r="F24" s="25" t="s">
        <v>20</v>
      </c>
      <c r="G24" s="4">
        <v>2</v>
      </c>
    </row>
    <row r="25" spans="1:11" x14ac:dyDescent="0.3">
      <c r="A25" s="34">
        <v>16</v>
      </c>
      <c r="B25" s="34">
        <v>610</v>
      </c>
      <c r="C25" s="34" t="s">
        <v>54</v>
      </c>
      <c r="D25" s="34">
        <v>15</v>
      </c>
      <c r="F25" s="25" t="s">
        <v>15</v>
      </c>
      <c r="G25" s="4">
        <v>200</v>
      </c>
    </row>
    <row r="26" spans="1:11" x14ac:dyDescent="0.3">
      <c r="A26" s="34">
        <v>17</v>
      </c>
      <c r="B26" s="34">
        <v>40</v>
      </c>
      <c r="C26" s="34" t="s">
        <v>54</v>
      </c>
      <c r="D26" s="34">
        <v>9</v>
      </c>
    </row>
    <row r="27" spans="1:11" x14ac:dyDescent="0.3">
      <c r="A27" s="34">
        <v>18</v>
      </c>
      <c r="B27" s="34">
        <v>324</v>
      </c>
      <c r="C27" s="34" t="s">
        <v>54</v>
      </c>
      <c r="D27" s="34">
        <v>18</v>
      </c>
      <c r="F27" s="2" t="s">
        <v>69</v>
      </c>
    </row>
    <row r="28" spans="1:11" ht="15.6" x14ac:dyDescent="0.35">
      <c r="A28" s="34">
        <v>19</v>
      </c>
      <c r="B28" s="34">
        <v>158</v>
      </c>
      <c r="C28" s="34" t="s">
        <v>54</v>
      </c>
      <c r="D28" s="34">
        <v>12</v>
      </c>
      <c r="F28" s="84" t="s">
        <v>70</v>
      </c>
      <c r="G28" s="100">
        <f>SUMPRODUCT(H17:H20,K17:K20)</f>
        <v>20.411500000000004</v>
      </c>
    </row>
    <row r="29" spans="1:11" ht="16.8" x14ac:dyDescent="0.35">
      <c r="A29" s="34">
        <v>20</v>
      </c>
      <c r="B29" s="34">
        <v>208</v>
      </c>
      <c r="C29" s="34" t="s">
        <v>54</v>
      </c>
      <c r="D29" s="34">
        <v>12</v>
      </c>
      <c r="F29" s="28" t="s">
        <v>161</v>
      </c>
      <c r="G29" s="26">
        <f>SUMPRODUCT(H17:H20,J17:J20)</f>
        <v>109.01317510204083</v>
      </c>
      <c r="J29" s="83"/>
    </row>
    <row r="30" spans="1:11" x14ac:dyDescent="0.3">
      <c r="A30" s="34">
        <v>21</v>
      </c>
      <c r="B30" s="34">
        <v>699</v>
      </c>
      <c r="C30" s="34" t="s">
        <v>54</v>
      </c>
      <c r="D30" s="34">
        <v>18</v>
      </c>
      <c r="F30" s="28" t="str">
        <f xml:space="preserve"> "D" &amp; _xlfn.UNICHAR(770) &amp; "²(" &amp; "y" &amp; _xlfn.UNICHAR(773) &amp; "w)"</f>
        <v>D̂²(y̅w)</v>
      </c>
      <c r="G30" s="26" cm="1">
        <f t="array" ref="G30">SUMPRODUCT((H17:H20^2),(1-I17:I20/G17:G20),(J17:J20/I17:I20))</f>
        <v>0.50868869089795932</v>
      </c>
    </row>
    <row r="31" spans="1:11" x14ac:dyDescent="0.3">
      <c r="A31" s="34">
        <v>22</v>
      </c>
      <c r="B31" s="34">
        <v>246</v>
      </c>
      <c r="C31" s="34" t="s">
        <v>54</v>
      </c>
      <c r="D31" s="34">
        <v>24</v>
      </c>
      <c r="F31" s="28" t="str">
        <f xml:space="preserve"> "D" &amp; _xlfn.UNICHAR(770) &amp; "(" &amp; "y" &amp; _xlfn.UNICHAR(773) &amp; "w)"</f>
        <v>D̂(y̅w)</v>
      </c>
      <c r="G31" s="100">
        <f>SQRT(G30)</f>
        <v>0.71322415193118582</v>
      </c>
    </row>
    <row r="32" spans="1:11" x14ac:dyDescent="0.3">
      <c r="A32" s="34">
        <v>23</v>
      </c>
      <c r="B32" s="34">
        <v>801</v>
      </c>
      <c r="C32" s="34" t="s">
        <v>54</v>
      </c>
      <c r="D32" s="34">
        <v>24</v>
      </c>
    </row>
    <row r="33" spans="1:7" x14ac:dyDescent="0.3">
      <c r="A33" s="34">
        <v>24</v>
      </c>
      <c r="B33" s="34">
        <v>914</v>
      </c>
      <c r="C33" s="34" t="s">
        <v>54</v>
      </c>
      <c r="D33" s="34">
        <v>11</v>
      </c>
      <c r="F33" t="s">
        <v>258</v>
      </c>
    </row>
    <row r="34" spans="1:7" x14ac:dyDescent="0.3">
      <c r="A34" s="34">
        <v>25</v>
      </c>
      <c r="B34" s="34">
        <v>519</v>
      </c>
      <c r="C34" s="34" t="s">
        <v>54</v>
      </c>
      <c r="D34" s="34">
        <v>6</v>
      </c>
    </row>
    <row r="35" spans="1:7" x14ac:dyDescent="0.3">
      <c r="A35" s="34">
        <v>26</v>
      </c>
      <c r="B35" s="34">
        <v>217</v>
      </c>
      <c r="C35" s="34" t="s">
        <v>54</v>
      </c>
      <c r="D35" s="34">
        <v>18</v>
      </c>
      <c r="F35" s="2" t="s">
        <v>71</v>
      </c>
    </row>
    <row r="36" spans="1:7" ht="15.6" x14ac:dyDescent="0.3">
      <c r="A36" s="34">
        <v>27</v>
      </c>
      <c r="B36" s="34">
        <v>892</v>
      </c>
      <c r="C36" s="34" t="s">
        <v>54</v>
      </c>
      <c r="D36" s="34">
        <v>15</v>
      </c>
      <c r="F36" s="64" t="s">
        <v>22</v>
      </c>
      <c r="G36" s="190">
        <f>G28*G23</f>
        <v>20411.500000000004</v>
      </c>
    </row>
    <row r="37" spans="1:7" ht="15.6" x14ac:dyDescent="0.3">
      <c r="A37" s="34">
        <v>28</v>
      </c>
      <c r="B37" s="34">
        <v>609</v>
      </c>
      <c r="C37" s="34" t="s">
        <v>54</v>
      </c>
      <c r="D37" s="34">
        <v>18</v>
      </c>
      <c r="F37" s="64" t="str">
        <f>"D"&amp;_xlfn.UNICHAR(770) &amp; "²(ŷ)"</f>
        <v>D̂²(ŷ)</v>
      </c>
      <c r="G37" s="4">
        <f>G30*G23^2</f>
        <v>508688.69089795934</v>
      </c>
    </row>
    <row r="38" spans="1:7" ht="15.6" x14ac:dyDescent="0.3">
      <c r="A38" s="34">
        <v>29</v>
      </c>
      <c r="B38" s="34">
        <v>548</v>
      </c>
      <c r="C38" s="34" t="s">
        <v>54</v>
      </c>
      <c r="D38" s="34">
        <v>24</v>
      </c>
      <c r="F38" s="64" t="str">
        <f>"D"&amp;_xlfn.UNICHAR(770) &amp; "(ŷ)"</f>
        <v>D̂(ŷ)</v>
      </c>
      <c r="G38" s="100">
        <f>SQRT(G37)</f>
        <v>713.22415193118593</v>
      </c>
    </row>
    <row r="39" spans="1:7" x14ac:dyDescent="0.3">
      <c r="A39" s="34">
        <v>30</v>
      </c>
      <c r="B39" s="34">
        <v>719</v>
      </c>
      <c r="C39" s="34" t="s">
        <v>54</v>
      </c>
      <c r="D39" s="34">
        <v>24</v>
      </c>
    </row>
    <row r="40" spans="1:7" x14ac:dyDescent="0.3">
      <c r="A40" s="34">
        <v>31</v>
      </c>
      <c r="B40" s="34">
        <v>679</v>
      </c>
      <c r="C40" s="34" t="s">
        <v>54</v>
      </c>
      <c r="D40" s="34">
        <v>24</v>
      </c>
      <c r="F40" t="s">
        <v>259</v>
      </c>
    </row>
    <row r="41" spans="1:7" x14ac:dyDescent="0.3">
      <c r="A41" s="34">
        <v>32</v>
      </c>
      <c r="B41" s="34">
        <v>32</v>
      </c>
      <c r="C41" s="34" t="s">
        <v>54</v>
      </c>
      <c r="D41" s="34">
        <v>24</v>
      </c>
    </row>
    <row r="42" spans="1:7" x14ac:dyDescent="0.3">
      <c r="A42" s="34">
        <v>33</v>
      </c>
      <c r="B42" s="34">
        <v>340</v>
      </c>
      <c r="C42" s="34" t="s">
        <v>54</v>
      </c>
      <c r="D42" s="34">
        <v>10</v>
      </c>
      <c r="F42" s="5" t="s">
        <v>60</v>
      </c>
    </row>
    <row r="43" spans="1:7" x14ac:dyDescent="0.3">
      <c r="A43" s="34">
        <v>34</v>
      </c>
      <c r="B43" s="34">
        <v>785</v>
      </c>
      <c r="C43" s="34" t="s">
        <v>54</v>
      </c>
      <c r="D43" s="34">
        <v>20</v>
      </c>
      <c r="F43" s="6" t="s">
        <v>21</v>
      </c>
      <c r="G43" s="27">
        <f>_xlfn.VAR.S(D10:D209)</f>
        <v>141.2355527638191</v>
      </c>
    </row>
    <row r="44" spans="1:7" x14ac:dyDescent="0.3">
      <c r="A44" s="34">
        <v>35</v>
      </c>
      <c r="B44" s="34">
        <v>454</v>
      </c>
      <c r="C44" s="34" t="s">
        <v>54</v>
      </c>
      <c r="D44" s="34">
        <v>24</v>
      </c>
      <c r="F44" s="6" t="str">
        <f xml:space="preserve"> "D" &amp; _xlfn.UNICHAR(770) &amp; "²(" &amp; "y" &amp; _xlfn.UNICHAR(773) &amp; ")"</f>
        <v>D̂²(y̅)</v>
      </c>
      <c r="G44" s="4">
        <f>(1-G25/G23)*(G43/G25)</f>
        <v>0.56494221105527642</v>
      </c>
    </row>
    <row r="45" spans="1:7" x14ac:dyDescent="0.3">
      <c r="A45" s="34">
        <v>36</v>
      </c>
      <c r="B45" s="34">
        <v>285</v>
      </c>
      <c r="C45" s="34" t="s">
        <v>54</v>
      </c>
      <c r="D45" s="34">
        <v>24</v>
      </c>
    </row>
    <row r="46" spans="1:7" x14ac:dyDescent="0.3">
      <c r="A46" s="34">
        <v>37</v>
      </c>
      <c r="B46" s="34">
        <v>108</v>
      </c>
      <c r="C46" s="34" t="s">
        <v>54</v>
      </c>
      <c r="D46" s="34">
        <v>12</v>
      </c>
    </row>
    <row r="47" spans="1:7" x14ac:dyDescent="0.3">
      <c r="A47" s="34">
        <v>38</v>
      </c>
      <c r="B47" s="34">
        <v>160</v>
      </c>
      <c r="C47" s="34" t="s">
        <v>54</v>
      </c>
      <c r="D47" s="34">
        <v>6</v>
      </c>
      <c r="G47" s="261">
        <f>(G30-G44)/G44</f>
        <v>-9.9573937044355521E-2</v>
      </c>
    </row>
    <row r="48" spans="1:7" x14ac:dyDescent="0.3">
      <c r="A48" s="34">
        <v>39</v>
      </c>
      <c r="B48" s="34">
        <v>393</v>
      </c>
      <c r="C48" s="34" t="s">
        <v>54</v>
      </c>
      <c r="D48" s="34">
        <v>36</v>
      </c>
    </row>
    <row r="49" spans="1:6" x14ac:dyDescent="0.3">
      <c r="A49" s="34">
        <v>40</v>
      </c>
      <c r="B49" s="34">
        <v>378</v>
      </c>
      <c r="C49" s="34" t="s">
        <v>54</v>
      </c>
      <c r="D49" s="34">
        <v>7</v>
      </c>
      <c r="F49" s="43" t="s">
        <v>152</v>
      </c>
    </row>
    <row r="50" spans="1:6" x14ac:dyDescent="0.3">
      <c r="A50" s="34">
        <v>41</v>
      </c>
      <c r="B50" s="34">
        <v>477</v>
      </c>
      <c r="C50" s="34" t="s">
        <v>54</v>
      </c>
      <c r="D50" s="34">
        <v>39</v>
      </c>
    </row>
    <row r="51" spans="1:6" x14ac:dyDescent="0.3">
      <c r="A51" s="34">
        <v>42</v>
      </c>
      <c r="B51" s="34">
        <v>994</v>
      </c>
      <c r="C51" s="34" t="s">
        <v>54</v>
      </c>
      <c r="D51" s="34">
        <v>36</v>
      </c>
    </row>
    <row r="52" spans="1:6" x14ac:dyDescent="0.3">
      <c r="A52" s="34">
        <v>43</v>
      </c>
      <c r="B52" s="34">
        <v>126</v>
      </c>
      <c r="C52" s="34" t="s">
        <v>54</v>
      </c>
      <c r="D52" s="34">
        <v>12</v>
      </c>
    </row>
    <row r="53" spans="1:6" x14ac:dyDescent="0.3">
      <c r="A53" s="34">
        <v>44</v>
      </c>
      <c r="B53" s="34">
        <v>24</v>
      </c>
      <c r="C53" s="34" t="s">
        <v>54</v>
      </c>
      <c r="D53" s="34">
        <v>12</v>
      </c>
    </row>
    <row r="54" spans="1:6" x14ac:dyDescent="0.3">
      <c r="A54" s="34">
        <v>45</v>
      </c>
      <c r="B54" s="34">
        <v>443</v>
      </c>
      <c r="C54" s="34" t="s">
        <v>54</v>
      </c>
      <c r="D54" s="34">
        <v>20</v>
      </c>
    </row>
    <row r="55" spans="1:6" x14ac:dyDescent="0.3">
      <c r="A55" s="34">
        <v>46</v>
      </c>
      <c r="B55" s="34">
        <v>700</v>
      </c>
      <c r="C55" s="34" t="s">
        <v>54</v>
      </c>
      <c r="D55" s="34">
        <v>15</v>
      </c>
    </row>
    <row r="56" spans="1:6" x14ac:dyDescent="0.3">
      <c r="A56" s="34">
        <v>47</v>
      </c>
      <c r="B56" s="34">
        <v>503</v>
      </c>
      <c r="C56" s="34" t="s">
        <v>54</v>
      </c>
      <c r="D56" s="34">
        <v>9</v>
      </c>
    </row>
    <row r="57" spans="1:6" x14ac:dyDescent="0.3">
      <c r="A57" s="34">
        <v>48</v>
      </c>
      <c r="B57" s="34">
        <v>283</v>
      </c>
      <c r="C57" s="34" t="s">
        <v>54</v>
      </c>
      <c r="D57" s="34">
        <v>18</v>
      </c>
    </row>
    <row r="58" spans="1:6" x14ac:dyDescent="0.3">
      <c r="A58" s="34">
        <v>49</v>
      </c>
      <c r="B58" s="34">
        <v>23</v>
      </c>
      <c r="C58" s="34" t="s">
        <v>54</v>
      </c>
      <c r="D58" s="34">
        <v>10</v>
      </c>
    </row>
    <row r="59" spans="1:6" x14ac:dyDescent="0.3">
      <c r="A59" s="34">
        <v>50</v>
      </c>
      <c r="B59" s="34">
        <v>479</v>
      </c>
      <c r="C59" s="34" t="s">
        <v>54</v>
      </c>
      <c r="D59" s="34">
        <v>12</v>
      </c>
    </row>
    <row r="60" spans="1:6" x14ac:dyDescent="0.3">
      <c r="A60" s="34">
        <v>51</v>
      </c>
      <c r="B60" s="34">
        <v>553</v>
      </c>
      <c r="C60" s="34" t="s">
        <v>55</v>
      </c>
      <c r="D60" s="34">
        <v>48</v>
      </c>
    </row>
    <row r="61" spans="1:6" x14ac:dyDescent="0.3">
      <c r="A61" s="34">
        <v>52</v>
      </c>
      <c r="B61" s="34">
        <v>590</v>
      </c>
      <c r="C61" s="34" t="s">
        <v>55</v>
      </c>
      <c r="D61" s="34">
        <v>12</v>
      </c>
    </row>
    <row r="62" spans="1:6" x14ac:dyDescent="0.3">
      <c r="A62" s="34">
        <v>53</v>
      </c>
      <c r="B62" s="34">
        <v>274</v>
      </c>
      <c r="C62" s="34" t="s">
        <v>55</v>
      </c>
      <c r="D62" s="34">
        <v>48</v>
      </c>
    </row>
    <row r="63" spans="1:6" x14ac:dyDescent="0.3">
      <c r="A63" s="34">
        <v>54</v>
      </c>
      <c r="B63" s="34">
        <v>399</v>
      </c>
      <c r="C63" s="34" t="s">
        <v>55</v>
      </c>
      <c r="D63" s="34">
        <v>12</v>
      </c>
    </row>
    <row r="64" spans="1:6" x14ac:dyDescent="0.3">
      <c r="A64" s="34">
        <v>55</v>
      </c>
      <c r="B64" s="34">
        <v>191</v>
      </c>
      <c r="C64" s="34" t="s">
        <v>55</v>
      </c>
      <c r="D64" s="34">
        <v>24</v>
      </c>
    </row>
    <row r="65" spans="1:4" x14ac:dyDescent="0.3">
      <c r="A65" s="34">
        <v>56</v>
      </c>
      <c r="B65" s="34">
        <v>138</v>
      </c>
      <c r="C65" s="34" t="s">
        <v>55</v>
      </c>
      <c r="D65" s="34">
        <v>12</v>
      </c>
    </row>
    <row r="66" spans="1:4" x14ac:dyDescent="0.3">
      <c r="A66" s="34">
        <v>57</v>
      </c>
      <c r="B66" s="34">
        <v>541</v>
      </c>
      <c r="C66" s="34" t="s">
        <v>55</v>
      </c>
      <c r="D66" s="34">
        <v>12</v>
      </c>
    </row>
    <row r="67" spans="1:4" x14ac:dyDescent="0.3">
      <c r="A67" s="34">
        <v>58</v>
      </c>
      <c r="B67" s="34">
        <v>475</v>
      </c>
      <c r="C67" s="34" t="s">
        <v>55</v>
      </c>
      <c r="D67" s="34">
        <v>18</v>
      </c>
    </row>
    <row r="68" spans="1:4" x14ac:dyDescent="0.3">
      <c r="A68" s="34">
        <v>59</v>
      </c>
      <c r="B68" s="34">
        <v>231</v>
      </c>
      <c r="C68" s="34" t="s">
        <v>55</v>
      </c>
      <c r="D68" s="34">
        <v>36</v>
      </c>
    </row>
    <row r="69" spans="1:4" x14ac:dyDescent="0.3">
      <c r="A69" s="34">
        <v>60</v>
      </c>
      <c r="B69" s="34">
        <v>598</v>
      </c>
      <c r="C69" s="34" t="s">
        <v>55</v>
      </c>
      <c r="D69" s="34">
        <v>24</v>
      </c>
    </row>
    <row r="70" spans="1:4" x14ac:dyDescent="0.3">
      <c r="A70" s="34">
        <v>61</v>
      </c>
      <c r="B70" s="34">
        <v>290</v>
      </c>
      <c r="C70" s="34" t="s">
        <v>55</v>
      </c>
      <c r="D70" s="34">
        <v>24</v>
      </c>
    </row>
    <row r="71" spans="1:4" x14ac:dyDescent="0.3">
      <c r="A71" s="34">
        <v>62</v>
      </c>
      <c r="B71" s="34">
        <v>132</v>
      </c>
      <c r="C71" s="34" t="s">
        <v>55</v>
      </c>
      <c r="D71" s="34">
        <v>36</v>
      </c>
    </row>
    <row r="72" spans="1:4" x14ac:dyDescent="0.3">
      <c r="A72" s="34">
        <v>63</v>
      </c>
      <c r="B72" s="34">
        <v>760</v>
      </c>
      <c r="C72" s="34" t="s">
        <v>55</v>
      </c>
      <c r="D72" s="34">
        <v>12</v>
      </c>
    </row>
    <row r="73" spans="1:4" x14ac:dyDescent="0.3">
      <c r="A73" s="34">
        <v>64</v>
      </c>
      <c r="B73" s="34">
        <v>625</v>
      </c>
      <c r="C73" s="34" t="s">
        <v>55</v>
      </c>
      <c r="D73" s="34">
        <v>18</v>
      </c>
    </row>
    <row r="74" spans="1:4" x14ac:dyDescent="0.3">
      <c r="A74" s="34">
        <v>65</v>
      </c>
      <c r="B74" s="34">
        <v>496</v>
      </c>
      <c r="C74" s="34" t="s">
        <v>55</v>
      </c>
      <c r="D74" s="34">
        <v>24</v>
      </c>
    </row>
    <row r="75" spans="1:4" x14ac:dyDescent="0.3">
      <c r="A75" s="34">
        <v>66</v>
      </c>
      <c r="B75" s="34">
        <v>504</v>
      </c>
      <c r="C75" s="34" t="s">
        <v>55</v>
      </c>
      <c r="D75" s="34">
        <v>24</v>
      </c>
    </row>
    <row r="76" spans="1:4" x14ac:dyDescent="0.3">
      <c r="A76" s="34">
        <v>67</v>
      </c>
      <c r="B76" s="34">
        <v>662</v>
      </c>
      <c r="C76" s="34" t="s">
        <v>55</v>
      </c>
      <c r="D76" s="34">
        <v>12</v>
      </c>
    </row>
    <row r="77" spans="1:4" x14ac:dyDescent="0.3">
      <c r="A77" s="34">
        <v>68</v>
      </c>
      <c r="B77" s="34">
        <v>269</v>
      </c>
      <c r="C77" s="34" t="s">
        <v>55</v>
      </c>
      <c r="D77" s="34">
        <v>14</v>
      </c>
    </row>
    <row r="78" spans="1:4" x14ac:dyDescent="0.3">
      <c r="A78" s="34">
        <v>69</v>
      </c>
      <c r="B78" s="34">
        <v>654</v>
      </c>
      <c r="C78" s="34" t="s">
        <v>55</v>
      </c>
      <c r="D78" s="34">
        <v>36</v>
      </c>
    </row>
    <row r="79" spans="1:4" x14ac:dyDescent="0.3">
      <c r="A79" s="34">
        <v>70</v>
      </c>
      <c r="B79" s="34">
        <v>764</v>
      </c>
      <c r="C79" s="34" t="s">
        <v>55</v>
      </c>
      <c r="D79" s="34">
        <v>21</v>
      </c>
    </row>
    <row r="80" spans="1:4" x14ac:dyDescent="0.3">
      <c r="A80" s="34">
        <v>71</v>
      </c>
      <c r="B80" s="34">
        <v>984</v>
      </c>
      <c r="C80" s="34" t="s">
        <v>55</v>
      </c>
      <c r="D80" s="34">
        <v>36</v>
      </c>
    </row>
    <row r="81" spans="1:4" x14ac:dyDescent="0.3">
      <c r="A81" s="34">
        <v>72</v>
      </c>
      <c r="B81" s="34">
        <v>523</v>
      </c>
      <c r="C81" s="34" t="s">
        <v>55</v>
      </c>
      <c r="D81" s="34">
        <v>48</v>
      </c>
    </row>
    <row r="82" spans="1:4" x14ac:dyDescent="0.3">
      <c r="A82" s="34">
        <v>73</v>
      </c>
      <c r="B82" s="34">
        <v>813</v>
      </c>
      <c r="C82" s="34" t="s">
        <v>55</v>
      </c>
      <c r="D82" s="34">
        <v>36</v>
      </c>
    </row>
    <row r="83" spans="1:4" x14ac:dyDescent="0.3">
      <c r="A83" s="34">
        <v>74</v>
      </c>
      <c r="B83" s="34">
        <v>107</v>
      </c>
      <c r="C83" s="34" t="s">
        <v>55</v>
      </c>
      <c r="D83" s="34">
        <v>18</v>
      </c>
    </row>
    <row r="84" spans="1:4" x14ac:dyDescent="0.3">
      <c r="A84" s="34">
        <v>75</v>
      </c>
      <c r="B84" s="34">
        <v>640</v>
      </c>
      <c r="C84" s="34" t="s">
        <v>55</v>
      </c>
      <c r="D84" s="34">
        <v>42</v>
      </c>
    </row>
    <row r="85" spans="1:4" x14ac:dyDescent="0.3">
      <c r="A85" s="34">
        <v>76</v>
      </c>
      <c r="B85" s="34">
        <v>815</v>
      </c>
      <c r="C85" s="34" t="s">
        <v>55</v>
      </c>
      <c r="D85" s="34">
        <v>48</v>
      </c>
    </row>
    <row r="86" spans="1:4" x14ac:dyDescent="0.3">
      <c r="A86" s="34">
        <v>77</v>
      </c>
      <c r="B86" s="34">
        <v>854</v>
      </c>
      <c r="C86" s="34" t="s">
        <v>55</v>
      </c>
      <c r="D86" s="34">
        <v>18</v>
      </c>
    </row>
    <row r="87" spans="1:4" x14ac:dyDescent="0.3">
      <c r="A87" s="34">
        <v>78</v>
      </c>
      <c r="B87" s="34">
        <v>308</v>
      </c>
      <c r="C87" s="34" t="s">
        <v>55</v>
      </c>
      <c r="D87" s="34">
        <v>12</v>
      </c>
    </row>
    <row r="88" spans="1:4" x14ac:dyDescent="0.3">
      <c r="A88" s="34">
        <v>79</v>
      </c>
      <c r="B88" s="34">
        <v>599</v>
      </c>
      <c r="C88" s="34" t="s">
        <v>55</v>
      </c>
      <c r="D88" s="34">
        <v>18</v>
      </c>
    </row>
    <row r="89" spans="1:4" x14ac:dyDescent="0.3">
      <c r="A89" s="34">
        <v>80</v>
      </c>
      <c r="B89" s="34">
        <v>721</v>
      </c>
      <c r="C89" s="34" t="s">
        <v>55</v>
      </c>
      <c r="D89" s="34">
        <v>9</v>
      </c>
    </row>
    <row r="90" spans="1:4" x14ac:dyDescent="0.3">
      <c r="A90" s="34">
        <v>81</v>
      </c>
      <c r="B90" s="34">
        <v>928</v>
      </c>
      <c r="C90" s="34" t="s">
        <v>55</v>
      </c>
      <c r="D90" s="34">
        <v>48</v>
      </c>
    </row>
    <row r="91" spans="1:4" x14ac:dyDescent="0.3">
      <c r="A91" s="34">
        <v>82</v>
      </c>
      <c r="B91" s="34">
        <v>354</v>
      </c>
      <c r="C91" s="34" t="s">
        <v>55</v>
      </c>
      <c r="D91" s="34">
        <v>12</v>
      </c>
    </row>
    <row r="92" spans="1:4" x14ac:dyDescent="0.3">
      <c r="A92" s="34">
        <v>83</v>
      </c>
      <c r="B92" s="34">
        <v>292</v>
      </c>
      <c r="C92" s="34" t="s">
        <v>55</v>
      </c>
      <c r="D92" s="34">
        <v>36</v>
      </c>
    </row>
    <row r="93" spans="1:4" x14ac:dyDescent="0.3">
      <c r="A93" s="34">
        <v>84</v>
      </c>
      <c r="B93" s="34">
        <v>632</v>
      </c>
      <c r="C93" s="34" t="s">
        <v>55</v>
      </c>
      <c r="D93" s="34">
        <v>18</v>
      </c>
    </row>
    <row r="94" spans="1:4" x14ac:dyDescent="0.3">
      <c r="A94" s="34">
        <v>85</v>
      </c>
      <c r="B94" s="34">
        <v>236</v>
      </c>
      <c r="C94" s="34" t="s">
        <v>55</v>
      </c>
      <c r="D94" s="34">
        <v>24</v>
      </c>
    </row>
    <row r="95" spans="1:4" x14ac:dyDescent="0.3">
      <c r="A95" s="34">
        <v>86</v>
      </c>
      <c r="B95" s="34">
        <v>243</v>
      </c>
      <c r="C95" s="34" t="s">
        <v>55</v>
      </c>
      <c r="D95" s="34">
        <v>48</v>
      </c>
    </row>
    <row r="96" spans="1:4" x14ac:dyDescent="0.3">
      <c r="A96" s="34">
        <v>87</v>
      </c>
      <c r="B96" s="34">
        <v>628</v>
      </c>
      <c r="C96" s="34" t="s">
        <v>55</v>
      </c>
      <c r="D96" s="34">
        <v>9</v>
      </c>
    </row>
    <row r="97" spans="1:4" x14ac:dyDescent="0.3">
      <c r="A97" s="34">
        <v>88</v>
      </c>
      <c r="B97" s="34">
        <v>379</v>
      </c>
      <c r="C97" s="34" t="s">
        <v>55</v>
      </c>
      <c r="D97" s="34">
        <v>36</v>
      </c>
    </row>
    <row r="98" spans="1:4" x14ac:dyDescent="0.3">
      <c r="A98" s="34">
        <v>89</v>
      </c>
      <c r="B98" s="34">
        <v>96</v>
      </c>
      <c r="C98" s="34" t="s">
        <v>55</v>
      </c>
      <c r="D98" s="34">
        <v>54</v>
      </c>
    </row>
    <row r="99" spans="1:4" x14ac:dyDescent="0.3">
      <c r="A99" s="34">
        <v>90</v>
      </c>
      <c r="B99" s="34">
        <v>238</v>
      </c>
      <c r="C99" s="34" t="s">
        <v>55</v>
      </c>
      <c r="D99" s="34">
        <v>21</v>
      </c>
    </row>
    <row r="100" spans="1:4" x14ac:dyDescent="0.3">
      <c r="A100" s="34">
        <v>91</v>
      </c>
      <c r="B100" s="34">
        <v>314</v>
      </c>
      <c r="C100" s="34" t="s">
        <v>55</v>
      </c>
      <c r="D100" s="34">
        <v>12</v>
      </c>
    </row>
    <row r="101" spans="1:4" x14ac:dyDescent="0.3">
      <c r="A101" s="34">
        <v>92</v>
      </c>
      <c r="B101" s="34">
        <v>879</v>
      </c>
      <c r="C101" s="34" t="s">
        <v>55</v>
      </c>
      <c r="D101" s="34">
        <v>9</v>
      </c>
    </row>
    <row r="102" spans="1:4" x14ac:dyDescent="0.3">
      <c r="A102" s="34">
        <v>93</v>
      </c>
      <c r="B102" s="34">
        <v>622</v>
      </c>
      <c r="C102" s="34" t="s">
        <v>55</v>
      </c>
      <c r="D102" s="34">
        <v>18</v>
      </c>
    </row>
    <row r="103" spans="1:4" x14ac:dyDescent="0.3">
      <c r="A103" s="34">
        <v>94</v>
      </c>
      <c r="B103" s="34">
        <v>229</v>
      </c>
      <c r="C103" s="34" t="s">
        <v>55</v>
      </c>
      <c r="D103" s="34">
        <v>9</v>
      </c>
    </row>
    <row r="104" spans="1:4" x14ac:dyDescent="0.3">
      <c r="A104" s="34">
        <v>95</v>
      </c>
      <c r="B104" s="34">
        <v>829</v>
      </c>
      <c r="C104" s="34" t="s">
        <v>55</v>
      </c>
      <c r="D104" s="34">
        <v>36</v>
      </c>
    </row>
    <row r="105" spans="1:4" x14ac:dyDescent="0.3">
      <c r="A105" s="34">
        <v>96</v>
      </c>
      <c r="B105" s="34">
        <v>814</v>
      </c>
      <c r="C105" s="34" t="s">
        <v>55</v>
      </c>
      <c r="D105" s="34">
        <v>48</v>
      </c>
    </row>
    <row r="106" spans="1:4" x14ac:dyDescent="0.3">
      <c r="A106" s="34">
        <v>97</v>
      </c>
      <c r="B106" s="34">
        <v>556</v>
      </c>
      <c r="C106" s="34" t="s">
        <v>55</v>
      </c>
      <c r="D106" s="34">
        <v>12</v>
      </c>
    </row>
    <row r="107" spans="1:4" x14ac:dyDescent="0.3">
      <c r="A107" s="34">
        <v>98</v>
      </c>
      <c r="B107" s="34">
        <v>949</v>
      </c>
      <c r="C107" s="34" t="s">
        <v>55</v>
      </c>
      <c r="D107" s="34">
        <v>18</v>
      </c>
    </row>
    <row r="108" spans="1:4" x14ac:dyDescent="0.3">
      <c r="A108" s="34">
        <v>99</v>
      </c>
      <c r="B108" s="34">
        <v>36</v>
      </c>
      <c r="C108" s="34" t="s">
        <v>55</v>
      </c>
      <c r="D108" s="34">
        <v>45</v>
      </c>
    </row>
    <row r="109" spans="1:4" x14ac:dyDescent="0.3">
      <c r="A109" s="34">
        <v>100</v>
      </c>
      <c r="B109" s="34">
        <v>305</v>
      </c>
      <c r="C109" s="34" t="s">
        <v>55</v>
      </c>
      <c r="D109" s="34">
        <v>48</v>
      </c>
    </row>
    <row r="110" spans="1:4" x14ac:dyDescent="0.3">
      <c r="A110" s="34">
        <v>101</v>
      </c>
      <c r="B110" s="34">
        <v>733</v>
      </c>
      <c r="C110" s="34" t="s">
        <v>56</v>
      </c>
      <c r="D110" s="34">
        <v>8</v>
      </c>
    </row>
    <row r="111" spans="1:4" x14ac:dyDescent="0.3">
      <c r="A111" s="34">
        <v>102</v>
      </c>
      <c r="B111" s="34">
        <v>212</v>
      </c>
      <c r="C111" s="34" t="s">
        <v>56</v>
      </c>
      <c r="D111" s="34">
        <v>36</v>
      </c>
    </row>
    <row r="112" spans="1:4" x14ac:dyDescent="0.3">
      <c r="A112" s="34">
        <v>103</v>
      </c>
      <c r="B112" s="34">
        <v>706</v>
      </c>
      <c r="C112" s="34" t="s">
        <v>56</v>
      </c>
      <c r="D112" s="34">
        <v>15</v>
      </c>
    </row>
    <row r="113" spans="1:4" x14ac:dyDescent="0.3">
      <c r="A113" s="34">
        <v>104</v>
      </c>
      <c r="B113" s="34">
        <v>538</v>
      </c>
      <c r="C113" s="34" t="s">
        <v>56</v>
      </c>
      <c r="D113" s="34">
        <v>18</v>
      </c>
    </row>
    <row r="114" spans="1:4" x14ac:dyDescent="0.3">
      <c r="A114" s="34">
        <v>105</v>
      </c>
      <c r="B114" s="34">
        <v>761</v>
      </c>
      <c r="C114" s="34" t="s">
        <v>56</v>
      </c>
      <c r="D114" s="34">
        <v>15</v>
      </c>
    </row>
    <row r="115" spans="1:4" x14ac:dyDescent="0.3">
      <c r="A115" s="34">
        <v>106</v>
      </c>
      <c r="B115" s="34">
        <v>370</v>
      </c>
      <c r="C115" s="34" t="s">
        <v>56</v>
      </c>
      <c r="D115" s="34">
        <v>18</v>
      </c>
    </row>
    <row r="116" spans="1:4" x14ac:dyDescent="0.3">
      <c r="A116" s="34">
        <v>107</v>
      </c>
      <c r="B116" s="34">
        <v>874</v>
      </c>
      <c r="C116" s="34" t="s">
        <v>56</v>
      </c>
      <c r="D116" s="34">
        <v>15</v>
      </c>
    </row>
    <row r="117" spans="1:4" x14ac:dyDescent="0.3">
      <c r="A117" s="34">
        <v>108</v>
      </c>
      <c r="B117" s="34">
        <v>50</v>
      </c>
      <c r="C117" s="34" t="s">
        <v>56</v>
      </c>
      <c r="D117" s="34">
        <v>12</v>
      </c>
    </row>
    <row r="118" spans="1:4" x14ac:dyDescent="0.3">
      <c r="A118" s="34">
        <v>109</v>
      </c>
      <c r="B118" s="34">
        <v>576</v>
      </c>
      <c r="C118" s="34" t="s">
        <v>56</v>
      </c>
      <c r="D118" s="34">
        <v>15</v>
      </c>
    </row>
    <row r="119" spans="1:4" x14ac:dyDescent="0.3">
      <c r="A119" s="34">
        <v>110</v>
      </c>
      <c r="B119" s="34">
        <v>516</v>
      </c>
      <c r="C119" s="34" t="s">
        <v>56</v>
      </c>
      <c r="D119" s="34">
        <v>6</v>
      </c>
    </row>
    <row r="120" spans="1:4" x14ac:dyDescent="0.3">
      <c r="A120" s="34">
        <v>111</v>
      </c>
      <c r="B120" s="34">
        <v>469</v>
      </c>
      <c r="C120" s="34" t="s">
        <v>56</v>
      </c>
      <c r="D120" s="34">
        <v>33</v>
      </c>
    </row>
    <row r="121" spans="1:4" x14ac:dyDescent="0.3">
      <c r="A121" s="34">
        <v>112</v>
      </c>
      <c r="B121" s="34">
        <v>346</v>
      </c>
      <c r="C121" s="34" t="s">
        <v>56</v>
      </c>
      <c r="D121" s="34">
        <v>15</v>
      </c>
    </row>
    <row r="122" spans="1:4" x14ac:dyDescent="0.3">
      <c r="A122" s="34">
        <v>113</v>
      </c>
      <c r="B122" s="34">
        <v>703</v>
      </c>
      <c r="C122" s="34" t="s">
        <v>56</v>
      </c>
      <c r="D122" s="34">
        <v>24</v>
      </c>
    </row>
    <row r="123" spans="1:4" x14ac:dyDescent="0.3">
      <c r="A123" s="34">
        <v>114</v>
      </c>
      <c r="B123" s="34">
        <v>172</v>
      </c>
      <c r="C123" s="34" t="s">
        <v>56</v>
      </c>
      <c r="D123" s="34">
        <v>12</v>
      </c>
    </row>
    <row r="124" spans="1:4" x14ac:dyDescent="0.3">
      <c r="A124" s="34">
        <v>115</v>
      </c>
      <c r="B124" s="34">
        <v>676</v>
      </c>
      <c r="C124" s="34" t="s">
        <v>56</v>
      </c>
      <c r="D124" s="34">
        <v>30</v>
      </c>
    </row>
    <row r="125" spans="1:4" x14ac:dyDescent="0.3">
      <c r="A125" s="34">
        <v>116</v>
      </c>
      <c r="B125" s="34">
        <v>260</v>
      </c>
      <c r="C125" s="34" t="s">
        <v>56</v>
      </c>
      <c r="D125" s="34">
        <v>11</v>
      </c>
    </row>
    <row r="126" spans="1:4" x14ac:dyDescent="0.3">
      <c r="A126" s="34">
        <v>117</v>
      </c>
      <c r="B126" s="34">
        <v>197</v>
      </c>
      <c r="C126" s="34" t="s">
        <v>56</v>
      </c>
      <c r="D126" s="34">
        <v>6</v>
      </c>
    </row>
    <row r="127" spans="1:4" x14ac:dyDescent="0.3">
      <c r="A127" s="34">
        <v>118</v>
      </c>
      <c r="B127" s="34">
        <v>837</v>
      </c>
      <c r="C127" s="34" t="s">
        <v>56</v>
      </c>
      <c r="D127" s="34">
        <v>12</v>
      </c>
    </row>
    <row r="128" spans="1:4" x14ac:dyDescent="0.3">
      <c r="A128" s="34">
        <v>119</v>
      </c>
      <c r="B128" s="34">
        <v>109</v>
      </c>
      <c r="C128" s="34" t="s">
        <v>56</v>
      </c>
      <c r="D128" s="34">
        <v>24</v>
      </c>
    </row>
    <row r="129" spans="1:4" x14ac:dyDescent="0.3">
      <c r="A129" s="34">
        <v>120</v>
      </c>
      <c r="B129" s="34">
        <v>373</v>
      </c>
      <c r="C129" s="34" t="s">
        <v>56</v>
      </c>
      <c r="D129" s="34">
        <v>10</v>
      </c>
    </row>
    <row r="130" spans="1:4" x14ac:dyDescent="0.3">
      <c r="A130" s="34">
        <v>121</v>
      </c>
      <c r="B130" s="34">
        <v>15</v>
      </c>
      <c r="C130" s="34" t="s">
        <v>56</v>
      </c>
      <c r="D130" s="34">
        <v>15</v>
      </c>
    </row>
    <row r="131" spans="1:4" x14ac:dyDescent="0.3">
      <c r="A131" s="34">
        <v>122</v>
      </c>
      <c r="B131" s="34">
        <v>87</v>
      </c>
      <c r="C131" s="34" t="s">
        <v>56</v>
      </c>
      <c r="D131" s="34">
        <v>18</v>
      </c>
    </row>
    <row r="132" spans="1:4" x14ac:dyDescent="0.3">
      <c r="A132" s="34">
        <v>123</v>
      </c>
      <c r="B132" s="34">
        <v>446</v>
      </c>
      <c r="C132" s="34" t="s">
        <v>56</v>
      </c>
      <c r="D132" s="34">
        <v>9</v>
      </c>
    </row>
    <row r="133" spans="1:4" x14ac:dyDescent="0.3">
      <c r="A133" s="34">
        <v>124</v>
      </c>
      <c r="B133" s="34">
        <v>637</v>
      </c>
      <c r="C133" s="34" t="s">
        <v>56</v>
      </c>
      <c r="D133" s="34">
        <v>24</v>
      </c>
    </row>
    <row r="134" spans="1:4" x14ac:dyDescent="0.3">
      <c r="A134" s="34">
        <v>125</v>
      </c>
      <c r="B134" s="34">
        <v>70</v>
      </c>
      <c r="C134" s="34" t="s">
        <v>56</v>
      </c>
      <c r="D134" s="34">
        <v>36</v>
      </c>
    </row>
    <row r="135" spans="1:4" x14ac:dyDescent="0.3">
      <c r="A135" s="34">
        <v>126</v>
      </c>
      <c r="B135" s="34">
        <v>780</v>
      </c>
      <c r="C135" s="34" t="s">
        <v>56</v>
      </c>
      <c r="D135" s="34">
        <v>18</v>
      </c>
    </row>
    <row r="136" spans="1:4" x14ac:dyDescent="0.3">
      <c r="A136" s="34">
        <v>127</v>
      </c>
      <c r="B136" s="34">
        <v>264</v>
      </c>
      <c r="C136" s="34" t="s">
        <v>56</v>
      </c>
      <c r="D136" s="34">
        <v>12</v>
      </c>
    </row>
    <row r="137" spans="1:4" x14ac:dyDescent="0.3">
      <c r="A137" s="34">
        <v>128</v>
      </c>
      <c r="B137" s="34">
        <v>802</v>
      </c>
      <c r="C137" s="34" t="s">
        <v>56</v>
      </c>
      <c r="D137" s="34">
        <v>18</v>
      </c>
    </row>
    <row r="138" spans="1:4" x14ac:dyDescent="0.3">
      <c r="A138" s="34">
        <v>129</v>
      </c>
      <c r="B138" s="34">
        <v>46</v>
      </c>
      <c r="C138" s="34" t="s">
        <v>56</v>
      </c>
      <c r="D138" s="34">
        <v>11</v>
      </c>
    </row>
    <row r="139" spans="1:4" x14ac:dyDescent="0.3">
      <c r="A139" s="34">
        <v>130</v>
      </c>
      <c r="B139" s="34">
        <v>392</v>
      </c>
      <c r="C139" s="34" t="s">
        <v>56</v>
      </c>
      <c r="D139" s="34">
        <v>12</v>
      </c>
    </row>
    <row r="140" spans="1:4" x14ac:dyDescent="0.3">
      <c r="A140" s="34">
        <v>131</v>
      </c>
      <c r="B140" s="34">
        <v>867</v>
      </c>
      <c r="C140" s="34" t="s">
        <v>56</v>
      </c>
      <c r="D140" s="34">
        <v>18</v>
      </c>
    </row>
    <row r="141" spans="1:4" x14ac:dyDescent="0.3">
      <c r="A141" s="34">
        <v>132</v>
      </c>
      <c r="B141" s="34">
        <v>555</v>
      </c>
      <c r="C141" s="34" t="s">
        <v>56</v>
      </c>
      <c r="D141" s="34">
        <v>9</v>
      </c>
    </row>
    <row r="142" spans="1:4" x14ac:dyDescent="0.3">
      <c r="A142" s="34">
        <v>133</v>
      </c>
      <c r="B142" s="34">
        <v>659</v>
      </c>
      <c r="C142" s="34" t="s">
        <v>56</v>
      </c>
      <c r="D142" s="34">
        <v>30</v>
      </c>
    </row>
    <row r="143" spans="1:4" x14ac:dyDescent="0.3">
      <c r="A143" s="34">
        <v>134</v>
      </c>
      <c r="B143" s="34">
        <v>83</v>
      </c>
      <c r="C143" s="34" t="s">
        <v>56</v>
      </c>
      <c r="D143" s="34">
        <v>18</v>
      </c>
    </row>
    <row r="144" spans="1:4" x14ac:dyDescent="0.3">
      <c r="A144" s="34">
        <v>135</v>
      </c>
      <c r="B144" s="34">
        <v>86</v>
      </c>
      <c r="C144" s="34" t="s">
        <v>56</v>
      </c>
      <c r="D144" s="34">
        <v>12</v>
      </c>
    </row>
    <row r="145" spans="1:4" x14ac:dyDescent="0.3">
      <c r="A145" s="34">
        <v>136</v>
      </c>
      <c r="B145" s="34">
        <v>913</v>
      </c>
      <c r="C145" s="34" t="s">
        <v>56</v>
      </c>
      <c r="D145" s="34">
        <v>30</v>
      </c>
    </row>
    <row r="146" spans="1:4" x14ac:dyDescent="0.3">
      <c r="A146" s="34">
        <v>137</v>
      </c>
      <c r="B146" s="34">
        <v>131</v>
      </c>
      <c r="C146" s="34" t="s">
        <v>56</v>
      </c>
      <c r="D146" s="34">
        <v>48</v>
      </c>
    </row>
    <row r="147" spans="1:4" x14ac:dyDescent="0.3">
      <c r="A147" s="34">
        <v>138</v>
      </c>
      <c r="B147" s="34">
        <v>342</v>
      </c>
      <c r="C147" s="34" t="s">
        <v>56</v>
      </c>
      <c r="D147" s="34">
        <v>21</v>
      </c>
    </row>
    <row r="148" spans="1:4" x14ac:dyDescent="0.3">
      <c r="A148" s="34">
        <v>139</v>
      </c>
      <c r="B148" s="34">
        <v>103</v>
      </c>
      <c r="C148" s="34" t="s">
        <v>56</v>
      </c>
      <c r="D148" s="34">
        <v>6</v>
      </c>
    </row>
    <row r="149" spans="1:4" x14ac:dyDescent="0.3">
      <c r="A149" s="34">
        <v>140</v>
      </c>
      <c r="B149" s="34">
        <v>259</v>
      </c>
      <c r="C149" s="34" t="s">
        <v>56</v>
      </c>
      <c r="D149" s="34">
        <v>15</v>
      </c>
    </row>
    <row r="150" spans="1:4" x14ac:dyDescent="0.3">
      <c r="A150" s="34">
        <v>141</v>
      </c>
      <c r="B150" s="34">
        <v>320</v>
      </c>
      <c r="C150" s="34" t="s">
        <v>56</v>
      </c>
      <c r="D150" s="34">
        <v>15</v>
      </c>
    </row>
    <row r="151" spans="1:4" x14ac:dyDescent="0.3">
      <c r="A151" s="34">
        <v>142</v>
      </c>
      <c r="B151" s="34">
        <v>245</v>
      </c>
      <c r="C151" s="34" t="s">
        <v>56</v>
      </c>
      <c r="D151" s="34">
        <v>12</v>
      </c>
    </row>
    <row r="152" spans="1:4" x14ac:dyDescent="0.3">
      <c r="A152" s="34">
        <v>143</v>
      </c>
      <c r="B152" s="34">
        <v>438</v>
      </c>
      <c r="C152" s="34" t="s">
        <v>56</v>
      </c>
      <c r="D152" s="34">
        <v>24</v>
      </c>
    </row>
    <row r="153" spans="1:4" x14ac:dyDescent="0.3">
      <c r="A153" s="34">
        <v>144</v>
      </c>
      <c r="B153" s="34">
        <v>771</v>
      </c>
      <c r="C153" s="34" t="s">
        <v>56</v>
      </c>
      <c r="D153" s="34">
        <v>24</v>
      </c>
    </row>
    <row r="154" spans="1:4" x14ac:dyDescent="0.3">
      <c r="A154" s="34">
        <v>145</v>
      </c>
      <c r="B154" s="34">
        <v>927</v>
      </c>
      <c r="C154" s="34" t="s">
        <v>56</v>
      </c>
      <c r="D154" s="34">
        <v>18</v>
      </c>
    </row>
    <row r="155" spans="1:4" x14ac:dyDescent="0.3">
      <c r="A155" s="34">
        <v>146</v>
      </c>
      <c r="B155" s="34">
        <v>484</v>
      </c>
      <c r="C155" s="34" t="s">
        <v>56</v>
      </c>
      <c r="D155" s="34">
        <v>15</v>
      </c>
    </row>
    <row r="156" spans="1:4" x14ac:dyDescent="0.3">
      <c r="A156" s="34">
        <v>147</v>
      </c>
      <c r="B156" s="34">
        <v>328</v>
      </c>
      <c r="C156" s="34" t="s">
        <v>56</v>
      </c>
      <c r="D156" s="34">
        <v>24</v>
      </c>
    </row>
    <row r="157" spans="1:4" x14ac:dyDescent="0.3">
      <c r="A157" s="34">
        <v>148</v>
      </c>
      <c r="B157" s="34">
        <v>318</v>
      </c>
      <c r="C157" s="34" t="s">
        <v>56</v>
      </c>
      <c r="D157" s="34">
        <v>24</v>
      </c>
    </row>
    <row r="158" spans="1:4" x14ac:dyDescent="0.3">
      <c r="A158" s="34">
        <v>149</v>
      </c>
      <c r="B158" s="34">
        <v>899</v>
      </c>
      <c r="C158" s="34" t="s">
        <v>56</v>
      </c>
      <c r="D158" s="34">
        <v>15</v>
      </c>
    </row>
    <row r="159" spans="1:4" x14ac:dyDescent="0.3">
      <c r="A159" s="34">
        <v>150</v>
      </c>
      <c r="B159" s="34">
        <v>665</v>
      </c>
      <c r="C159" s="34" t="s">
        <v>56</v>
      </c>
      <c r="D159" s="34">
        <v>6</v>
      </c>
    </row>
    <row r="160" spans="1:4" x14ac:dyDescent="0.3">
      <c r="A160" s="34">
        <v>151</v>
      </c>
      <c r="B160" s="34">
        <v>843</v>
      </c>
      <c r="C160" s="34" t="s">
        <v>57</v>
      </c>
      <c r="D160" s="34">
        <v>18</v>
      </c>
    </row>
    <row r="161" spans="1:4" x14ac:dyDescent="0.3">
      <c r="A161" s="34">
        <v>152</v>
      </c>
      <c r="B161" s="34">
        <v>912</v>
      </c>
      <c r="C161" s="34" t="s">
        <v>57</v>
      </c>
      <c r="D161" s="34">
        <v>24</v>
      </c>
    </row>
    <row r="162" spans="1:4" x14ac:dyDescent="0.3">
      <c r="A162" s="34">
        <v>153</v>
      </c>
      <c r="B162" s="34">
        <v>558</v>
      </c>
      <c r="C162" s="34" t="s">
        <v>57</v>
      </c>
      <c r="D162" s="34">
        <v>21</v>
      </c>
    </row>
    <row r="163" spans="1:4" x14ac:dyDescent="0.3">
      <c r="A163" s="34">
        <v>154</v>
      </c>
      <c r="B163" s="34">
        <v>723</v>
      </c>
      <c r="C163" s="34" t="s">
        <v>57</v>
      </c>
      <c r="D163" s="34">
        <v>12</v>
      </c>
    </row>
    <row r="164" spans="1:4" x14ac:dyDescent="0.3">
      <c r="A164" s="34">
        <v>155</v>
      </c>
      <c r="B164" s="34">
        <v>12</v>
      </c>
      <c r="C164" s="34" t="s">
        <v>57</v>
      </c>
      <c r="D164" s="34">
        <v>48</v>
      </c>
    </row>
    <row r="165" spans="1:4" x14ac:dyDescent="0.3">
      <c r="A165" s="34">
        <v>156</v>
      </c>
      <c r="B165" s="34">
        <v>608</v>
      </c>
      <c r="C165" s="34" t="s">
        <v>57</v>
      </c>
      <c r="D165" s="34">
        <v>36</v>
      </c>
    </row>
    <row r="166" spans="1:4" x14ac:dyDescent="0.3">
      <c r="A166" s="34">
        <v>157</v>
      </c>
      <c r="B166" s="34">
        <v>762</v>
      </c>
      <c r="C166" s="34" t="s">
        <v>57</v>
      </c>
      <c r="D166" s="34">
        <v>18</v>
      </c>
    </row>
    <row r="167" spans="1:4" x14ac:dyDescent="0.3">
      <c r="A167" s="34">
        <v>158</v>
      </c>
      <c r="B167" s="34">
        <v>60</v>
      </c>
      <c r="C167" s="34" t="s">
        <v>57</v>
      </c>
      <c r="D167" s="34">
        <v>36</v>
      </c>
    </row>
    <row r="168" spans="1:4" x14ac:dyDescent="0.3">
      <c r="A168" s="34">
        <v>159</v>
      </c>
      <c r="B168" s="34">
        <v>532</v>
      </c>
      <c r="C168" s="34" t="s">
        <v>57</v>
      </c>
      <c r="D168" s="34">
        <v>15</v>
      </c>
    </row>
    <row r="169" spans="1:4" x14ac:dyDescent="0.3">
      <c r="A169" s="34">
        <v>160</v>
      </c>
      <c r="B169" s="34">
        <v>425</v>
      </c>
      <c r="C169" s="34" t="s">
        <v>57</v>
      </c>
      <c r="D169" s="34">
        <v>12</v>
      </c>
    </row>
    <row r="170" spans="1:4" x14ac:dyDescent="0.3">
      <c r="A170" s="34">
        <v>161</v>
      </c>
      <c r="B170" s="34">
        <v>430</v>
      </c>
      <c r="C170" s="34" t="s">
        <v>57</v>
      </c>
      <c r="D170" s="34">
        <v>18</v>
      </c>
    </row>
    <row r="171" spans="1:4" x14ac:dyDescent="0.3">
      <c r="A171" s="34">
        <v>162</v>
      </c>
      <c r="B171" s="34">
        <v>729</v>
      </c>
      <c r="C171" s="34" t="s">
        <v>57</v>
      </c>
      <c r="D171" s="34">
        <v>48</v>
      </c>
    </row>
    <row r="172" spans="1:4" x14ac:dyDescent="0.3">
      <c r="A172" s="34">
        <v>163</v>
      </c>
      <c r="B172" s="34">
        <v>916</v>
      </c>
      <c r="C172" s="34" t="s">
        <v>57</v>
      </c>
      <c r="D172" s="34">
        <v>48</v>
      </c>
    </row>
    <row r="173" spans="1:4" x14ac:dyDescent="0.3">
      <c r="A173" s="34">
        <v>164</v>
      </c>
      <c r="B173" s="34">
        <v>45</v>
      </c>
      <c r="C173" s="34" t="s">
        <v>57</v>
      </c>
      <c r="D173" s="34">
        <v>48</v>
      </c>
    </row>
    <row r="174" spans="1:4" x14ac:dyDescent="0.3">
      <c r="A174" s="34">
        <v>165</v>
      </c>
      <c r="B174" s="34">
        <v>117</v>
      </c>
      <c r="C174" s="34" t="s">
        <v>57</v>
      </c>
      <c r="D174" s="34">
        <v>42</v>
      </c>
    </row>
    <row r="175" spans="1:4" x14ac:dyDescent="0.3">
      <c r="A175" s="34">
        <v>166</v>
      </c>
      <c r="B175" s="34">
        <v>176</v>
      </c>
      <c r="C175" s="34" t="s">
        <v>57</v>
      </c>
      <c r="D175" s="34">
        <v>30</v>
      </c>
    </row>
    <row r="176" spans="1:4" x14ac:dyDescent="0.3">
      <c r="A176" s="34">
        <v>167</v>
      </c>
      <c r="B176" s="34">
        <v>253</v>
      </c>
      <c r="C176" s="34" t="s">
        <v>57</v>
      </c>
      <c r="D176" s="34">
        <v>30</v>
      </c>
    </row>
    <row r="177" spans="1:4" x14ac:dyDescent="0.3">
      <c r="A177" s="34">
        <v>168</v>
      </c>
      <c r="B177" s="34">
        <v>859</v>
      </c>
      <c r="C177" s="34" t="s">
        <v>57</v>
      </c>
      <c r="D177" s="34">
        <v>15</v>
      </c>
    </row>
    <row r="178" spans="1:4" x14ac:dyDescent="0.3">
      <c r="A178" s="34">
        <v>169</v>
      </c>
      <c r="B178" s="34">
        <v>93</v>
      </c>
      <c r="C178" s="34" t="s">
        <v>57</v>
      </c>
      <c r="D178" s="34">
        <v>12</v>
      </c>
    </row>
    <row r="179" spans="1:4" x14ac:dyDescent="0.3">
      <c r="A179" s="34">
        <v>170</v>
      </c>
      <c r="B179" s="34">
        <v>376</v>
      </c>
      <c r="C179" s="34" t="s">
        <v>57</v>
      </c>
      <c r="D179" s="34">
        <v>48</v>
      </c>
    </row>
    <row r="180" spans="1:4" x14ac:dyDescent="0.3">
      <c r="A180" s="34">
        <v>171</v>
      </c>
      <c r="B180" s="34">
        <v>279</v>
      </c>
      <c r="C180" s="34" t="s">
        <v>57</v>
      </c>
      <c r="D180" s="34">
        <v>6</v>
      </c>
    </row>
    <row r="181" spans="1:4" x14ac:dyDescent="0.3">
      <c r="A181" s="34">
        <v>172</v>
      </c>
      <c r="B181" s="34">
        <v>420</v>
      </c>
      <c r="C181" s="34" t="s">
        <v>57</v>
      </c>
      <c r="D181" s="34">
        <v>18</v>
      </c>
    </row>
    <row r="182" spans="1:4" x14ac:dyDescent="0.3">
      <c r="A182" s="34">
        <v>173</v>
      </c>
      <c r="B182" s="34">
        <v>196</v>
      </c>
      <c r="C182" s="34" t="s">
        <v>57</v>
      </c>
      <c r="D182" s="34">
        <v>9</v>
      </c>
    </row>
    <row r="183" spans="1:4" x14ac:dyDescent="0.3">
      <c r="A183" s="34">
        <v>174</v>
      </c>
      <c r="B183" s="34">
        <v>130</v>
      </c>
      <c r="C183" s="34" t="s">
        <v>57</v>
      </c>
      <c r="D183" s="34">
        <v>12</v>
      </c>
    </row>
    <row r="184" spans="1:4" x14ac:dyDescent="0.3">
      <c r="A184" s="34">
        <v>175</v>
      </c>
      <c r="B184" s="34">
        <v>375</v>
      </c>
      <c r="C184" s="34" t="s">
        <v>57</v>
      </c>
      <c r="D184" s="34">
        <v>60</v>
      </c>
    </row>
    <row r="185" spans="1:4" x14ac:dyDescent="0.3">
      <c r="A185" s="34">
        <v>176</v>
      </c>
      <c r="B185" s="34">
        <v>604</v>
      </c>
      <c r="C185" s="34" t="s">
        <v>57</v>
      </c>
      <c r="D185" s="34">
        <v>36</v>
      </c>
    </row>
    <row r="186" spans="1:4" x14ac:dyDescent="0.3">
      <c r="A186" s="34">
        <v>177</v>
      </c>
      <c r="B186" s="34">
        <v>748</v>
      </c>
      <c r="C186" s="34" t="s">
        <v>57</v>
      </c>
      <c r="D186" s="34">
        <v>12</v>
      </c>
    </row>
    <row r="187" spans="1:4" x14ac:dyDescent="0.3">
      <c r="A187" s="34">
        <v>178</v>
      </c>
      <c r="B187" s="34">
        <v>708</v>
      </c>
      <c r="C187" s="34" t="s">
        <v>57</v>
      </c>
      <c r="D187" s="34">
        <v>12</v>
      </c>
    </row>
    <row r="188" spans="1:4" x14ac:dyDescent="0.3">
      <c r="A188" s="34">
        <v>179</v>
      </c>
      <c r="B188" s="34">
        <v>863</v>
      </c>
      <c r="C188" s="34" t="s">
        <v>57</v>
      </c>
      <c r="D188" s="34">
        <v>24</v>
      </c>
    </row>
    <row r="189" spans="1:4" x14ac:dyDescent="0.3">
      <c r="A189" s="34">
        <v>180</v>
      </c>
      <c r="B189" s="34">
        <v>571</v>
      </c>
      <c r="C189" s="34" t="s">
        <v>57</v>
      </c>
      <c r="D189" s="34">
        <v>24</v>
      </c>
    </row>
    <row r="190" spans="1:4" x14ac:dyDescent="0.3">
      <c r="A190" s="34">
        <v>181</v>
      </c>
      <c r="B190" s="34">
        <v>827</v>
      </c>
      <c r="C190" s="34" t="s">
        <v>57</v>
      </c>
      <c r="D190" s="34">
        <v>18</v>
      </c>
    </row>
    <row r="191" spans="1:4" x14ac:dyDescent="0.3">
      <c r="A191" s="34">
        <v>182</v>
      </c>
      <c r="B191" s="34">
        <v>125</v>
      </c>
      <c r="C191" s="34" t="s">
        <v>57</v>
      </c>
      <c r="D191" s="34">
        <v>18</v>
      </c>
    </row>
    <row r="192" spans="1:4" x14ac:dyDescent="0.3">
      <c r="A192" s="34">
        <v>183</v>
      </c>
      <c r="B192" s="34">
        <v>725</v>
      </c>
      <c r="C192" s="34" t="s">
        <v>57</v>
      </c>
      <c r="D192" s="34">
        <v>27</v>
      </c>
    </row>
    <row r="193" spans="1:4" x14ac:dyDescent="0.3">
      <c r="A193" s="34">
        <v>184</v>
      </c>
      <c r="B193" s="34">
        <v>302</v>
      </c>
      <c r="C193" s="34" t="s">
        <v>57</v>
      </c>
      <c r="D193" s="34">
        <v>36</v>
      </c>
    </row>
    <row r="194" spans="1:4" x14ac:dyDescent="0.3">
      <c r="A194" s="34">
        <v>185</v>
      </c>
      <c r="B194" s="34">
        <v>923</v>
      </c>
      <c r="C194" s="34" t="s">
        <v>57</v>
      </c>
      <c r="D194" s="34">
        <v>9</v>
      </c>
    </row>
    <row r="195" spans="1:4" x14ac:dyDescent="0.3">
      <c r="A195" s="34">
        <v>186</v>
      </c>
      <c r="B195" s="34">
        <v>250</v>
      </c>
      <c r="C195" s="34" t="s">
        <v>57</v>
      </c>
      <c r="D195" s="34">
        <v>18</v>
      </c>
    </row>
    <row r="196" spans="1:4" x14ac:dyDescent="0.3">
      <c r="A196" s="34">
        <v>187</v>
      </c>
      <c r="B196" s="34">
        <v>382</v>
      </c>
      <c r="C196" s="34" t="s">
        <v>57</v>
      </c>
      <c r="D196" s="34">
        <v>18</v>
      </c>
    </row>
    <row r="197" spans="1:4" x14ac:dyDescent="0.3">
      <c r="A197" s="34">
        <v>188</v>
      </c>
      <c r="B197" s="34">
        <v>603</v>
      </c>
      <c r="C197" s="34" t="s">
        <v>57</v>
      </c>
      <c r="D197" s="34">
        <v>24</v>
      </c>
    </row>
    <row r="198" spans="1:4" x14ac:dyDescent="0.3">
      <c r="A198" s="34">
        <v>189</v>
      </c>
      <c r="B198" s="34">
        <v>415</v>
      </c>
      <c r="C198" s="34" t="s">
        <v>57</v>
      </c>
      <c r="D198" s="34">
        <v>24</v>
      </c>
    </row>
    <row r="199" spans="1:4" x14ac:dyDescent="0.3">
      <c r="A199" s="34">
        <v>190</v>
      </c>
      <c r="B199" s="34">
        <v>953</v>
      </c>
      <c r="C199" s="34" t="s">
        <v>57</v>
      </c>
      <c r="D199" s="34">
        <v>24</v>
      </c>
    </row>
    <row r="200" spans="1:4" x14ac:dyDescent="0.3">
      <c r="A200" s="34">
        <v>191</v>
      </c>
      <c r="B200" s="34">
        <v>772</v>
      </c>
      <c r="C200" s="34" t="s">
        <v>57</v>
      </c>
      <c r="D200" s="34">
        <v>36</v>
      </c>
    </row>
    <row r="201" spans="1:4" x14ac:dyDescent="0.3">
      <c r="A201" s="34">
        <v>192</v>
      </c>
      <c r="B201" s="34">
        <v>173</v>
      </c>
      <c r="C201" s="34" t="s">
        <v>57</v>
      </c>
      <c r="D201" s="34">
        <v>24</v>
      </c>
    </row>
    <row r="202" spans="1:4" x14ac:dyDescent="0.3">
      <c r="A202" s="34">
        <v>193</v>
      </c>
      <c r="B202" s="34">
        <v>832</v>
      </c>
      <c r="C202" s="34" t="s">
        <v>57</v>
      </c>
      <c r="D202" s="34">
        <v>18</v>
      </c>
    </row>
    <row r="203" spans="1:4" x14ac:dyDescent="0.3">
      <c r="A203" s="34">
        <v>194</v>
      </c>
      <c r="B203" s="34">
        <v>447</v>
      </c>
      <c r="C203" s="34" t="s">
        <v>57</v>
      </c>
      <c r="D203" s="34">
        <v>36</v>
      </c>
    </row>
    <row r="204" spans="1:4" x14ac:dyDescent="0.3">
      <c r="A204" s="34">
        <v>195</v>
      </c>
      <c r="B204" s="34">
        <v>596</v>
      </c>
      <c r="C204" s="34" t="s">
        <v>57</v>
      </c>
      <c r="D204" s="34">
        <v>6</v>
      </c>
    </row>
    <row r="205" spans="1:4" x14ac:dyDescent="0.3">
      <c r="A205" s="34">
        <v>196</v>
      </c>
      <c r="B205" s="34">
        <v>586</v>
      </c>
      <c r="C205" s="34" t="s">
        <v>57</v>
      </c>
      <c r="D205" s="34">
        <v>18</v>
      </c>
    </row>
    <row r="206" spans="1:4" x14ac:dyDescent="0.3">
      <c r="A206" s="34">
        <v>197</v>
      </c>
      <c r="B206" s="34">
        <v>121</v>
      </c>
      <c r="C206" s="34" t="s">
        <v>57</v>
      </c>
      <c r="D206" s="34">
        <v>21</v>
      </c>
    </row>
    <row r="207" spans="1:4" x14ac:dyDescent="0.3">
      <c r="A207" s="34">
        <v>198</v>
      </c>
      <c r="B207" s="34">
        <v>791</v>
      </c>
      <c r="C207" s="34" t="s">
        <v>57</v>
      </c>
      <c r="D207" s="34">
        <v>21</v>
      </c>
    </row>
    <row r="208" spans="1:4" x14ac:dyDescent="0.3">
      <c r="A208" s="34">
        <v>199</v>
      </c>
      <c r="B208" s="34">
        <v>557</v>
      </c>
      <c r="C208" s="34" t="s">
        <v>57</v>
      </c>
      <c r="D208" s="34">
        <v>18</v>
      </c>
    </row>
    <row r="209" spans="1:4" x14ac:dyDescent="0.3">
      <c r="A209" s="35">
        <v>200</v>
      </c>
      <c r="B209" s="35">
        <v>615</v>
      </c>
      <c r="C209" s="35" t="s">
        <v>57</v>
      </c>
      <c r="D209" s="35">
        <v>18</v>
      </c>
    </row>
  </sheetData>
  <mergeCells count="2">
    <mergeCell ref="B2:M2"/>
    <mergeCell ref="B3:M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CA68-F9CF-4AB7-8A5F-C4FA092F34FB}">
  <sheetPr>
    <tabColor theme="6" tint="0.59999389629810485"/>
  </sheetPr>
  <dimension ref="A1:N101"/>
  <sheetViews>
    <sheetView topLeftCell="A12" zoomScale="130" zoomScaleNormal="130" workbookViewId="0">
      <selection activeCell="L33" sqref="L33"/>
    </sheetView>
  </sheetViews>
  <sheetFormatPr defaultRowHeight="14.4" x14ac:dyDescent="0.3"/>
  <cols>
    <col min="2" max="2" width="9.109375" bestFit="1" customWidth="1"/>
    <col min="4" max="4" width="11.88671875" bestFit="1" customWidth="1"/>
    <col min="6" max="6" width="11.44140625" customWidth="1"/>
    <col min="12" max="12" width="10.6640625" bestFit="1" customWidth="1"/>
    <col min="13" max="13" width="9.33203125" bestFit="1" customWidth="1"/>
  </cols>
  <sheetData>
    <row r="1" spans="1:14" ht="15" thickBot="1" x14ac:dyDescent="0.35"/>
    <row r="2" spans="1:14" ht="15" thickBot="1" x14ac:dyDescent="0.35">
      <c r="B2" s="316" t="s">
        <v>77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8"/>
    </row>
    <row r="3" spans="1:14" ht="15" customHeight="1" x14ac:dyDescent="0.3">
      <c r="B3" s="319" t="s">
        <v>275</v>
      </c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1"/>
      <c r="N3" s="87"/>
    </row>
    <row r="4" spans="1:14" x14ac:dyDescent="0.3">
      <c r="B4" s="322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4"/>
      <c r="N4" s="87"/>
    </row>
    <row r="5" spans="1:14" x14ac:dyDescent="0.3">
      <c r="B5" s="322"/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4"/>
      <c r="N5" s="87"/>
    </row>
    <row r="6" spans="1:14" ht="15" thickBot="1" x14ac:dyDescent="0.35">
      <c r="B6" s="325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7"/>
      <c r="N6" s="87"/>
    </row>
    <row r="8" spans="1:14" x14ac:dyDescent="0.3">
      <c r="C8" s="33" t="s">
        <v>74</v>
      </c>
      <c r="D8" s="33" t="s">
        <v>23</v>
      </c>
    </row>
    <row r="9" spans="1:14" x14ac:dyDescent="0.3">
      <c r="A9" s="37" t="s">
        <v>13</v>
      </c>
      <c r="B9" s="37" t="s">
        <v>12</v>
      </c>
      <c r="C9" s="37" t="s">
        <v>42</v>
      </c>
      <c r="D9" s="41" t="s">
        <v>63</v>
      </c>
      <c r="F9" s="8" t="s">
        <v>43</v>
      </c>
      <c r="J9" s="8" t="s">
        <v>44</v>
      </c>
    </row>
    <row r="10" spans="1:14" x14ac:dyDescent="0.3">
      <c r="A10" s="34">
        <v>1</v>
      </c>
      <c r="B10" s="34">
        <v>249</v>
      </c>
      <c r="C10" s="34" t="s">
        <v>54</v>
      </c>
      <c r="D10" s="39">
        <f>VLOOKUP('3.1 Losowanie warstwowe PROP'!B10,lw!$A$1:$G$1001,2,FALSE)</f>
        <v>24</v>
      </c>
      <c r="F10" s="9"/>
      <c r="G10" s="314" t="s">
        <v>45</v>
      </c>
      <c r="H10" s="315"/>
      <c r="J10" s="9"/>
      <c r="K10" s="314" t="s">
        <v>45</v>
      </c>
      <c r="L10" s="315"/>
    </row>
    <row r="11" spans="1:14" x14ac:dyDescent="0.3">
      <c r="A11" s="34">
        <v>2</v>
      </c>
      <c r="B11" s="34">
        <v>774</v>
      </c>
      <c r="C11" s="34" t="s">
        <v>54</v>
      </c>
      <c r="D11" s="39">
        <f>VLOOKUP('3.1 Losowanie warstwowe PROP'!B11,lw!$A$1:$G$1001,2,FALSE)</f>
        <v>24</v>
      </c>
      <c r="F11" s="4" t="s">
        <v>42</v>
      </c>
      <c r="G11" s="10" t="s">
        <v>46</v>
      </c>
      <c r="H11" s="11" t="s">
        <v>47</v>
      </c>
      <c r="J11" s="4" t="s">
        <v>42</v>
      </c>
      <c r="K11" s="10" t="s">
        <v>46</v>
      </c>
      <c r="L11" s="11" t="s">
        <v>47</v>
      </c>
    </row>
    <row r="12" spans="1:14" x14ac:dyDescent="0.3">
      <c r="A12" s="34">
        <v>3</v>
      </c>
      <c r="B12" s="34">
        <v>894</v>
      </c>
      <c r="C12" s="34" t="s">
        <v>54</v>
      </c>
      <c r="D12" s="39">
        <f>VLOOKUP('3.1 Losowanie warstwowe PROP'!B12,lw!$A$1:$G$1001,2,FALSE)</f>
        <v>36</v>
      </c>
      <c r="F12" s="12" t="s">
        <v>5</v>
      </c>
      <c r="G12" s="82">
        <f>G17/$G$21</f>
        <v>0.499</v>
      </c>
      <c r="H12" s="82">
        <f>G19/$G$21</f>
        <v>0.20100000000000001</v>
      </c>
      <c r="J12" s="12" t="s">
        <v>5</v>
      </c>
      <c r="K12" s="82">
        <f>I17/$I$21</f>
        <v>0.5</v>
      </c>
      <c r="L12" s="82">
        <f>I19/$I$21</f>
        <v>0.2</v>
      </c>
    </row>
    <row r="13" spans="1:14" x14ac:dyDescent="0.3">
      <c r="A13" s="34">
        <v>4</v>
      </c>
      <c r="B13" s="34">
        <v>124</v>
      </c>
      <c r="C13" s="34" t="s">
        <v>54</v>
      </c>
      <c r="D13" s="39">
        <f>VLOOKUP('3.1 Losowanie warstwowe PROP'!B13,lw!$A$1:$G$1001,2,FALSE)</f>
        <v>10</v>
      </c>
      <c r="F13" s="13" t="s">
        <v>7</v>
      </c>
      <c r="G13" s="82">
        <f>G18/$G$21</f>
        <v>0.191</v>
      </c>
      <c r="H13" s="82">
        <f>G20/$G$21</f>
        <v>0.109</v>
      </c>
      <c r="J13" s="13" t="s">
        <v>7</v>
      </c>
      <c r="K13" s="82">
        <f>I18/$I$21</f>
        <v>0.2</v>
      </c>
      <c r="L13" s="82">
        <f>I20/$I$21</f>
        <v>0.1</v>
      </c>
    </row>
    <row r="14" spans="1:14" x14ac:dyDescent="0.3">
      <c r="A14" s="34">
        <v>5</v>
      </c>
      <c r="B14" s="34">
        <v>887</v>
      </c>
      <c r="C14" s="34" t="s">
        <v>54</v>
      </c>
      <c r="D14" s="39">
        <f>VLOOKUP('3.1 Losowanie warstwowe PROP'!B14,lw!$A$1:$G$1001,2,FALSE)</f>
        <v>24</v>
      </c>
    </row>
    <row r="15" spans="1:14" x14ac:dyDescent="0.3">
      <c r="A15" s="34">
        <v>6</v>
      </c>
      <c r="B15" s="34">
        <v>265</v>
      </c>
      <c r="C15" s="34" t="s">
        <v>54</v>
      </c>
      <c r="D15" s="39">
        <f>VLOOKUP('3.1 Losowanie warstwowe PROP'!B15,lw!$A$1:$G$1001,2,FALSE)</f>
        <v>10</v>
      </c>
      <c r="F15" s="14" t="s">
        <v>254</v>
      </c>
      <c r="G15" s="14"/>
    </row>
    <row r="16" spans="1:14" ht="15.6" x14ac:dyDescent="0.35">
      <c r="A16" s="34">
        <v>7</v>
      </c>
      <c r="B16" s="34">
        <v>907</v>
      </c>
      <c r="C16" s="34" t="s">
        <v>54</v>
      </c>
      <c r="D16" s="39">
        <f>VLOOKUP('3.1 Losowanie warstwowe PROP'!B16,lw!$A$1:$G$1001,2,FALSE)</f>
        <v>21</v>
      </c>
      <c r="F16" s="80" t="s">
        <v>49</v>
      </c>
      <c r="G16" s="196" t="s">
        <v>153</v>
      </c>
      <c r="H16" s="244" t="s">
        <v>154</v>
      </c>
      <c r="I16" s="244" t="s">
        <v>51</v>
      </c>
      <c r="J16" s="244" t="s">
        <v>155</v>
      </c>
      <c r="K16" s="244" t="s">
        <v>156</v>
      </c>
      <c r="L16" s="244" t="s">
        <v>75</v>
      </c>
      <c r="M16" s="245" t="s">
        <v>157</v>
      </c>
      <c r="N16" s="244" t="s">
        <v>158</v>
      </c>
    </row>
    <row r="17" spans="1:14" x14ac:dyDescent="0.3">
      <c r="A17" s="34">
        <v>8</v>
      </c>
      <c r="B17" s="34">
        <v>811</v>
      </c>
      <c r="C17" s="34" t="s">
        <v>54</v>
      </c>
      <c r="D17" s="39">
        <f>VLOOKUP('3.1 Losowanie warstwowe PROP'!B17,lw!$A$1:$G$1001,2,FALSE)</f>
        <v>8</v>
      </c>
      <c r="F17" s="17" t="s">
        <v>54</v>
      </c>
      <c r="G17" s="242">
        <v>499</v>
      </c>
      <c r="H17" s="9">
        <f>G17/$G$21</f>
        <v>0.499</v>
      </c>
      <c r="I17" s="12">
        <f>ROUND(H17*$G$25,0)</f>
        <v>25</v>
      </c>
      <c r="J17" s="175" cm="1">
        <f t="array" ref="J17">_xlfn.STDEV.S(IF($C$10:$C$59=F17,$D$10:$D$59,""))</f>
        <v>8.3681937517403764</v>
      </c>
      <c r="K17" s="12">
        <f>ROUND($J$26*H17*J17/$J$24,0)</f>
        <v>38</v>
      </c>
      <c r="L17" s="12">
        <f>K17-I17</f>
        <v>13</v>
      </c>
      <c r="M17" s="246">
        <f ca="1">AVERAGEIF($C$10:$C$101,F17,$D$10:$D$34)</f>
        <v>18.157894736842106</v>
      </c>
      <c r="N17" s="12" cm="1">
        <f t="array" ref="N17">_xlfn.STDEV.S(IF($C$10:$C$101=F17,$D$10:$D$101,""))</f>
        <v>7.6282771098260351</v>
      </c>
    </row>
    <row r="18" spans="1:14" x14ac:dyDescent="0.3">
      <c r="A18" s="34">
        <v>9</v>
      </c>
      <c r="B18" s="34">
        <v>831</v>
      </c>
      <c r="C18" s="34" t="s">
        <v>54</v>
      </c>
      <c r="D18" s="39">
        <f>VLOOKUP('3.1 Losowanie warstwowe PROP'!B18,lw!$A$1:$G$1001,2,FALSE)</f>
        <v>24</v>
      </c>
      <c r="F18" s="21" t="s">
        <v>55</v>
      </c>
      <c r="G18" s="242">
        <v>191</v>
      </c>
      <c r="H18" s="19">
        <f>G18/$G$21</f>
        <v>0.191</v>
      </c>
      <c r="I18" s="75">
        <f t="shared" ref="I18:I19" si="0">ROUND(H18*$G$25,0)</f>
        <v>10</v>
      </c>
      <c r="J18" s="20" cm="1">
        <f t="array" ref="J18">_xlfn.STDEV.S(IF($C$10:$C$59=F18,$D$10:$D$59,""))</f>
        <v>14.546477236774544</v>
      </c>
      <c r="K18" s="75">
        <f>ROUND($J$26*H18*J18/$J$24,0)</f>
        <v>25</v>
      </c>
      <c r="L18" s="75">
        <f>K18-I18</f>
        <v>15</v>
      </c>
      <c r="M18" s="247">
        <f t="shared" ref="M18:M20" ca="1" si="1">AVERAGEIF($C$10:$C$101,F18,$D$10:$D$34)</f>
        <v>25.88</v>
      </c>
      <c r="N18" s="75" cm="1">
        <f t="array" ref="N18">_xlfn.STDEV.S(IF($C$10:$C$101=F18,$D$10:$D$101,""))</f>
        <v>12.524376231972592</v>
      </c>
    </row>
    <row r="19" spans="1:14" x14ac:dyDescent="0.3">
      <c r="A19" s="34">
        <v>10</v>
      </c>
      <c r="B19" s="34">
        <v>34</v>
      </c>
      <c r="C19" s="34" t="s">
        <v>54</v>
      </c>
      <c r="D19" s="39">
        <f>VLOOKUP('3.1 Losowanie warstwowe PROP'!B19,lw!$A$1:$G$1001,2,FALSE)</f>
        <v>12</v>
      </c>
      <c r="F19" s="21" t="s">
        <v>56</v>
      </c>
      <c r="G19" s="242">
        <v>201</v>
      </c>
      <c r="H19" s="19">
        <f t="shared" ref="H19:H20" si="2">G19/$G$21</f>
        <v>0.20100000000000001</v>
      </c>
      <c r="I19" s="75">
        <f t="shared" si="0"/>
        <v>10</v>
      </c>
      <c r="J19" s="20" cm="1">
        <f t="array" ref="J19">_xlfn.STDEV.S(IF($C$10:$C$59=F19,$D$10:$D$59,""))</f>
        <v>8.1076095942844528</v>
      </c>
      <c r="K19" s="75">
        <f>ROUND($J$26*H19*J19/$J$24,0)</f>
        <v>15</v>
      </c>
      <c r="L19" s="75">
        <f t="shared" ref="L19:L20" si="3">K19-I19</f>
        <v>5</v>
      </c>
      <c r="M19" s="247">
        <f t="shared" ca="1" si="1"/>
        <v>18.133333333333333</v>
      </c>
      <c r="N19" s="75" cm="1">
        <f t="array" ref="N19">_xlfn.STDEV.S(IF($C$10:$C$101=F19,$D$10:$D$101,""))</f>
        <v>8.8225900527053422</v>
      </c>
    </row>
    <row r="20" spans="1:14" x14ac:dyDescent="0.3">
      <c r="A20" s="34">
        <v>11</v>
      </c>
      <c r="B20" s="34">
        <v>587</v>
      </c>
      <c r="C20" s="34" t="s">
        <v>54</v>
      </c>
      <c r="D20" s="39">
        <f>VLOOKUP('3.1 Losowanie warstwowe PROP'!B20,lw!$A$1:$G$1001,2,FALSE)</f>
        <v>9</v>
      </c>
      <c r="F20" s="22" t="s">
        <v>57</v>
      </c>
      <c r="G20" s="243">
        <v>109</v>
      </c>
      <c r="H20" s="76">
        <f t="shared" si="2"/>
        <v>0.109</v>
      </c>
      <c r="I20" s="13">
        <f>ROUND(H20*$G$25,0)</f>
        <v>5</v>
      </c>
      <c r="J20" s="176" cm="1">
        <f t="array" ref="J20">_xlfn.STDEV.S(IF($C$10:$C$59=F20,$D$10:$D$59,""))</f>
        <v>13.813037319865604</v>
      </c>
      <c r="K20" s="13">
        <f>ROUND($J$26*H20*J20/$J$24,0)</f>
        <v>14</v>
      </c>
      <c r="L20" s="13">
        <f t="shared" si="3"/>
        <v>9</v>
      </c>
      <c r="M20" s="248">
        <f t="shared" ca="1" si="1"/>
        <v>28.714285714285715</v>
      </c>
      <c r="N20" s="13" cm="1">
        <f t="array" ref="N20">_xlfn.STDEV.S(IF($C$10:$C$101=F20,$D$10:$D$101,""))</f>
        <v>14.588871266659558</v>
      </c>
    </row>
    <row r="21" spans="1:14" x14ac:dyDescent="0.3">
      <c r="A21" s="34">
        <v>12</v>
      </c>
      <c r="B21" s="34">
        <v>561</v>
      </c>
      <c r="C21" s="34" t="s">
        <v>54</v>
      </c>
      <c r="D21" s="39">
        <f>VLOOKUP('3.1 Losowanie warstwowe PROP'!B21,lw!$A$1:$G$1001,2,FALSE)</f>
        <v>24</v>
      </c>
      <c r="F21" s="78" t="s">
        <v>53</v>
      </c>
      <c r="G21" s="89">
        <f>SUM(G17:G20)</f>
        <v>1000</v>
      </c>
      <c r="H21" s="4">
        <f>SUM(H17:H20)</f>
        <v>1</v>
      </c>
      <c r="I21" s="4">
        <f>SUM(I17:I20)</f>
        <v>50</v>
      </c>
      <c r="J21" s="79"/>
      <c r="K21" s="4">
        <f>SUM(K17:K20)</f>
        <v>92</v>
      </c>
      <c r="L21" s="4">
        <f>SUM(L17:L20)</f>
        <v>42</v>
      </c>
      <c r="M21" s="79"/>
      <c r="N21" s="79"/>
    </row>
    <row r="22" spans="1:14" x14ac:dyDescent="0.3">
      <c r="A22" s="34">
        <v>13</v>
      </c>
      <c r="B22" s="34">
        <v>934</v>
      </c>
      <c r="C22" s="34" t="s">
        <v>54</v>
      </c>
      <c r="D22" s="39">
        <f>VLOOKUP('3.1 Losowanie warstwowe PROP'!B22,lw!$A$1:$G$1001,2,FALSE)</f>
        <v>12</v>
      </c>
      <c r="F22" s="90"/>
    </row>
    <row r="23" spans="1:14" x14ac:dyDescent="0.3">
      <c r="A23" s="34">
        <v>14</v>
      </c>
      <c r="B23" s="34">
        <v>515</v>
      </c>
      <c r="C23" s="34" t="s">
        <v>54</v>
      </c>
      <c r="D23" s="39">
        <f>VLOOKUP('3.1 Losowanie warstwowe PROP'!B23,lw!$A$1:$G$1001,2,FALSE)</f>
        <v>24</v>
      </c>
      <c r="F23" s="197" t="s">
        <v>14</v>
      </c>
      <c r="G23" s="89">
        <v>1000</v>
      </c>
      <c r="I23" s="2" t="s">
        <v>24</v>
      </c>
    </row>
    <row r="24" spans="1:14" x14ac:dyDescent="0.3">
      <c r="A24" s="34">
        <v>15</v>
      </c>
      <c r="B24" s="34">
        <v>8</v>
      </c>
      <c r="C24" s="34" t="s">
        <v>54</v>
      </c>
      <c r="D24" s="39">
        <f>VLOOKUP('3.1 Losowanie warstwowe PROP'!B24,lw!$A$1:$G$1001,2,FALSE)</f>
        <v>36</v>
      </c>
      <c r="F24" s="197" t="s">
        <v>20</v>
      </c>
      <c r="G24" s="92">
        <v>2</v>
      </c>
      <c r="I24" s="6" t="str">
        <f xml:space="preserve"> "s" &amp; _xlfn.UNICHAR(773) &amp; "'"</f>
        <v>s̅'</v>
      </c>
      <c r="J24" s="4">
        <f>SUMPRODUCT(H17:H20,J17:J20)</f>
        <v>10.089356430658912</v>
      </c>
    </row>
    <row r="25" spans="1:14" ht="15.6" x14ac:dyDescent="0.35">
      <c r="A25" s="34">
        <v>16</v>
      </c>
      <c r="B25" s="34">
        <v>610</v>
      </c>
      <c r="C25" s="34" t="s">
        <v>54</v>
      </c>
      <c r="D25" s="39">
        <f>VLOOKUP('3.1 Losowanie warstwowe PROP'!B25,lw!$A$1:$G$1001,2,FALSE)</f>
        <v>15</v>
      </c>
      <c r="F25" s="25" t="s">
        <v>16</v>
      </c>
      <c r="G25" s="24">
        <v>50</v>
      </c>
      <c r="I25" s="6" t="s">
        <v>279</v>
      </c>
      <c r="J25" s="89" cm="1">
        <f t="array" ref="J25">SUMPRODUCT(H17:H20,J17:J20^2)</f>
        <v>109.36850666666666</v>
      </c>
    </row>
    <row r="26" spans="1:14" ht="15.6" x14ac:dyDescent="0.35">
      <c r="A26" s="34">
        <v>17</v>
      </c>
      <c r="B26" s="34">
        <v>40</v>
      </c>
      <c r="C26" s="34" t="s">
        <v>54</v>
      </c>
      <c r="D26" s="39">
        <f>VLOOKUP('3.1 Losowanie warstwowe PROP'!B26,lw!$A$1:$G$1001,2,FALSE)</f>
        <v>9</v>
      </c>
      <c r="F26" s="25" t="s">
        <v>15</v>
      </c>
      <c r="G26" s="4">
        <v>92</v>
      </c>
      <c r="I26" s="6" t="s">
        <v>79</v>
      </c>
      <c r="J26" s="4">
        <f>ROUNDUP(J24^2/(G24^2/4+J25/G23),0)</f>
        <v>92</v>
      </c>
    </row>
    <row r="27" spans="1:14" x14ac:dyDescent="0.3">
      <c r="A27" s="34">
        <v>18</v>
      </c>
      <c r="B27" s="34">
        <v>324</v>
      </c>
      <c r="C27" s="34" t="s">
        <v>54</v>
      </c>
      <c r="D27" s="39">
        <f>VLOOKUP('3.1 Losowanie warstwowe PROP'!B27,lw!$A$1:$G$1001,2,FALSE)</f>
        <v>18</v>
      </c>
      <c r="F27" s="90"/>
      <c r="G27" s="94"/>
      <c r="I27" t="s">
        <v>159</v>
      </c>
    </row>
    <row r="28" spans="1:14" x14ac:dyDescent="0.3">
      <c r="A28" s="34">
        <v>19</v>
      </c>
      <c r="B28" s="34">
        <v>158</v>
      </c>
      <c r="C28" s="34" t="s">
        <v>54</v>
      </c>
      <c r="D28" s="39">
        <f>VLOOKUP('3.1 Losowanie warstwowe PROP'!B28,lw!$A$1:$G$1001,2,FALSE)</f>
        <v>12</v>
      </c>
      <c r="I28" t="s">
        <v>160</v>
      </c>
    </row>
    <row r="29" spans="1:14" x14ac:dyDescent="0.3">
      <c r="A29" s="34">
        <v>20</v>
      </c>
      <c r="B29" s="34">
        <v>208</v>
      </c>
      <c r="C29" s="34" t="s">
        <v>54</v>
      </c>
      <c r="D29" s="39">
        <f>VLOOKUP('3.1 Losowanie warstwowe PROP'!B29,lw!$A$1:$G$1001,2,FALSE)</f>
        <v>12</v>
      </c>
      <c r="F29" s="2" t="s">
        <v>69</v>
      </c>
    </row>
    <row r="30" spans="1:14" ht="15.6" x14ac:dyDescent="0.35">
      <c r="A30" s="34">
        <v>21</v>
      </c>
      <c r="B30" s="34">
        <v>699</v>
      </c>
      <c r="C30" s="34" t="s">
        <v>54</v>
      </c>
      <c r="D30" s="39">
        <f>VLOOKUP('3.1 Losowanie warstwowe PROP'!B30,lw!$A$1:$G$1001,2,FALSE)</f>
        <v>18</v>
      </c>
      <c r="F30" s="198" t="s">
        <v>78</v>
      </c>
      <c r="G30" s="200">
        <f ca="1">SUMPRODUCT(H17:H20,M17:M20)</f>
        <v>20.778526616541356</v>
      </c>
    </row>
    <row r="31" spans="1:14" x14ac:dyDescent="0.3">
      <c r="A31" s="34">
        <v>22</v>
      </c>
      <c r="B31" s="34">
        <v>246</v>
      </c>
      <c r="C31" s="34" t="s">
        <v>54</v>
      </c>
      <c r="D31" s="39">
        <f>VLOOKUP('3.1 Losowanie warstwowe PROP'!B31,lw!$A$1:$G$1001,2,FALSE)</f>
        <v>24</v>
      </c>
      <c r="F31" s="28" t="str">
        <f xml:space="preserve"> "s" &amp; _xlfn.UNICHAR(773)</f>
        <v>s̅</v>
      </c>
      <c r="G31" s="26">
        <f>SUMPRODUCT(H17:H20,N17:N20)</f>
        <v>9.562193706769623</v>
      </c>
    </row>
    <row r="32" spans="1:14" ht="15.6" x14ac:dyDescent="0.35">
      <c r="A32" s="34">
        <v>23</v>
      </c>
      <c r="B32" s="34">
        <v>801</v>
      </c>
      <c r="C32" s="34" t="s">
        <v>54</v>
      </c>
      <c r="D32" s="39">
        <f>VLOOKUP('3.1 Losowanie warstwowe PROP'!B32,lw!$A$1:$G$1001,2,FALSE)</f>
        <v>24</v>
      </c>
      <c r="F32" s="262" t="s">
        <v>280</v>
      </c>
      <c r="G32" s="199" cm="1">
        <f t="array" ref="G32">SUMPRODUCT(H17:H20,N17:N20^2)</f>
        <v>97.841865330373736</v>
      </c>
    </row>
    <row r="33" spans="1:7" x14ac:dyDescent="0.3">
      <c r="A33" s="34">
        <v>24</v>
      </c>
      <c r="B33" s="34">
        <v>914</v>
      </c>
      <c r="C33" s="34" t="s">
        <v>54</v>
      </c>
      <c r="D33" s="39">
        <f>VLOOKUP('3.1 Losowanie warstwowe PROP'!B33,lw!$A$1:$G$1001,2,FALSE)</f>
        <v>11</v>
      </c>
      <c r="F33" s="28" t="str">
        <f xml:space="preserve"> "D" &amp; _xlfn.UNICHAR(770) &amp; "²opt(" &amp; "y" &amp; _xlfn.UNICHAR(773) &amp; "w)"</f>
        <v>D̂²opt(y̅w)</v>
      </c>
      <c r="G33" s="26">
        <f>(G31^2/G26)-(G32/G23)</f>
        <v>0.89602279212380642</v>
      </c>
    </row>
    <row r="34" spans="1:7" x14ac:dyDescent="0.3">
      <c r="A34" s="34">
        <v>25</v>
      </c>
      <c r="B34" s="34">
        <v>519</v>
      </c>
      <c r="C34" s="34" t="s">
        <v>54</v>
      </c>
      <c r="D34" s="39">
        <f>VLOOKUP('3.1 Losowanie warstwowe PROP'!B34,lw!$A$1:$G$1001,2,FALSE)</f>
        <v>6</v>
      </c>
      <c r="F34" s="28" t="str">
        <f xml:space="preserve"> "D" &amp; _xlfn.UNICHAR(770) &amp; "opt(" &amp; "y" &amp; _xlfn.UNICHAR(773) &amp; "w)"</f>
        <v>D̂opt(y̅w)</v>
      </c>
      <c r="G34" s="100">
        <f>SQRT(G33)</f>
        <v>0.94658480450713256</v>
      </c>
    </row>
    <row r="35" spans="1:7" x14ac:dyDescent="0.3">
      <c r="A35" s="34">
        <v>26</v>
      </c>
      <c r="B35" s="34">
        <v>553</v>
      </c>
      <c r="C35" s="34" t="s">
        <v>55</v>
      </c>
      <c r="D35" s="34">
        <v>48</v>
      </c>
    </row>
    <row r="36" spans="1:7" x14ac:dyDescent="0.3">
      <c r="A36" s="34">
        <v>27</v>
      </c>
      <c r="B36" s="34">
        <v>590</v>
      </c>
      <c r="C36" s="34" t="s">
        <v>55</v>
      </c>
      <c r="D36" s="34">
        <v>12</v>
      </c>
      <c r="F36" t="s">
        <v>260</v>
      </c>
    </row>
    <row r="37" spans="1:7" x14ac:dyDescent="0.3">
      <c r="A37" s="34">
        <v>28</v>
      </c>
      <c r="B37" s="34">
        <v>274</v>
      </c>
      <c r="C37" s="34" t="s">
        <v>55</v>
      </c>
      <c r="D37" s="34">
        <v>48</v>
      </c>
    </row>
    <row r="38" spans="1:7" x14ac:dyDescent="0.3">
      <c r="A38" s="34">
        <v>29</v>
      </c>
      <c r="B38" s="34">
        <v>399</v>
      </c>
      <c r="C38" s="34" t="s">
        <v>55</v>
      </c>
      <c r="D38" s="34">
        <v>12</v>
      </c>
      <c r="F38" s="2" t="s">
        <v>71</v>
      </c>
    </row>
    <row r="39" spans="1:7" ht="15.6" x14ac:dyDescent="0.3">
      <c r="A39" s="34">
        <v>30</v>
      </c>
      <c r="B39" s="34">
        <v>191</v>
      </c>
      <c r="C39" s="34" t="s">
        <v>55</v>
      </c>
      <c r="D39" s="34">
        <v>24</v>
      </c>
      <c r="F39" s="64" t="s">
        <v>22</v>
      </c>
      <c r="G39" s="201">
        <f ca="1">G23*G30</f>
        <v>20778.526616541356</v>
      </c>
    </row>
    <row r="40" spans="1:7" ht="15.6" x14ac:dyDescent="0.3">
      <c r="A40" s="34">
        <v>31</v>
      </c>
      <c r="B40" s="34">
        <v>138</v>
      </c>
      <c r="C40" s="34" t="s">
        <v>55</v>
      </c>
      <c r="D40" s="34">
        <v>12</v>
      </c>
      <c r="F40" s="64" t="str">
        <f>"D"&amp;_xlfn.UNICHAR(770) &amp; "²opt(ŷ)"</f>
        <v>D̂²opt(ŷ)</v>
      </c>
      <c r="G40" s="4">
        <f>G33*G23^2</f>
        <v>896022.79212380643</v>
      </c>
    </row>
    <row r="41" spans="1:7" ht="15.6" x14ac:dyDescent="0.3">
      <c r="A41" s="34">
        <v>32</v>
      </c>
      <c r="B41" s="34">
        <v>541</v>
      </c>
      <c r="C41" s="34" t="s">
        <v>55</v>
      </c>
      <c r="D41" s="34">
        <v>12</v>
      </c>
      <c r="F41" s="64" t="str">
        <f>"D"&amp;_xlfn.UNICHAR(770) &amp; "opt(ŷ)"</f>
        <v>D̂opt(ŷ)</v>
      </c>
      <c r="G41" s="100">
        <f>SQRT(G40)</f>
        <v>946.58480450713262</v>
      </c>
    </row>
    <row r="42" spans="1:7" x14ac:dyDescent="0.3">
      <c r="A42" s="34">
        <v>33</v>
      </c>
      <c r="B42" s="34">
        <v>475</v>
      </c>
      <c r="C42" s="34" t="s">
        <v>55</v>
      </c>
      <c r="D42" s="34">
        <v>18</v>
      </c>
    </row>
    <row r="43" spans="1:7" x14ac:dyDescent="0.3">
      <c r="A43" s="34">
        <v>34</v>
      </c>
      <c r="B43" s="34">
        <v>231</v>
      </c>
      <c r="C43" s="34" t="s">
        <v>55</v>
      </c>
      <c r="D43" s="34">
        <v>36</v>
      </c>
      <c r="F43" t="s">
        <v>261</v>
      </c>
    </row>
    <row r="44" spans="1:7" x14ac:dyDescent="0.3">
      <c r="A44" s="34">
        <v>35</v>
      </c>
      <c r="B44" s="34">
        <v>598</v>
      </c>
      <c r="C44" s="34" t="s">
        <v>55</v>
      </c>
      <c r="D44" s="34">
        <v>24</v>
      </c>
    </row>
    <row r="45" spans="1:7" x14ac:dyDescent="0.3">
      <c r="A45" s="34">
        <v>36</v>
      </c>
      <c r="B45" s="34">
        <v>733</v>
      </c>
      <c r="C45" s="34" t="s">
        <v>56</v>
      </c>
      <c r="D45" s="34">
        <v>8</v>
      </c>
      <c r="F45" s="5" t="s">
        <v>60</v>
      </c>
    </row>
    <row r="46" spans="1:7" x14ac:dyDescent="0.3">
      <c r="A46" s="34">
        <v>37</v>
      </c>
      <c r="B46" s="34">
        <v>212</v>
      </c>
      <c r="C46" s="34" t="s">
        <v>56</v>
      </c>
      <c r="D46" s="34">
        <v>36</v>
      </c>
      <c r="F46" s="6" t="s">
        <v>21</v>
      </c>
      <c r="G46" s="27">
        <f>_xlfn.VAR.S(D10:D101)</f>
        <v>127.08970377448641</v>
      </c>
    </row>
    <row r="47" spans="1:7" x14ac:dyDescent="0.3">
      <c r="A47" s="34">
        <v>38</v>
      </c>
      <c r="B47" s="34">
        <v>706</v>
      </c>
      <c r="C47" s="34" t="s">
        <v>56</v>
      </c>
      <c r="D47" s="34">
        <v>15</v>
      </c>
      <c r="F47" s="6" t="str">
        <f xml:space="preserve"> "D" &amp; _xlfn.UNICHAR(770) &amp; "²(" &amp; "y" &amp; _xlfn.UNICHAR(773) &amp; ")"</f>
        <v>D̂²(y̅)</v>
      </c>
      <c r="G47" s="4">
        <f>(1-G26/G23)*(G46/G26)</f>
        <v>1.2543201198612355</v>
      </c>
    </row>
    <row r="48" spans="1:7" x14ac:dyDescent="0.3">
      <c r="A48" s="34">
        <v>39</v>
      </c>
      <c r="B48" s="34">
        <v>538</v>
      </c>
      <c r="C48" s="34" t="s">
        <v>56</v>
      </c>
      <c r="D48" s="34">
        <v>18</v>
      </c>
    </row>
    <row r="49" spans="1:7" x14ac:dyDescent="0.3">
      <c r="A49" s="34">
        <v>40</v>
      </c>
      <c r="B49" s="34">
        <v>761</v>
      </c>
      <c r="C49" s="34" t="s">
        <v>56</v>
      </c>
      <c r="D49" s="34">
        <v>15</v>
      </c>
    </row>
    <row r="50" spans="1:7" x14ac:dyDescent="0.3">
      <c r="A50" s="34">
        <v>41</v>
      </c>
      <c r="B50" s="34">
        <v>370</v>
      </c>
      <c r="C50" s="34" t="s">
        <v>56</v>
      </c>
      <c r="D50" s="34">
        <v>18</v>
      </c>
      <c r="G50" s="261">
        <f>(G33-G47)/G47</f>
        <v>-0.28565062623492576</v>
      </c>
    </row>
    <row r="51" spans="1:7" x14ac:dyDescent="0.3">
      <c r="A51" s="34">
        <v>42</v>
      </c>
      <c r="B51" s="34">
        <v>874</v>
      </c>
      <c r="C51" s="34" t="s">
        <v>56</v>
      </c>
      <c r="D51" s="34">
        <v>15</v>
      </c>
    </row>
    <row r="52" spans="1:7" x14ac:dyDescent="0.3">
      <c r="A52" s="34">
        <v>43</v>
      </c>
      <c r="B52" s="34">
        <v>50</v>
      </c>
      <c r="C52" s="34" t="s">
        <v>56</v>
      </c>
      <c r="D52" s="34">
        <v>12</v>
      </c>
      <c r="F52" s="43" t="s">
        <v>209</v>
      </c>
    </row>
    <row r="53" spans="1:7" x14ac:dyDescent="0.3">
      <c r="A53" s="34">
        <v>44</v>
      </c>
      <c r="B53" s="34">
        <v>576</v>
      </c>
      <c r="C53" s="34" t="s">
        <v>56</v>
      </c>
      <c r="D53" s="34">
        <v>15</v>
      </c>
    </row>
    <row r="54" spans="1:7" x14ac:dyDescent="0.3">
      <c r="A54" s="34">
        <v>45</v>
      </c>
      <c r="B54" s="34">
        <v>516</v>
      </c>
      <c r="C54" s="34" t="s">
        <v>56</v>
      </c>
      <c r="D54" s="34">
        <v>6</v>
      </c>
    </row>
    <row r="55" spans="1:7" x14ac:dyDescent="0.3">
      <c r="A55" s="34">
        <v>46</v>
      </c>
      <c r="B55" s="34">
        <v>843</v>
      </c>
      <c r="C55" s="34" t="s">
        <v>57</v>
      </c>
      <c r="D55" s="34">
        <v>18</v>
      </c>
    </row>
    <row r="56" spans="1:7" x14ac:dyDescent="0.3">
      <c r="A56" s="34">
        <v>47</v>
      </c>
      <c r="B56" s="34">
        <v>912</v>
      </c>
      <c r="C56" s="34" t="s">
        <v>57</v>
      </c>
      <c r="D56" s="34">
        <v>24</v>
      </c>
    </row>
    <row r="57" spans="1:7" x14ac:dyDescent="0.3">
      <c r="A57" s="34">
        <v>48</v>
      </c>
      <c r="B57" s="34">
        <v>558</v>
      </c>
      <c r="C57" s="34" t="s">
        <v>57</v>
      </c>
      <c r="D57" s="34">
        <v>21</v>
      </c>
    </row>
    <row r="58" spans="1:7" x14ac:dyDescent="0.3">
      <c r="A58" s="34">
        <v>49</v>
      </c>
      <c r="B58" s="34">
        <v>723</v>
      </c>
      <c r="C58" s="34" t="s">
        <v>57</v>
      </c>
      <c r="D58" s="34">
        <v>12</v>
      </c>
    </row>
    <row r="59" spans="1:7" ht="15" thickBot="1" x14ac:dyDescent="0.35">
      <c r="A59" s="93">
        <v>50</v>
      </c>
      <c r="B59" s="93">
        <v>12</v>
      </c>
      <c r="C59" s="93" t="s">
        <v>57</v>
      </c>
      <c r="D59" s="93">
        <v>48</v>
      </c>
    </row>
    <row r="60" spans="1:7" x14ac:dyDescent="0.3">
      <c r="A60" s="34">
        <v>51</v>
      </c>
      <c r="B60" s="34">
        <v>217</v>
      </c>
      <c r="C60" s="34" t="s">
        <v>54</v>
      </c>
      <c r="D60" s="34">
        <v>18</v>
      </c>
    </row>
    <row r="61" spans="1:7" x14ac:dyDescent="0.3">
      <c r="A61" s="34">
        <v>52</v>
      </c>
      <c r="B61" s="34">
        <v>892</v>
      </c>
      <c r="C61" s="34" t="s">
        <v>54</v>
      </c>
      <c r="D61" s="34">
        <v>15</v>
      </c>
    </row>
    <row r="62" spans="1:7" x14ac:dyDescent="0.3">
      <c r="A62" s="34">
        <v>53</v>
      </c>
      <c r="B62" s="34">
        <v>609</v>
      </c>
      <c r="C62" s="34" t="s">
        <v>54</v>
      </c>
      <c r="D62" s="34">
        <v>18</v>
      </c>
    </row>
    <row r="63" spans="1:7" x14ac:dyDescent="0.3">
      <c r="A63" s="34">
        <v>54</v>
      </c>
      <c r="B63" s="34">
        <v>548</v>
      </c>
      <c r="C63" s="34" t="s">
        <v>54</v>
      </c>
      <c r="D63" s="34">
        <v>24</v>
      </c>
    </row>
    <row r="64" spans="1:7" x14ac:dyDescent="0.3">
      <c r="A64" s="34">
        <v>55</v>
      </c>
      <c r="B64" s="34">
        <v>719</v>
      </c>
      <c r="C64" s="34" t="s">
        <v>54</v>
      </c>
      <c r="D64" s="34">
        <v>24</v>
      </c>
    </row>
    <row r="65" spans="1:4" x14ac:dyDescent="0.3">
      <c r="A65" s="34">
        <v>56</v>
      </c>
      <c r="B65" s="34">
        <v>679</v>
      </c>
      <c r="C65" s="34" t="s">
        <v>54</v>
      </c>
      <c r="D65" s="34">
        <v>24</v>
      </c>
    </row>
    <row r="66" spans="1:4" x14ac:dyDescent="0.3">
      <c r="A66" s="34">
        <v>57</v>
      </c>
      <c r="B66" s="34">
        <v>32</v>
      </c>
      <c r="C66" s="34" t="s">
        <v>54</v>
      </c>
      <c r="D66" s="34">
        <v>24</v>
      </c>
    </row>
    <row r="67" spans="1:4" x14ac:dyDescent="0.3">
      <c r="A67" s="34">
        <v>58</v>
      </c>
      <c r="B67" s="34">
        <v>340</v>
      </c>
      <c r="C67" s="34" t="s">
        <v>54</v>
      </c>
      <c r="D67" s="34">
        <v>10</v>
      </c>
    </row>
    <row r="68" spans="1:4" x14ac:dyDescent="0.3">
      <c r="A68" s="34">
        <v>59</v>
      </c>
      <c r="B68" s="34">
        <v>785</v>
      </c>
      <c r="C68" s="34" t="s">
        <v>54</v>
      </c>
      <c r="D68" s="34">
        <v>20</v>
      </c>
    </row>
    <row r="69" spans="1:4" x14ac:dyDescent="0.3">
      <c r="A69" s="34">
        <v>60</v>
      </c>
      <c r="B69" s="34">
        <v>454</v>
      </c>
      <c r="C69" s="34" t="s">
        <v>54</v>
      </c>
      <c r="D69" s="34">
        <v>24</v>
      </c>
    </row>
    <row r="70" spans="1:4" x14ac:dyDescent="0.3">
      <c r="A70" s="34">
        <v>61</v>
      </c>
      <c r="B70" s="34">
        <v>285</v>
      </c>
      <c r="C70" s="34" t="s">
        <v>54</v>
      </c>
      <c r="D70" s="34">
        <v>24</v>
      </c>
    </row>
    <row r="71" spans="1:4" x14ac:dyDescent="0.3">
      <c r="A71" s="34">
        <v>62</v>
      </c>
      <c r="B71" s="34">
        <v>108</v>
      </c>
      <c r="C71" s="34" t="s">
        <v>54</v>
      </c>
      <c r="D71" s="34">
        <v>12</v>
      </c>
    </row>
    <row r="72" spans="1:4" x14ac:dyDescent="0.3">
      <c r="A72" s="34">
        <v>63</v>
      </c>
      <c r="B72" s="34">
        <v>160</v>
      </c>
      <c r="C72" s="34" t="s">
        <v>54</v>
      </c>
      <c r="D72" s="34">
        <v>6</v>
      </c>
    </row>
    <row r="73" spans="1:4" x14ac:dyDescent="0.3">
      <c r="A73" s="34">
        <v>64</v>
      </c>
      <c r="B73" s="34">
        <v>290</v>
      </c>
      <c r="C73" s="34" t="s">
        <v>55</v>
      </c>
      <c r="D73" s="34">
        <v>24</v>
      </c>
    </row>
    <row r="74" spans="1:4" x14ac:dyDescent="0.3">
      <c r="A74" s="34">
        <v>65</v>
      </c>
      <c r="B74" s="34">
        <v>132</v>
      </c>
      <c r="C74" s="34" t="s">
        <v>55</v>
      </c>
      <c r="D74" s="34">
        <v>36</v>
      </c>
    </row>
    <row r="75" spans="1:4" x14ac:dyDescent="0.3">
      <c r="A75" s="34">
        <v>66</v>
      </c>
      <c r="B75" s="34">
        <v>760</v>
      </c>
      <c r="C75" s="34" t="s">
        <v>55</v>
      </c>
      <c r="D75" s="34">
        <v>12</v>
      </c>
    </row>
    <row r="76" spans="1:4" x14ac:dyDescent="0.3">
      <c r="A76" s="34">
        <v>67</v>
      </c>
      <c r="B76" s="34">
        <v>625</v>
      </c>
      <c r="C76" s="34" t="s">
        <v>55</v>
      </c>
      <c r="D76" s="34">
        <v>18</v>
      </c>
    </row>
    <row r="77" spans="1:4" x14ac:dyDescent="0.3">
      <c r="A77" s="34">
        <v>68</v>
      </c>
      <c r="B77" s="34">
        <v>496</v>
      </c>
      <c r="C77" s="34" t="s">
        <v>55</v>
      </c>
      <c r="D77" s="34">
        <v>24</v>
      </c>
    </row>
    <row r="78" spans="1:4" x14ac:dyDescent="0.3">
      <c r="A78" s="34">
        <v>69</v>
      </c>
      <c r="B78" s="34">
        <v>504</v>
      </c>
      <c r="C78" s="34" t="s">
        <v>55</v>
      </c>
      <c r="D78" s="34">
        <v>24</v>
      </c>
    </row>
    <row r="79" spans="1:4" x14ac:dyDescent="0.3">
      <c r="A79" s="34">
        <v>70</v>
      </c>
      <c r="B79" s="34">
        <v>662</v>
      </c>
      <c r="C79" s="34" t="s">
        <v>55</v>
      </c>
      <c r="D79" s="34">
        <v>12</v>
      </c>
    </row>
    <row r="80" spans="1:4" x14ac:dyDescent="0.3">
      <c r="A80" s="34">
        <v>71</v>
      </c>
      <c r="B80" s="34">
        <v>269</v>
      </c>
      <c r="C80" s="34" t="s">
        <v>55</v>
      </c>
      <c r="D80" s="34">
        <v>14</v>
      </c>
    </row>
    <row r="81" spans="1:4" x14ac:dyDescent="0.3">
      <c r="A81" s="34">
        <v>72</v>
      </c>
      <c r="B81" s="34">
        <v>654</v>
      </c>
      <c r="C81" s="34" t="s">
        <v>55</v>
      </c>
      <c r="D81" s="34">
        <v>36</v>
      </c>
    </row>
    <row r="82" spans="1:4" x14ac:dyDescent="0.3">
      <c r="A82" s="34">
        <v>73</v>
      </c>
      <c r="B82" s="34">
        <v>764</v>
      </c>
      <c r="C82" s="34" t="s">
        <v>55</v>
      </c>
      <c r="D82" s="34">
        <v>21</v>
      </c>
    </row>
    <row r="83" spans="1:4" x14ac:dyDescent="0.3">
      <c r="A83" s="34">
        <v>74</v>
      </c>
      <c r="B83" s="34">
        <v>984</v>
      </c>
      <c r="C83" s="34" t="s">
        <v>55</v>
      </c>
      <c r="D83" s="34">
        <v>36</v>
      </c>
    </row>
    <row r="84" spans="1:4" x14ac:dyDescent="0.3">
      <c r="A84" s="34">
        <v>75</v>
      </c>
      <c r="B84" s="34">
        <v>523</v>
      </c>
      <c r="C84" s="34" t="s">
        <v>55</v>
      </c>
      <c r="D84" s="34">
        <v>48</v>
      </c>
    </row>
    <row r="85" spans="1:4" x14ac:dyDescent="0.3">
      <c r="A85" s="34">
        <v>76</v>
      </c>
      <c r="B85" s="34">
        <v>813</v>
      </c>
      <c r="C85" s="34" t="s">
        <v>55</v>
      </c>
      <c r="D85" s="34">
        <v>36</v>
      </c>
    </row>
    <row r="86" spans="1:4" x14ac:dyDescent="0.3">
      <c r="A86" s="34">
        <v>77</v>
      </c>
      <c r="B86" s="34">
        <v>107</v>
      </c>
      <c r="C86" s="34" t="s">
        <v>55</v>
      </c>
      <c r="D86" s="34">
        <v>18</v>
      </c>
    </row>
    <row r="87" spans="1:4" x14ac:dyDescent="0.3">
      <c r="A87" s="34">
        <v>78</v>
      </c>
      <c r="B87" s="34">
        <v>640</v>
      </c>
      <c r="C87" s="34" t="s">
        <v>55</v>
      </c>
      <c r="D87" s="34">
        <v>42</v>
      </c>
    </row>
    <row r="88" spans="1:4" x14ac:dyDescent="0.3">
      <c r="A88" s="34">
        <v>79</v>
      </c>
      <c r="B88" s="34">
        <v>469</v>
      </c>
      <c r="C88" s="34" t="s">
        <v>56</v>
      </c>
      <c r="D88" s="34">
        <v>33</v>
      </c>
    </row>
    <row r="89" spans="1:4" x14ac:dyDescent="0.3">
      <c r="A89" s="34">
        <v>80</v>
      </c>
      <c r="B89" s="34">
        <v>346</v>
      </c>
      <c r="C89" s="34" t="s">
        <v>56</v>
      </c>
      <c r="D89" s="34">
        <v>15</v>
      </c>
    </row>
    <row r="90" spans="1:4" x14ac:dyDescent="0.3">
      <c r="A90" s="34">
        <v>81</v>
      </c>
      <c r="B90" s="34">
        <v>703</v>
      </c>
      <c r="C90" s="34" t="s">
        <v>56</v>
      </c>
      <c r="D90" s="34">
        <v>24</v>
      </c>
    </row>
    <row r="91" spans="1:4" x14ac:dyDescent="0.3">
      <c r="A91" s="34">
        <v>82</v>
      </c>
      <c r="B91" s="34">
        <v>172</v>
      </c>
      <c r="C91" s="34" t="s">
        <v>56</v>
      </c>
      <c r="D91" s="34">
        <v>12</v>
      </c>
    </row>
    <row r="92" spans="1:4" x14ac:dyDescent="0.3">
      <c r="A92" s="34">
        <v>83</v>
      </c>
      <c r="B92" s="34">
        <v>676</v>
      </c>
      <c r="C92" s="34" t="s">
        <v>56</v>
      </c>
      <c r="D92" s="34">
        <v>30</v>
      </c>
    </row>
    <row r="93" spans="1:4" x14ac:dyDescent="0.3">
      <c r="A93" s="34">
        <v>84</v>
      </c>
      <c r="B93" s="34">
        <v>608</v>
      </c>
      <c r="C93" s="34" t="s">
        <v>57</v>
      </c>
      <c r="D93" s="34">
        <v>36</v>
      </c>
    </row>
    <row r="94" spans="1:4" x14ac:dyDescent="0.3">
      <c r="A94" s="34">
        <v>85</v>
      </c>
      <c r="B94" s="34">
        <v>762</v>
      </c>
      <c r="C94" s="34" t="s">
        <v>57</v>
      </c>
      <c r="D94" s="34">
        <v>18</v>
      </c>
    </row>
    <row r="95" spans="1:4" x14ac:dyDescent="0.3">
      <c r="A95" s="34">
        <v>86</v>
      </c>
      <c r="B95" s="34">
        <v>60</v>
      </c>
      <c r="C95" s="34" t="s">
        <v>57</v>
      </c>
      <c r="D95" s="34">
        <v>36</v>
      </c>
    </row>
    <row r="96" spans="1:4" x14ac:dyDescent="0.3">
      <c r="A96" s="34">
        <v>87</v>
      </c>
      <c r="B96" s="34">
        <v>532</v>
      </c>
      <c r="C96" s="34" t="s">
        <v>57</v>
      </c>
      <c r="D96" s="34">
        <v>15</v>
      </c>
    </row>
    <row r="97" spans="1:4" x14ac:dyDescent="0.3">
      <c r="A97" s="34">
        <v>88</v>
      </c>
      <c r="B97" s="34">
        <v>425</v>
      </c>
      <c r="C97" s="34" t="s">
        <v>57</v>
      </c>
      <c r="D97" s="34">
        <v>12</v>
      </c>
    </row>
    <row r="98" spans="1:4" x14ac:dyDescent="0.3">
      <c r="A98" s="34">
        <v>89</v>
      </c>
      <c r="B98" s="34">
        <v>430</v>
      </c>
      <c r="C98" s="34" t="s">
        <v>57</v>
      </c>
      <c r="D98" s="34">
        <v>18</v>
      </c>
    </row>
    <row r="99" spans="1:4" x14ac:dyDescent="0.3">
      <c r="A99" s="34">
        <v>90</v>
      </c>
      <c r="B99" s="34">
        <v>729</v>
      </c>
      <c r="C99" s="34" t="s">
        <v>57</v>
      </c>
      <c r="D99" s="34">
        <v>48</v>
      </c>
    </row>
    <row r="100" spans="1:4" x14ac:dyDescent="0.3">
      <c r="A100" s="34">
        <v>91</v>
      </c>
      <c r="B100" s="34">
        <v>916</v>
      </c>
      <c r="C100" s="34" t="s">
        <v>57</v>
      </c>
      <c r="D100" s="34">
        <v>48</v>
      </c>
    </row>
    <row r="101" spans="1:4" x14ac:dyDescent="0.3">
      <c r="A101" s="35">
        <v>92</v>
      </c>
      <c r="B101" s="35">
        <v>45</v>
      </c>
      <c r="C101" s="35" t="s">
        <v>57</v>
      </c>
      <c r="D101" s="35">
        <v>48</v>
      </c>
    </row>
  </sheetData>
  <mergeCells count="4">
    <mergeCell ref="B2:M2"/>
    <mergeCell ref="B3:M6"/>
    <mergeCell ref="G10:H10"/>
    <mergeCell ref="K10:L10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ADCC-4F14-40B4-92CC-D3AE48DBF57D}">
  <sheetPr>
    <tabColor theme="6" tint="0.59999389629810485"/>
  </sheetPr>
  <dimension ref="A1:N209"/>
  <sheetViews>
    <sheetView topLeftCell="A24" zoomScale="145" zoomScaleNormal="145" workbookViewId="0">
      <selection activeCell="L28" sqref="L28"/>
    </sheetView>
  </sheetViews>
  <sheetFormatPr defaultRowHeight="14.4" x14ac:dyDescent="0.3"/>
  <cols>
    <col min="2" max="2" width="9.109375" bestFit="1" customWidth="1"/>
    <col min="4" max="4" width="11.88671875" bestFit="1" customWidth="1"/>
    <col min="6" max="6" width="12.5546875" customWidth="1"/>
  </cols>
  <sheetData>
    <row r="1" spans="1:14" ht="15" thickBot="1" x14ac:dyDescent="0.35"/>
    <row r="2" spans="1:14" ht="15" thickBot="1" x14ac:dyDescent="0.35">
      <c r="B2" s="316" t="s">
        <v>162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8"/>
    </row>
    <row r="3" spans="1:14" ht="15" customHeight="1" x14ac:dyDescent="0.3">
      <c r="B3" s="319" t="s">
        <v>276</v>
      </c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1"/>
      <c r="N3" s="87"/>
    </row>
    <row r="4" spans="1:14" x14ac:dyDescent="0.3">
      <c r="B4" s="322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4"/>
      <c r="N4" s="87"/>
    </row>
    <row r="5" spans="1:14" x14ac:dyDescent="0.3">
      <c r="B5" s="322"/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4"/>
      <c r="N5" s="87"/>
    </row>
    <row r="6" spans="1:14" ht="15" thickBot="1" x14ac:dyDescent="0.35">
      <c r="B6" s="325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7"/>
      <c r="N6" s="87"/>
    </row>
    <row r="8" spans="1:14" x14ac:dyDescent="0.3">
      <c r="C8" s="33" t="s">
        <v>74</v>
      </c>
      <c r="D8" s="33" t="s">
        <v>23</v>
      </c>
    </row>
    <row r="9" spans="1:14" x14ac:dyDescent="0.3">
      <c r="A9" s="37" t="s">
        <v>13</v>
      </c>
      <c r="B9" s="37" t="s">
        <v>12</v>
      </c>
      <c r="C9" s="37" t="s">
        <v>42</v>
      </c>
      <c r="D9" s="41" t="s">
        <v>63</v>
      </c>
      <c r="F9" s="8" t="s">
        <v>43</v>
      </c>
      <c r="J9" s="8" t="s">
        <v>44</v>
      </c>
    </row>
    <row r="10" spans="1:14" x14ac:dyDescent="0.3">
      <c r="A10" s="48">
        <v>1</v>
      </c>
      <c r="B10" s="48">
        <v>608</v>
      </c>
      <c r="C10" s="34" t="s">
        <v>57</v>
      </c>
      <c r="D10" s="48">
        <v>36</v>
      </c>
      <c r="F10" s="9"/>
      <c r="G10" s="314" t="s">
        <v>45</v>
      </c>
      <c r="H10" s="315"/>
      <c r="J10" s="9"/>
      <c r="K10" s="314" t="s">
        <v>45</v>
      </c>
      <c r="L10" s="315"/>
    </row>
    <row r="11" spans="1:14" x14ac:dyDescent="0.3">
      <c r="A11" s="48">
        <v>2</v>
      </c>
      <c r="B11" s="48">
        <v>388</v>
      </c>
      <c r="C11" s="34" t="s">
        <v>54</v>
      </c>
      <c r="D11" s="48">
        <v>18</v>
      </c>
      <c r="F11" s="4" t="s">
        <v>42</v>
      </c>
      <c r="G11" s="10" t="s">
        <v>46</v>
      </c>
      <c r="H11" s="11" t="s">
        <v>47</v>
      </c>
      <c r="J11" s="4" t="s">
        <v>42</v>
      </c>
      <c r="K11" s="10" t="s">
        <v>46</v>
      </c>
      <c r="L11" s="11" t="s">
        <v>47</v>
      </c>
    </row>
    <row r="12" spans="1:14" x14ac:dyDescent="0.3">
      <c r="A12" s="48">
        <v>3</v>
      </c>
      <c r="B12" s="48">
        <v>385</v>
      </c>
      <c r="C12" s="34" t="s">
        <v>54</v>
      </c>
      <c r="D12" s="48">
        <v>30</v>
      </c>
      <c r="F12" s="12" t="s">
        <v>5</v>
      </c>
      <c r="G12" s="82">
        <f>G17/$G$21</f>
        <v>0.499</v>
      </c>
      <c r="H12" s="82">
        <f>G19/$G$21</f>
        <v>0.20100000000000001</v>
      </c>
      <c r="J12" s="12" t="s">
        <v>5</v>
      </c>
      <c r="K12" s="82">
        <f>I17/$I$21</f>
        <v>0.51</v>
      </c>
      <c r="L12" s="82">
        <f>I19/$I$21</f>
        <v>0.20499999999999999</v>
      </c>
    </row>
    <row r="13" spans="1:14" x14ac:dyDescent="0.3">
      <c r="A13" s="48">
        <v>4</v>
      </c>
      <c r="B13" s="48">
        <v>453</v>
      </c>
      <c r="C13" s="34" t="s">
        <v>54</v>
      </c>
      <c r="D13" s="48">
        <v>12</v>
      </c>
      <c r="F13" s="13" t="s">
        <v>7</v>
      </c>
      <c r="G13" s="82">
        <f>G18/$G$21</f>
        <v>0.191</v>
      </c>
      <c r="H13" s="82">
        <f>G20/$G$21</f>
        <v>0.109</v>
      </c>
      <c r="J13" s="13" t="s">
        <v>7</v>
      </c>
      <c r="K13" s="82">
        <f>I18/$I$21</f>
        <v>0.19500000000000001</v>
      </c>
      <c r="L13" s="82">
        <f>I20/$I$21</f>
        <v>0.09</v>
      </c>
    </row>
    <row r="14" spans="1:14" x14ac:dyDescent="0.3">
      <c r="A14" s="48">
        <v>5</v>
      </c>
      <c r="B14" s="48">
        <v>169</v>
      </c>
      <c r="C14" s="34" t="s">
        <v>56</v>
      </c>
      <c r="D14" s="48">
        <v>24</v>
      </c>
    </row>
    <row r="15" spans="1:14" x14ac:dyDescent="0.3">
      <c r="A15" s="48">
        <v>6</v>
      </c>
      <c r="B15" s="48">
        <v>811</v>
      </c>
      <c r="C15" s="34" t="s">
        <v>54</v>
      </c>
      <c r="D15" s="48">
        <v>8</v>
      </c>
      <c r="F15" s="14" t="s">
        <v>254</v>
      </c>
      <c r="G15" s="14"/>
    </row>
    <row r="16" spans="1:14" ht="16.8" x14ac:dyDescent="0.35">
      <c r="A16" s="48">
        <v>7</v>
      </c>
      <c r="B16" s="48">
        <v>564</v>
      </c>
      <c r="C16" s="34" t="s">
        <v>55</v>
      </c>
      <c r="D16" s="48">
        <v>36</v>
      </c>
      <c r="F16" s="80" t="s">
        <v>49</v>
      </c>
      <c r="G16" s="81" t="s">
        <v>68</v>
      </c>
      <c r="H16" s="202" t="s">
        <v>50</v>
      </c>
      <c r="I16" s="16" t="s">
        <v>156</v>
      </c>
      <c r="J16" s="81" t="s">
        <v>206</v>
      </c>
      <c r="K16" s="16" t="s">
        <v>210</v>
      </c>
    </row>
    <row r="17" spans="1:11" x14ac:dyDescent="0.3">
      <c r="A17" s="48">
        <v>8</v>
      </c>
      <c r="B17" s="48">
        <v>802</v>
      </c>
      <c r="C17" s="34" t="s">
        <v>56</v>
      </c>
      <c r="D17" s="48">
        <v>18</v>
      </c>
      <c r="F17" s="17" t="s">
        <v>54</v>
      </c>
      <c r="G17" s="18">
        <v>499</v>
      </c>
      <c r="H17" s="9">
        <f>G17/$G$21</f>
        <v>0.499</v>
      </c>
      <c r="I17" s="75">
        <f>COUNTIF($A$10:$D$209,F17)</f>
        <v>102</v>
      </c>
      <c r="J17" s="20" cm="1">
        <f t="array" ref="J17">_xlfn.VAR.S(IF($C$10:$C$209=F17,$D$10:$D$209,""))</f>
        <v>144.54212774218598</v>
      </c>
      <c r="K17" s="12">
        <f>AVERAGEIF($C$10:$C$209,F17,$D$10:$D$209)</f>
        <v>19.950980392156861</v>
      </c>
    </row>
    <row r="18" spans="1:11" x14ac:dyDescent="0.3">
      <c r="A18" s="48">
        <v>9</v>
      </c>
      <c r="B18" s="48">
        <v>136</v>
      </c>
      <c r="C18" s="34" t="s">
        <v>56</v>
      </c>
      <c r="D18" s="48">
        <v>12</v>
      </c>
      <c r="F18" s="21" t="s">
        <v>55</v>
      </c>
      <c r="G18" s="18">
        <v>191</v>
      </c>
      <c r="H18" s="19">
        <f>G18/$G$21</f>
        <v>0.191</v>
      </c>
      <c r="I18" s="75">
        <f t="shared" ref="I18:I20" si="0">COUNTIF($A$10:$D$209,F18)</f>
        <v>39</v>
      </c>
      <c r="J18" s="20" cm="1">
        <f t="array" ref="J18">_xlfn.VAR.S(IF($C$10:$C$209=F18,$D$10:$D$209,""))</f>
        <v>183.39406207827261</v>
      </c>
      <c r="K18" s="75">
        <f t="shared" ref="K18:K20" si="1">AVERAGEIF($C$10:$C$209,F18,$D$10:$D$209)</f>
        <v>27.358974358974358</v>
      </c>
    </row>
    <row r="19" spans="1:11" x14ac:dyDescent="0.3">
      <c r="A19" s="48">
        <v>10</v>
      </c>
      <c r="B19" s="48">
        <v>597</v>
      </c>
      <c r="C19" s="34" t="s">
        <v>57</v>
      </c>
      <c r="D19" s="48">
        <v>24</v>
      </c>
      <c r="F19" s="21" t="s">
        <v>56</v>
      </c>
      <c r="G19" s="18">
        <v>201</v>
      </c>
      <c r="H19" s="19">
        <f>G19/$G$21</f>
        <v>0.20100000000000001</v>
      </c>
      <c r="I19" s="75">
        <f t="shared" si="0"/>
        <v>41</v>
      </c>
      <c r="J19" s="20" cm="1">
        <f t="array" ref="J19">_xlfn.VAR.S(IF($C$10:$C$209=F19,$D$10:$D$209,""))</f>
        <v>82.787804878048789</v>
      </c>
      <c r="K19" s="75">
        <f t="shared" si="1"/>
        <v>16.634146341463413</v>
      </c>
    </row>
    <row r="20" spans="1:11" x14ac:dyDescent="0.3">
      <c r="A20" s="48">
        <v>11</v>
      </c>
      <c r="B20" s="48">
        <v>256</v>
      </c>
      <c r="C20" s="34" t="s">
        <v>54</v>
      </c>
      <c r="D20" s="48">
        <v>60</v>
      </c>
      <c r="F20" s="22" t="s">
        <v>57</v>
      </c>
      <c r="G20" s="23">
        <v>109</v>
      </c>
      <c r="H20" s="76">
        <f>G20/$G$21</f>
        <v>0.109</v>
      </c>
      <c r="I20" s="13">
        <f t="shared" si="0"/>
        <v>18</v>
      </c>
      <c r="J20" s="20" cm="1">
        <f t="array" ref="J20">_xlfn.VAR.S(IF($C$10:$C$209=F20,$D$10:$D$209,""))</f>
        <v>185.29411764705881</v>
      </c>
      <c r="K20" s="13">
        <f t="shared" si="1"/>
        <v>28</v>
      </c>
    </row>
    <row r="21" spans="1:11" x14ac:dyDescent="0.3">
      <c r="A21" s="48">
        <v>12</v>
      </c>
      <c r="B21" s="48">
        <v>255</v>
      </c>
      <c r="C21" s="34" t="s">
        <v>54</v>
      </c>
      <c r="D21" s="48">
        <v>9</v>
      </c>
      <c r="F21" s="78" t="s">
        <v>53</v>
      </c>
      <c r="G21" s="4">
        <f>SUM(G17:G20)</f>
        <v>1000</v>
      </c>
      <c r="H21" s="76">
        <f>SUM(H17:H20)</f>
        <v>1</v>
      </c>
      <c r="I21" s="13">
        <f>SUM(I17:I20)</f>
        <v>200</v>
      </c>
      <c r="J21" s="79"/>
      <c r="K21" s="79"/>
    </row>
    <row r="22" spans="1:11" x14ac:dyDescent="0.3">
      <c r="A22" s="48">
        <v>13</v>
      </c>
      <c r="B22" s="48">
        <v>421</v>
      </c>
      <c r="C22" s="34" t="s">
        <v>56</v>
      </c>
      <c r="D22" s="48">
        <v>15</v>
      </c>
    </row>
    <row r="23" spans="1:11" x14ac:dyDescent="0.3">
      <c r="A23" s="48">
        <v>14</v>
      </c>
      <c r="B23" s="48">
        <v>573</v>
      </c>
      <c r="C23" s="34" t="s">
        <v>56</v>
      </c>
      <c r="D23" s="48">
        <v>24</v>
      </c>
      <c r="F23" s="25" t="s">
        <v>14</v>
      </c>
      <c r="G23" s="4">
        <v>1000</v>
      </c>
    </row>
    <row r="24" spans="1:11" x14ac:dyDescent="0.3">
      <c r="A24" s="48">
        <v>15</v>
      </c>
      <c r="B24" s="48">
        <v>294</v>
      </c>
      <c r="C24" s="34" t="s">
        <v>54</v>
      </c>
      <c r="D24" s="48">
        <v>42</v>
      </c>
      <c r="F24" s="25" t="s">
        <v>20</v>
      </c>
      <c r="G24" s="4">
        <v>2</v>
      </c>
    </row>
    <row r="25" spans="1:11" x14ac:dyDescent="0.3">
      <c r="A25" s="48">
        <v>16</v>
      </c>
      <c r="B25" s="48">
        <v>17</v>
      </c>
      <c r="C25" s="34" t="s">
        <v>54</v>
      </c>
      <c r="D25" s="48">
        <v>24</v>
      </c>
      <c r="F25" s="25" t="s">
        <v>15</v>
      </c>
      <c r="G25" s="4">
        <v>200</v>
      </c>
    </row>
    <row r="26" spans="1:11" x14ac:dyDescent="0.3">
      <c r="A26" s="48">
        <v>17</v>
      </c>
      <c r="B26" s="48">
        <v>899</v>
      </c>
      <c r="C26" s="34" t="s">
        <v>56</v>
      </c>
      <c r="D26" s="48">
        <v>15</v>
      </c>
    </row>
    <row r="27" spans="1:11" x14ac:dyDescent="0.3">
      <c r="A27" s="48">
        <v>18</v>
      </c>
      <c r="B27" s="48">
        <v>232</v>
      </c>
      <c r="C27" s="34" t="s">
        <v>54</v>
      </c>
      <c r="D27" s="48">
        <v>9</v>
      </c>
      <c r="F27" s="2" t="s">
        <v>69</v>
      </c>
    </row>
    <row r="28" spans="1:11" ht="15.6" x14ac:dyDescent="0.35">
      <c r="A28" s="48">
        <v>19</v>
      </c>
      <c r="B28" s="48">
        <v>948</v>
      </c>
      <c r="C28" s="34" t="s">
        <v>54</v>
      </c>
      <c r="D28" s="48">
        <v>12</v>
      </c>
      <c r="F28" s="250" t="s">
        <v>211</v>
      </c>
      <c r="G28" s="100">
        <f>SUMPRODUCT(K17:K20,H17:H20)</f>
        <v>21.576566732884523</v>
      </c>
    </row>
    <row r="29" spans="1:11" ht="15.6" x14ac:dyDescent="0.35">
      <c r="A29" s="48">
        <v>20</v>
      </c>
      <c r="B29" s="48">
        <v>744</v>
      </c>
      <c r="C29" s="34" t="s">
        <v>54</v>
      </c>
      <c r="D29" s="48">
        <v>24</v>
      </c>
      <c r="F29" s="250" t="s">
        <v>281</v>
      </c>
      <c r="G29" s="26">
        <f>SUMPRODUCT(H17:H20,J17:J20)</f>
        <v>143.99219520431811</v>
      </c>
      <c r="J29" s="83"/>
    </row>
    <row r="30" spans="1:11" x14ac:dyDescent="0.3">
      <c r="A30" s="48">
        <v>21</v>
      </c>
      <c r="B30" s="48">
        <v>671</v>
      </c>
      <c r="C30" s="34" t="s">
        <v>54</v>
      </c>
      <c r="D30" s="48">
        <v>24</v>
      </c>
      <c r="F30" s="28" t="str">
        <f xml:space="preserve"> "D" &amp; _xlfn.UNICHAR(770) &amp; "²prop(" &amp; "y" &amp; _xlfn.UNICHAR(773) &amp; "w)"</f>
        <v>D̂²prop(y̅w)</v>
      </c>
      <c r="G30" s="26">
        <f>(1-G25/G23)*G29/G25</f>
        <v>0.57596878081727243</v>
      </c>
    </row>
    <row r="31" spans="1:11" x14ac:dyDescent="0.3">
      <c r="A31" s="48">
        <v>22</v>
      </c>
      <c r="B31" s="48">
        <v>204</v>
      </c>
      <c r="C31" s="34" t="s">
        <v>55</v>
      </c>
      <c r="D31" s="48">
        <v>12</v>
      </c>
      <c r="F31" s="28" t="str">
        <f xml:space="preserve"> "D" &amp; _xlfn.UNICHAR(770) &amp; "²post(" &amp; "y" &amp; _xlfn.UNICHAR(773) &amp; "post)"</f>
        <v>D̂²post(y̅post)</v>
      </c>
      <c r="G31" s="26" cm="1">
        <f t="array" ref="G31">G30+(1/(G25^2)-1/(G25*G23))*SUMPRODUCT(1-H17:H20,J17:J20)</f>
        <v>0.58500929916009736</v>
      </c>
    </row>
    <row r="32" spans="1:11" x14ac:dyDescent="0.3">
      <c r="A32" s="48">
        <v>23</v>
      </c>
      <c r="B32" s="48">
        <v>718</v>
      </c>
      <c r="C32" s="34" t="s">
        <v>54</v>
      </c>
      <c r="D32" s="48">
        <v>18</v>
      </c>
      <c r="F32" s="28" t="str">
        <f xml:space="preserve"> "D" &amp; _xlfn.UNICHAR(770) &amp; "post(" &amp; "y" &amp; _xlfn.UNICHAR(773) &amp; "post)"</f>
        <v>D̂post(y̅post)</v>
      </c>
      <c r="G32" s="100">
        <f>SQRT(G31)</f>
        <v>0.76485900606588753</v>
      </c>
    </row>
    <row r="33" spans="1:7" x14ac:dyDescent="0.3">
      <c r="A33" s="48">
        <v>24</v>
      </c>
      <c r="B33" s="48">
        <v>472</v>
      </c>
      <c r="C33" s="34" t="s">
        <v>57</v>
      </c>
      <c r="D33" s="48">
        <v>6</v>
      </c>
    </row>
    <row r="34" spans="1:7" x14ac:dyDescent="0.3">
      <c r="A34" s="48">
        <v>25</v>
      </c>
      <c r="B34" s="48">
        <v>940</v>
      </c>
      <c r="C34" s="34" t="s">
        <v>54</v>
      </c>
      <c r="D34" s="48">
        <v>24</v>
      </c>
      <c r="F34" t="s">
        <v>262</v>
      </c>
    </row>
    <row r="35" spans="1:7" x14ac:dyDescent="0.3">
      <c r="A35" s="48">
        <v>26</v>
      </c>
      <c r="B35" s="48">
        <v>577</v>
      </c>
      <c r="C35" s="34" t="s">
        <v>56</v>
      </c>
      <c r="D35" s="48">
        <v>12</v>
      </c>
    </row>
    <row r="36" spans="1:7" x14ac:dyDescent="0.3">
      <c r="A36" s="48">
        <v>27</v>
      </c>
      <c r="B36" s="48">
        <v>786</v>
      </c>
      <c r="C36" s="34" t="s">
        <v>54</v>
      </c>
      <c r="D36" s="48">
        <v>18</v>
      </c>
      <c r="F36" s="2" t="s">
        <v>71</v>
      </c>
    </row>
    <row r="37" spans="1:7" ht="15.6" x14ac:dyDescent="0.3">
      <c r="A37" s="48">
        <v>28</v>
      </c>
      <c r="B37" s="48">
        <v>274</v>
      </c>
      <c r="C37" s="34" t="s">
        <v>55</v>
      </c>
      <c r="D37" s="48">
        <v>48</v>
      </c>
      <c r="F37" s="64" t="s">
        <v>22</v>
      </c>
      <c r="G37" s="100">
        <f>G28*G23</f>
        <v>21576.566732884523</v>
      </c>
    </row>
    <row r="38" spans="1:7" ht="15.6" x14ac:dyDescent="0.3">
      <c r="A38" s="48">
        <v>29</v>
      </c>
      <c r="B38" s="48">
        <v>703</v>
      </c>
      <c r="C38" s="34" t="s">
        <v>56</v>
      </c>
      <c r="D38" s="48">
        <v>24</v>
      </c>
      <c r="F38" s="64" t="str">
        <f>"D"&amp;_xlfn.UNICHAR(770) &amp; "²(ŷ)"</f>
        <v>D̂²(ŷ)</v>
      </c>
      <c r="G38" s="4">
        <f>G31*G23^2</f>
        <v>585009.29916009738</v>
      </c>
    </row>
    <row r="39" spans="1:7" ht="15.6" x14ac:dyDescent="0.3">
      <c r="A39" s="48">
        <v>30</v>
      </c>
      <c r="B39" s="48">
        <v>340</v>
      </c>
      <c r="C39" s="34" t="s">
        <v>54</v>
      </c>
      <c r="D39" s="48">
        <v>10</v>
      </c>
      <c r="F39" s="64" t="str">
        <f>"D"&amp;_xlfn.UNICHAR(770) &amp; "(ŷ)"</f>
        <v>D̂(ŷ)</v>
      </c>
      <c r="G39" s="100">
        <f>SQRT(G38)</f>
        <v>764.85900606588757</v>
      </c>
    </row>
    <row r="40" spans="1:7" x14ac:dyDescent="0.3">
      <c r="A40" s="48">
        <v>31</v>
      </c>
      <c r="B40" s="48">
        <v>322</v>
      </c>
      <c r="C40" s="34" t="s">
        <v>55</v>
      </c>
      <c r="D40" s="48">
        <v>24</v>
      </c>
    </row>
    <row r="41" spans="1:7" x14ac:dyDescent="0.3">
      <c r="A41" s="48">
        <v>32</v>
      </c>
      <c r="B41" s="48">
        <v>960</v>
      </c>
      <c r="C41" s="34" t="s">
        <v>54</v>
      </c>
      <c r="D41" s="48">
        <v>24</v>
      </c>
      <c r="F41" t="s">
        <v>263</v>
      </c>
    </row>
    <row r="42" spans="1:7" x14ac:dyDescent="0.3">
      <c r="A42" s="48">
        <v>33</v>
      </c>
      <c r="B42" s="48">
        <v>176</v>
      </c>
      <c r="C42" s="34" t="s">
        <v>57</v>
      </c>
      <c r="D42" s="48">
        <v>30</v>
      </c>
    </row>
    <row r="43" spans="1:7" x14ac:dyDescent="0.3">
      <c r="A43" s="48">
        <v>34</v>
      </c>
      <c r="B43" s="48">
        <v>360</v>
      </c>
      <c r="C43" s="34" t="s">
        <v>57</v>
      </c>
      <c r="D43" s="48">
        <v>30</v>
      </c>
      <c r="F43" s="5" t="s">
        <v>60</v>
      </c>
    </row>
    <row r="44" spans="1:7" x14ac:dyDescent="0.3">
      <c r="A44" s="48">
        <v>35</v>
      </c>
      <c r="B44" s="48">
        <v>944</v>
      </c>
      <c r="C44" s="34" t="s">
        <v>54</v>
      </c>
      <c r="D44" s="48">
        <v>4</v>
      </c>
      <c r="F44" s="6" t="s">
        <v>21</v>
      </c>
      <c r="G44" s="27">
        <f>_xlfn.VAR.S(D10:D209)</f>
        <v>157.50391959798995</v>
      </c>
    </row>
    <row r="45" spans="1:7" x14ac:dyDescent="0.3">
      <c r="A45" s="48">
        <v>36</v>
      </c>
      <c r="B45" s="48">
        <v>743</v>
      </c>
      <c r="C45" s="34" t="s">
        <v>54</v>
      </c>
      <c r="D45" s="48">
        <v>21</v>
      </c>
      <c r="F45" s="6" t="str">
        <f xml:space="preserve"> "D" &amp; _xlfn.UNICHAR(770) &amp; "²(" &amp; "y" &amp; _xlfn.UNICHAR(773) &amp; ")"</f>
        <v>D̂²(y̅)</v>
      </c>
      <c r="G45" s="4">
        <f>(1-G25/G23)*(G44/G25)</f>
        <v>0.63001567839195982</v>
      </c>
    </row>
    <row r="46" spans="1:7" x14ac:dyDescent="0.3">
      <c r="A46" s="48">
        <v>37</v>
      </c>
      <c r="B46" s="48">
        <v>412</v>
      </c>
      <c r="C46" s="34" t="s">
        <v>54</v>
      </c>
      <c r="D46" s="48">
        <v>33</v>
      </c>
    </row>
    <row r="47" spans="1:7" x14ac:dyDescent="0.3">
      <c r="A47" s="48">
        <v>38</v>
      </c>
      <c r="B47" s="48">
        <v>224</v>
      </c>
      <c r="C47" s="34" t="s">
        <v>54</v>
      </c>
      <c r="D47" s="48">
        <v>24</v>
      </c>
    </row>
    <row r="48" spans="1:7" x14ac:dyDescent="0.3">
      <c r="A48" s="48">
        <v>39</v>
      </c>
      <c r="B48" s="48">
        <v>803</v>
      </c>
      <c r="C48" s="34" t="s">
        <v>56</v>
      </c>
      <c r="D48" s="48">
        <v>20</v>
      </c>
      <c r="G48" s="261">
        <f>(G31-G45)/G45</f>
        <v>-7.1436919390221995E-2</v>
      </c>
    </row>
    <row r="49" spans="1:6" x14ac:dyDescent="0.3">
      <c r="A49" s="48">
        <v>40</v>
      </c>
      <c r="B49" s="48">
        <v>962</v>
      </c>
      <c r="C49" s="34" t="s">
        <v>54</v>
      </c>
      <c r="D49" s="48">
        <v>21</v>
      </c>
    </row>
    <row r="50" spans="1:6" x14ac:dyDescent="0.3">
      <c r="A50" s="48">
        <v>41</v>
      </c>
      <c r="B50" s="48">
        <v>654</v>
      </c>
      <c r="C50" s="34" t="s">
        <v>55</v>
      </c>
      <c r="D50" s="48">
        <v>36</v>
      </c>
      <c r="F50" s="43" t="s">
        <v>212</v>
      </c>
    </row>
    <row r="51" spans="1:6" x14ac:dyDescent="0.3">
      <c r="A51" s="48">
        <v>42</v>
      </c>
      <c r="B51" s="48">
        <v>559</v>
      </c>
      <c r="C51" s="34" t="s">
        <v>55</v>
      </c>
      <c r="D51" s="48">
        <v>24</v>
      </c>
    </row>
    <row r="52" spans="1:6" x14ac:dyDescent="0.3">
      <c r="A52" s="48">
        <v>43</v>
      </c>
      <c r="B52" s="48">
        <v>747</v>
      </c>
      <c r="C52" s="34" t="s">
        <v>56</v>
      </c>
      <c r="D52" s="48">
        <v>15</v>
      </c>
    </row>
    <row r="53" spans="1:6" x14ac:dyDescent="0.3">
      <c r="A53" s="48">
        <v>44</v>
      </c>
      <c r="B53" s="48">
        <v>789</v>
      </c>
      <c r="C53" s="34" t="s">
        <v>55</v>
      </c>
      <c r="D53" s="48">
        <v>48</v>
      </c>
    </row>
    <row r="54" spans="1:6" x14ac:dyDescent="0.3">
      <c r="A54" s="48">
        <v>45</v>
      </c>
      <c r="B54" s="48">
        <v>793</v>
      </c>
      <c r="C54" s="34" t="s">
        <v>54</v>
      </c>
      <c r="D54" s="48">
        <v>6</v>
      </c>
    </row>
    <row r="55" spans="1:6" x14ac:dyDescent="0.3">
      <c r="A55" s="48">
        <v>46</v>
      </c>
      <c r="B55" s="48">
        <v>846</v>
      </c>
      <c r="C55" s="34" t="s">
        <v>54</v>
      </c>
      <c r="D55" s="48">
        <v>21</v>
      </c>
    </row>
    <row r="56" spans="1:6" x14ac:dyDescent="0.3">
      <c r="A56" s="48">
        <v>47</v>
      </c>
      <c r="B56" s="48">
        <v>749</v>
      </c>
      <c r="C56" s="34" t="s">
        <v>54</v>
      </c>
      <c r="D56" s="48">
        <v>21</v>
      </c>
    </row>
    <row r="57" spans="1:6" x14ac:dyDescent="0.3">
      <c r="A57" s="48">
        <v>48</v>
      </c>
      <c r="B57" s="48">
        <v>315</v>
      </c>
      <c r="C57" s="34" t="s">
        <v>54</v>
      </c>
      <c r="D57" s="48">
        <v>4</v>
      </c>
    </row>
    <row r="58" spans="1:6" x14ac:dyDescent="0.3">
      <c r="A58" s="48">
        <v>49</v>
      </c>
      <c r="B58" s="48">
        <v>650</v>
      </c>
      <c r="C58" s="34" t="s">
        <v>55</v>
      </c>
      <c r="D58" s="48">
        <v>12</v>
      </c>
    </row>
    <row r="59" spans="1:6" x14ac:dyDescent="0.3">
      <c r="A59" s="48">
        <v>50</v>
      </c>
      <c r="B59" s="48">
        <v>371</v>
      </c>
      <c r="C59" s="34" t="s">
        <v>54</v>
      </c>
      <c r="D59" s="48">
        <v>36</v>
      </c>
    </row>
    <row r="60" spans="1:6" x14ac:dyDescent="0.3">
      <c r="A60" s="48">
        <v>51</v>
      </c>
      <c r="B60" s="48">
        <v>277</v>
      </c>
      <c r="C60" s="34" t="s">
        <v>56</v>
      </c>
      <c r="D60" s="48">
        <v>18</v>
      </c>
    </row>
    <row r="61" spans="1:6" x14ac:dyDescent="0.3">
      <c r="A61" s="48">
        <v>52</v>
      </c>
      <c r="B61" s="48">
        <v>275</v>
      </c>
      <c r="C61" s="34" t="s">
        <v>55</v>
      </c>
      <c r="D61" s="48">
        <v>30</v>
      </c>
    </row>
    <row r="62" spans="1:6" x14ac:dyDescent="0.3">
      <c r="A62" s="48">
        <v>53</v>
      </c>
      <c r="B62" s="48">
        <v>898</v>
      </c>
      <c r="C62" s="34" t="s">
        <v>56</v>
      </c>
      <c r="D62" s="48">
        <v>12</v>
      </c>
    </row>
    <row r="63" spans="1:6" x14ac:dyDescent="0.3">
      <c r="A63" s="48">
        <v>54</v>
      </c>
      <c r="B63" s="48">
        <v>934</v>
      </c>
      <c r="C63" s="34" t="s">
        <v>54</v>
      </c>
      <c r="D63" s="48">
        <v>12</v>
      </c>
    </row>
    <row r="64" spans="1:6" x14ac:dyDescent="0.3">
      <c r="A64" s="48">
        <v>55</v>
      </c>
      <c r="B64" s="48">
        <v>762</v>
      </c>
      <c r="C64" s="34" t="s">
        <v>57</v>
      </c>
      <c r="D64" s="48">
        <v>18</v>
      </c>
    </row>
    <row r="65" spans="1:4" x14ac:dyDescent="0.3">
      <c r="A65" s="48">
        <v>56</v>
      </c>
      <c r="B65" s="48">
        <v>278</v>
      </c>
      <c r="C65" s="34" t="s">
        <v>54</v>
      </c>
      <c r="D65" s="48">
        <v>12</v>
      </c>
    </row>
    <row r="66" spans="1:4" x14ac:dyDescent="0.3">
      <c r="A66" s="48">
        <v>57</v>
      </c>
      <c r="B66" s="48">
        <v>27</v>
      </c>
      <c r="C66" s="34" t="s">
        <v>54</v>
      </c>
      <c r="D66" s="48">
        <v>6</v>
      </c>
    </row>
    <row r="67" spans="1:4" x14ac:dyDescent="0.3">
      <c r="A67" s="48">
        <v>58</v>
      </c>
      <c r="B67" s="48">
        <v>327</v>
      </c>
      <c r="C67" s="34" t="s">
        <v>54</v>
      </c>
      <c r="D67" s="48">
        <v>12</v>
      </c>
    </row>
    <row r="68" spans="1:4" x14ac:dyDescent="0.3">
      <c r="A68" s="48">
        <v>59</v>
      </c>
      <c r="B68" s="48">
        <v>961</v>
      </c>
      <c r="C68" s="34" t="s">
        <v>54</v>
      </c>
      <c r="D68" s="48">
        <v>6</v>
      </c>
    </row>
    <row r="69" spans="1:4" x14ac:dyDescent="0.3">
      <c r="A69" s="48">
        <v>60</v>
      </c>
      <c r="B69" s="48">
        <v>118</v>
      </c>
      <c r="C69" s="34" t="s">
        <v>56</v>
      </c>
      <c r="D69" s="48">
        <v>10</v>
      </c>
    </row>
    <row r="70" spans="1:4" x14ac:dyDescent="0.3">
      <c r="A70" s="48">
        <v>61</v>
      </c>
      <c r="B70" s="48">
        <v>402</v>
      </c>
      <c r="C70" s="34" t="s">
        <v>54</v>
      </c>
      <c r="D70" s="48">
        <v>18</v>
      </c>
    </row>
    <row r="71" spans="1:4" x14ac:dyDescent="0.3">
      <c r="A71" s="48">
        <v>62</v>
      </c>
      <c r="B71" s="48">
        <v>391</v>
      </c>
      <c r="C71" s="34" t="s">
        <v>54</v>
      </c>
      <c r="D71" s="48">
        <v>18</v>
      </c>
    </row>
    <row r="72" spans="1:4" x14ac:dyDescent="0.3">
      <c r="A72" s="48">
        <v>63</v>
      </c>
      <c r="B72" s="48">
        <v>95</v>
      </c>
      <c r="C72" s="34" t="s">
        <v>54</v>
      </c>
      <c r="D72" s="48">
        <v>12</v>
      </c>
    </row>
    <row r="73" spans="1:4" x14ac:dyDescent="0.3">
      <c r="A73" s="48">
        <v>64</v>
      </c>
      <c r="B73" s="48">
        <v>464</v>
      </c>
      <c r="C73" s="34" t="s">
        <v>54</v>
      </c>
      <c r="D73" s="48">
        <v>12</v>
      </c>
    </row>
    <row r="74" spans="1:4" x14ac:dyDescent="0.3">
      <c r="A74" s="48">
        <v>65</v>
      </c>
      <c r="B74" s="48">
        <v>856</v>
      </c>
      <c r="C74" s="34" t="s">
        <v>54</v>
      </c>
      <c r="D74" s="48">
        <v>24</v>
      </c>
    </row>
    <row r="75" spans="1:4" x14ac:dyDescent="0.3">
      <c r="A75" s="48">
        <v>66</v>
      </c>
      <c r="B75" s="48">
        <v>343</v>
      </c>
      <c r="C75" s="34" t="s">
        <v>54</v>
      </c>
      <c r="D75" s="48">
        <v>18</v>
      </c>
    </row>
    <row r="76" spans="1:4" x14ac:dyDescent="0.3">
      <c r="A76" s="48">
        <v>67</v>
      </c>
      <c r="B76" s="48">
        <v>364</v>
      </c>
      <c r="C76" s="34" t="s">
        <v>54</v>
      </c>
      <c r="D76" s="48">
        <v>6</v>
      </c>
    </row>
    <row r="77" spans="1:4" x14ac:dyDescent="0.3">
      <c r="A77" s="48">
        <v>68</v>
      </c>
      <c r="B77" s="48">
        <v>463</v>
      </c>
      <c r="C77" s="34" t="s">
        <v>56</v>
      </c>
      <c r="D77" s="48">
        <v>12</v>
      </c>
    </row>
    <row r="78" spans="1:4" x14ac:dyDescent="0.3">
      <c r="A78" s="48">
        <v>69</v>
      </c>
      <c r="B78" s="48">
        <v>790</v>
      </c>
      <c r="C78" s="34" t="s">
        <v>55</v>
      </c>
      <c r="D78" s="48">
        <v>40</v>
      </c>
    </row>
    <row r="79" spans="1:4" x14ac:dyDescent="0.3">
      <c r="A79" s="48">
        <v>70</v>
      </c>
      <c r="B79" s="48">
        <v>81</v>
      </c>
      <c r="C79" s="34" t="s">
        <v>57</v>
      </c>
      <c r="D79" s="48">
        <v>24</v>
      </c>
    </row>
    <row r="80" spans="1:4" x14ac:dyDescent="0.3">
      <c r="A80" s="48">
        <v>71</v>
      </c>
      <c r="B80" s="48">
        <v>735</v>
      </c>
      <c r="C80" s="34" t="s">
        <v>56</v>
      </c>
      <c r="D80" s="48">
        <v>4</v>
      </c>
    </row>
    <row r="81" spans="1:4" x14ac:dyDescent="0.3">
      <c r="A81" s="48">
        <v>72</v>
      </c>
      <c r="B81" s="48">
        <v>857</v>
      </c>
      <c r="C81" s="34" t="s">
        <v>56</v>
      </c>
      <c r="D81" s="48">
        <v>10</v>
      </c>
    </row>
    <row r="82" spans="1:4" x14ac:dyDescent="0.3">
      <c r="A82" s="48">
        <v>73</v>
      </c>
      <c r="B82" s="48">
        <v>855</v>
      </c>
      <c r="C82" s="34" t="s">
        <v>54</v>
      </c>
      <c r="D82" s="48">
        <v>36</v>
      </c>
    </row>
    <row r="83" spans="1:4" x14ac:dyDescent="0.3">
      <c r="A83" s="48">
        <v>74</v>
      </c>
      <c r="B83" s="48">
        <v>609</v>
      </c>
      <c r="C83" s="34" t="s">
        <v>54</v>
      </c>
      <c r="D83" s="48">
        <v>18</v>
      </c>
    </row>
    <row r="84" spans="1:4" x14ac:dyDescent="0.3">
      <c r="A84" s="48">
        <v>75</v>
      </c>
      <c r="B84" s="48">
        <v>435</v>
      </c>
      <c r="C84" s="34" t="s">
        <v>54</v>
      </c>
      <c r="D84" s="48">
        <v>9</v>
      </c>
    </row>
    <row r="85" spans="1:4" x14ac:dyDescent="0.3">
      <c r="A85" s="48">
        <v>76</v>
      </c>
      <c r="B85" s="48">
        <v>742</v>
      </c>
      <c r="C85" s="34" t="s">
        <v>54</v>
      </c>
      <c r="D85" s="48">
        <v>10</v>
      </c>
    </row>
    <row r="86" spans="1:4" x14ac:dyDescent="0.3">
      <c r="A86" s="48">
        <v>77</v>
      </c>
      <c r="B86" s="48">
        <v>980</v>
      </c>
      <c r="C86" s="34" t="s">
        <v>55</v>
      </c>
      <c r="D86" s="48">
        <v>15</v>
      </c>
    </row>
    <row r="87" spans="1:4" x14ac:dyDescent="0.3">
      <c r="A87" s="48">
        <v>78</v>
      </c>
      <c r="B87" s="48">
        <v>139</v>
      </c>
      <c r="C87" s="34" t="s">
        <v>54</v>
      </c>
      <c r="D87" s="48">
        <v>15</v>
      </c>
    </row>
    <row r="88" spans="1:4" x14ac:dyDescent="0.3">
      <c r="A88" s="48">
        <v>79</v>
      </c>
      <c r="B88" s="48">
        <v>2</v>
      </c>
      <c r="C88" s="34" t="s">
        <v>57</v>
      </c>
      <c r="D88" s="48">
        <v>48</v>
      </c>
    </row>
    <row r="89" spans="1:4" x14ac:dyDescent="0.3">
      <c r="A89" s="48">
        <v>80</v>
      </c>
      <c r="B89" s="48">
        <v>384</v>
      </c>
      <c r="C89" s="34" t="s">
        <v>54</v>
      </c>
      <c r="D89" s="48">
        <v>12</v>
      </c>
    </row>
    <row r="90" spans="1:4" x14ac:dyDescent="0.3">
      <c r="A90" s="48">
        <v>81</v>
      </c>
      <c r="B90" s="48">
        <v>741</v>
      </c>
      <c r="C90" s="34" t="s">
        <v>54</v>
      </c>
      <c r="D90" s="48">
        <v>24</v>
      </c>
    </row>
    <row r="91" spans="1:4" x14ac:dyDescent="0.3">
      <c r="A91" s="48">
        <v>82</v>
      </c>
      <c r="B91" s="48">
        <v>451</v>
      </c>
      <c r="C91" s="34" t="s">
        <v>54</v>
      </c>
      <c r="D91" s="48">
        <v>36</v>
      </c>
    </row>
    <row r="92" spans="1:4" x14ac:dyDescent="0.3">
      <c r="A92" s="48">
        <v>83</v>
      </c>
      <c r="B92" s="48">
        <v>681</v>
      </c>
      <c r="C92" s="34" t="s">
        <v>56</v>
      </c>
      <c r="D92" s="48">
        <v>6</v>
      </c>
    </row>
    <row r="93" spans="1:4" x14ac:dyDescent="0.3">
      <c r="A93" s="48">
        <v>84</v>
      </c>
      <c r="B93" s="48">
        <v>13</v>
      </c>
      <c r="C93" s="34" t="s">
        <v>56</v>
      </c>
      <c r="D93" s="48">
        <v>12</v>
      </c>
    </row>
    <row r="94" spans="1:4" x14ac:dyDescent="0.3">
      <c r="A94" s="48">
        <v>85</v>
      </c>
      <c r="B94" s="48">
        <v>221</v>
      </c>
      <c r="C94" s="34" t="s">
        <v>54</v>
      </c>
      <c r="D94" s="48">
        <v>12</v>
      </c>
    </row>
    <row r="95" spans="1:4" x14ac:dyDescent="0.3">
      <c r="A95" s="48">
        <v>86</v>
      </c>
      <c r="B95" s="48">
        <v>946</v>
      </c>
      <c r="C95" s="34" t="s">
        <v>56</v>
      </c>
      <c r="D95" s="48">
        <v>48</v>
      </c>
    </row>
    <row r="96" spans="1:4" x14ac:dyDescent="0.3">
      <c r="A96" s="48">
        <v>87</v>
      </c>
      <c r="B96" s="48">
        <v>206</v>
      </c>
      <c r="C96" s="34" t="s">
        <v>54</v>
      </c>
      <c r="D96" s="48">
        <v>30</v>
      </c>
    </row>
    <row r="97" spans="1:4" x14ac:dyDescent="0.3">
      <c r="A97" s="48">
        <v>88</v>
      </c>
      <c r="B97" s="48">
        <v>684</v>
      </c>
      <c r="C97" s="34" t="s">
        <v>54</v>
      </c>
      <c r="D97" s="48">
        <v>24</v>
      </c>
    </row>
    <row r="98" spans="1:4" x14ac:dyDescent="0.3">
      <c r="A98" s="48">
        <v>89</v>
      </c>
      <c r="B98" s="48">
        <v>629</v>
      </c>
      <c r="C98" s="34" t="s">
        <v>54</v>
      </c>
      <c r="D98" s="48">
        <v>42</v>
      </c>
    </row>
    <row r="99" spans="1:4" x14ac:dyDescent="0.3">
      <c r="A99" s="48">
        <v>90</v>
      </c>
      <c r="B99" s="48">
        <v>906</v>
      </c>
      <c r="C99" s="34" t="s">
        <v>54</v>
      </c>
      <c r="D99" s="48">
        <v>12</v>
      </c>
    </row>
    <row r="100" spans="1:4" x14ac:dyDescent="0.3">
      <c r="A100" s="48">
        <v>91</v>
      </c>
      <c r="B100" s="48">
        <v>776</v>
      </c>
      <c r="C100" s="34" t="s">
        <v>57</v>
      </c>
      <c r="D100" s="48">
        <v>24</v>
      </c>
    </row>
    <row r="101" spans="1:4" x14ac:dyDescent="0.3">
      <c r="A101" s="48">
        <v>92</v>
      </c>
      <c r="B101" s="48">
        <v>154</v>
      </c>
      <c r="C101" s="34" t="s">
        <v>56</v>
      </c>
      <c r="D101" s="48">
        <v>24</v>
      </c>
    </row>
    <row r="102" spans="1:4" x14ac:dyDescent="0.3">
      <c r="A102" s="48">
        <v>93</v>
      </c>
      <c r="B102" s="48">
        <v>465</v>
      </c>
      <c r="C102" s="34" t="s">
        <v>54</v>
      </c>
      <c r="D102" s="48">
        <v>18</v>
      </c>
    </row>
    <row r="103" spans="1:4" x14ac:dyDescent="0.3">
      <c r="A103" s="48">
        <v>94</v>
      </c>
      <c r="B103" s="48">
        <v>501</v>
      </c>
      <c r="C103" s="34" t="s">
        <v>57</v>
      </c>
      <c r="D103" s="48">
        <v>24</v>
      </c>
    </row>
    <row r="104" spans="1:4" x14ac:dyDescent="0.3">
      <c r="A104" s="48">
        <v>95</v>
      </c>
      <c r="B104" s="48">
        <v>813</v>
      </c>
      <c r="C104" s="34" t="s">
        <v>55</v>
      </c>
      <c r="D104" s="48">
        <v>36</v>
      </c>
    </row>
    <row r="105" spans="1:4" x14ac:dyDescent="0.3">
      <c r="A105" s="48">
        <v>96</v>
      </c>
      <c r="B105" s="48">
        <v>30</v>
      </c>
      <c r="C105" s="34" t="s">
        <v>55</v>
      </c>
      <c r="D105" s="48">
        <v>60</v>
      </c>
    </row>
    <row r="106" spans="1:4" x14ac:dyDescent="0.3">
      <c r="A106" s="48">
        <v>97</v>
      </c>
      <c r="B106" s="48">
        <v>120</v>
      </c>
      <c r="C106" s="34" t="s">
        <v>54</v>
      </c>
      <c r="D106" s="48">
        <v>12</v>
      </c>
    </row>
    <row r="107" spans="1:4" x14ac:dyDescent="0.3">
      <c r="A107" s="48">
        <v>98</v>
      </c>
      <c r="B107" s="48">
        <v>272</v>
      </c>
      <c r="C107" s="34" t="s">
        <v>56</v>
      </c>
      <c r="D107" s="48">
        <v>12</v>
      </c>
    </row>
    <row r="108" spans="1:4" x14ac:dyDescent="0.3">
      <c r="A108" s="48">
        <v>99</v>
      </c>
      <c r="B108" s="48">
        <v>768</v>
      </c>
      <c r="C108" s="34" t="s">
        <v>56</v>
      </c>
      <c r="D108" s="48">
        <v>10</v>
      </c>
    </row>
    <row r="109" spans="1:4" x14ac:dyDescent="0.3">
      <c r="A109" s="48">
        <v>100</v>
      </c>
      <c r="B109" s="48">
        <v>205</v>
      </c>
      <c r="C109" s="34" t="s">
        <v>54</v>
      </c>
      <c r="D109" s="48">
        <v>12</v>
      </c>
    </row>
    <row r="110" spans="1:4" x14ac:dyDescent="0.3">
      <c r="A110" s="48">
        <v>101</v>
      </c>
      <c r="B110" s="48">
        <v>260</v>
      </c>
      <c r="C110" s="34" t="s">
        <v>56</v>
      </c>
      <c r="D110" s="48">
        <v>11</v>
      </c>
    </row>
    <row r="111" spans="1:4" x14ac:dyDescent="0.3">
      <c r="A111" s="48">
        <v>102</v>
      </c>
      <c r="B111" s="48">
        <v>375</v>
      </c>
      <c r="C111" s="34" t="s">
        <v>57</v>
      </c>
      <c r="D111" s="48">
        <v>60</v>
      </c>
    </row>
    <row r="112" spans="1:4" x14ac:dyDescent="0.3">
      <c r="A112" s="48">
        <v>103</v>
      </c>
      <c r="B112" s="48">
        <v>640</v>
      </c>
      <c r="C112" s="34" t="s">
        <v>55</v>
      </c>
      <c r="D112" s="48">
        <v>42</v>
      </c>
    </row>
    <row r="113" spans="1:4" x14ac:dyDescent="0.3">
      <c r="A113" s="48">
        <v>104</v>
      </c>
      <c r="B113" s="48">
        <v>508</v>
      </c>
      <c r="C113" s="34" t="s">
        <v>55</v>
      </c>
      <c r="D113" s="48">
        <v>15</v>
      </c>
    </row>
    <row r="114" spans="1:4" x14ac:dyDescent="0.3">
      <c r="A114" s="48">
        <v>105</v>
      </c>
      <c r="B114" s="48">
        <v>117</v>
      </c>
      <c r="C114" s="34" t="s">
        <v>57</v>
      </c>
      <c r="D114" s="48">
        <v>42</v>
      </c>
    </row>
    <row r="115" spans="1:4" x14ac:dyDescent="0.3">
      <c r="A115" s="48">
        <v>106</v>
      </c>
      <c r="B115" s="48">
        <v>935</v>
      </c>
      <c r="C115" s="34" t="s">
        <v>56</v>
      </c>
      <c r="D115" s="48">
        <v>12</v>
      </c>
    </row>
    <row r="116" spans="1:4" x14ac:dyDescent="0.3">
      <c r="A116" s="48">
        <v>107</v>
      </c>
      <c r="B116" s="48">
        <v>976</v>
      </c>
      <c r="C116" s="34" t="s">
        <v>56</v>
      </c>
      <c r="D116" s="48">
        <v>24</v>
      </c>
    </row>
    <row r="117" spans="1:4" x14ac:dyDescent="0.3">
      <c r="A117" s="48">
        <v>108</v>
      </c>
      <c r="B117" s="48">
        <v>258</v>
      </c>
      <c r="C117" s="34" t="s">
        <v>55</v>
      </c>
      <c r="D117" s="48">
        <v>12</v>
      </c>
    </row>
    <row r="118" spans="1:4" x14ac:dyDescent="0.3">
      <c r="A118" s="48">
        <v>109</v>
      </c>
      <c r="B118" s="48">
        <v>452</v>
      </c>
      <c r="C118" s="34" t="s">
        <v>56</v>
      </c>
      <c r="D118" s="48">
        <v>6</v>
      </c>
    </row>
    <row r="119" spans="1:4" x14ac:dyDescent="0.3">
      <c r="A119" s="48">
        <v>110</v>
      </c>
      <c r="B119" s="48">
        <v>47</v>
      </c>
      <c r="C119" s="34" t="s">
        <v>54</v>
      </c>
      <c r="D119" s="48">
        <v>36</v>
      </c>
    </row>
    <row r="120" spans="1:4" x14ac:dyDescent="0.3">
      <c r="A120" s="48">
        <v>111</v>
      </c>
      <c r="B120" s="48">
        <v>920</v>
      </c>
      <c r="C120" s="34" t="s">
        <v>55</v>
      </c>
      <c r="D120" s="48">
        <v>24</v>
      </c>
    </row>
    <row r="121" spans="1:4" x14ac:dyDescent="0.3">
      <c r="A121" s="48">
        <v>112</v>
      </c>
      <c r="B121" s="48">
        <v>972</v>
      </c>
      <c r="C121" s="34" t="s">
        <v>54</v>
      </c>
      <c r="D121" s="48">
        <v>24</v>
      </c>
    </row>
    <row r="122" spans="1:4" x14ac:dyDescent="0.3">
      <c r="A122" s="48">
        <v>113</v>
      </c>
      <c r="B122" s="48">
        <v>74</v>
      </c>
      <c r="C122" s="34" t="s">
        <v>56</v>
      </c>
      <c r="D122" s="48">
        <v>42</v>
      </c>
    </row>
    <row r="123" spans="1:4" x14ac:dyDescent="0.3">
      <c r="A123" s="48">
        <v>114</v>
      </c>
      <c r="B123" s="48">
        <v>862</v>
      </c>
      <c r="C123" s="34" t="s">
        <v>55</v>
      </c>
      <c r="D123" s="48">
        <v>18</v>
      </c>
    </row>
    <row r="124" spans="1:4" x14ac:dyDescent="0.3">
      <c r="A124" s="48">
        <v>115</v>
      </c>
      <c r="B124" s="48">
        <v>675</v>
      </c>
      <c r="C124" s="34" t="s">
        <v>55</v>
      </c>
      <c r="D124" s="48">
        <v>21</v>
      </c>
    </row>
    <row r="125" spans="1:4" x14ac:dyDescent="0.3">
      <c r="A125" s="48">
        <v>116</v>
      </c>
      <c r="B125" s="48">
        <v>325</v>
      </c>
      <c r="C125" s="34" t="s">
        <v>56</v>
      </c>
      <c r="D125" s="48">
        <v>18</v>
      </c>
    </row>
    <row r="126" spans="1:4" x14ac:dyDescent="0.3">
      <c r="A126" s="48">
        <v>117</v>
      </c>
      <c r="B126" s="48">
        <v>595</v>
      </c>
      <c r="C126" s="34" t="s">
        <v>55</v>
      </c>
      <c r="D126" s="48">
        <v>24</v>
      </c>
    </row>
    <row r="127" spans="1:4" x14ac:dyDescent="0.3">
      <c r="A127" s="48">
        <v>118</v>
      </c>
      <c r="B127" s="48">
        <v>162</v>
      </c>
      <c r="C127" s="34" t="s">
        <v>56</v>
      </c>
      <c r="D127" s="48">
        <v>18</v>
      </c>
    </row>
    <row r="128" spans="1:4" x14ac:dyDescent="0.3">
      <c r="A128" s="48">
        <v>119</v>
      </c>
      <c r="B128" s="48">
        <v>424</v>
      </c>
      <c r="C128" s="34" t="s">
        <v>54</v>
      </c>
      <c r="D128" s="48">
        <v>21</v>
      </c>
    </row>
    <row r="129" spans="1:4" x14ac:dyDescent="0.3">
      <c r="A129" s="48">
        <v>120</v>
      </c>
      <c r="B129" s="48">
        <v>506</v>
      </c>
      <c r="C129" s="34" t="s">
        <v>55</v>
      </c>
      <c r="D129" s="48">
        <v>10</v>
      </c>
    </row>
    <row r="130" spans="1:4" x14ac:dyDescent="0.3">
      <c r="A130" s="48">
        <v>121</v>
      </c>
      <c r="B130" s="48">
        <v>119</v>
      </c>
      <c r="C130" s="34" t="s">
        <v>57</v>
      </c>
      <c r="D130" s="48">
        <v>33</v>
      </c>
    </row>
    <row r="131" spans="1:4" x14ac:dyDescent="0.3">
      <c r="A131" s="48">
        <v>122</v>
      </c>
      <c r="B131" s="48">
        <v>760</v>
      </c>
      <c r="C131" s="34" t="s">
        <v>55</v>
      </c>
      <c r="D131" s="48">
        <v>12</v>
      </c>
    </row>
    <row r="132" spans="1:4" x14ac:dyDescent="0.3">
      <c r="A132" s="48">
        <v>123</v>
      </c>
      <c r="B132" s="48">
        <v>226</v>
      </c>
      <c r="C132" s="34" t="s">
        <v>54</v>
      </c>
      <c r="D132" s="48">
        <v>36</v>
      </c>
    </row>
    <row r="133" spans="1:4" x14ac:dyDescent="0.3">
      <c r="A133" s="48">
        <v>124</v>
      </c>
      <c r="B133" s="48">
        <v>493</v>
      </c>
      <c r="C133" s="34" t="s">
        <v>56</v>
      </c>
      <c r="D133" s="48">
        <v>6</v>
      </c>
    </row>
    <row r="134" spans="1:4" x14ac:dyDescent="0.3">
      <c r="A134" s="48">
        <v>125</v>
      </c>
      <c r="B134" s="48">
        <v>819</v>
      </c>
      <c r="C134" s="34" t="s">
        <v>54</v>
      </c>
      <c r="D134" s="48">
        <v>36</v>
      </c>
    </row>
    <row r="135" spans="1:4" x14ac:dyDescent="0.3">
      <c r="A135" s="48">
        <v>126</v>
      </c>
      <c r="B135" s="48">
        <v>619</v>
      </c>
      <c r="C135" s="34" t="s">
        <v>57</v>
      </c>
      <c r="D135" s="48">
        <v>30</v>
      </c>
    </row>
    <row r="136" spans="1:4" x14ac:dyDescent="0.3">
      <c r="A136" s="48">
        <v>127</v>
      </c>
      <c r="B136" s="48">
        <v>34</v>
      </c>
      <c r="C136" s="34" t="s">
        <v>54</v>
      </c>
      <c r="D136" s="48">
        <v>12</v>
      </c>
    </row>
    <row r="137" spans="1:4" x14ac:dyDescent="0.3">
      <c r="A137" s="48">
        <v>128</v>
      </c>
      <c r="B137" s="48">
        <v>227</v>
      </c>
      <c r="C137" s="34" t="s">
        <v>55</v>
      </c>
      <c r="D137" s="48">
        <v>48</v>
      </c>
    </row>
    <row r="138" spans="1:4" x14ac:dyDescent="0.3">
      <c r="A138" s="48">
        <v>129</v>
      </c>
      <c r="B138" s="48">
        <v>319</v>
      </c>
      <c r="C138" s="34" t="s">
        <v>54</v>
      </c>
      <c r="D138" s="48">
        <v>12</v>
      </c>
    </row>
    <row r="139" spans="1:4" x14ac:dyDescent="0.3">
      <c r="A139" s="48">
        <v>130</v>
      </c>
      <c r="B139" s="48">
        <v>155</v>
      </c>
      <c r="C139" s="34" t="s">
        <v>54</v>
      </c>
      <c r="D139" s="48">
        <v>24</v>
      </c>
    </row>
    <row r="140" spans="1:4" x14ac:dyDescent="0.3">
      <c r="A140" s="48">
        <v>131</v>
      </c>
      <c r="B140" s="48">
        <v>673</v>
      </c>
      <c r="C140" s="34" t="s">
        <v>54</v>
      </c>
      <c r="D140" s="48">
        <v>60</v>
      </c>
    </row>
    <row r="141" spans="1:4" x14ac:dyDescent="0.3">
      <c r="A141" s="48">
        <v>132</v>
      </c>
      <c r="B141" s="48">
        <v>194</v>
      </c>
      <c r="C141" s="34" t="s">
        <v>54</v>
      </c>
      <c r="D141" s="48">
        <v>6</v>
      </c>
    </row>
    <row r="142" spans="1:4" x14ac:dyDescent="0.3">
      <c r="A142" s="48">
        <v>133</v>
      </c>
      <c r="B142" s="48">
        <v>436</v>
      </c>
      <c r="C142" s="34" t="s">
        <v>55</v>
      </c>
      <c r="D142" s="48">
        <v>12</v>
      </c>
    </row>
    <row r="143" spans="1:4" x14ac:dyDescent="0.3">
      <c r="A143" s="48">
        <v>134</v>
      </c>
      <c r="B143" s="48">
        <v>304</v>
      </c>
      <c r="C143" s="34" t="s">
        <v>54</v>
      </c>
      <c r="D143" s="48">
        <v>10</v>
      </c>
    </row>
    <row r="144" spans="1:4" x14ac:dyDescent="0.3">
      <c r="A144" s="48">
        <v>135</v>
      </c>
      <c r="B144" s="48">
        <v>439</v>
      </c>
      <c r="C144" s="34" t="s">
        <v>54</v>
      </c>
      <c r="D144" s="48">
        <v>42</v>
      </c>
    </row>
    <row r="145" spans="1:4" x14ac:dyDescent="0.3">
      <c r="A145" s="48">
        <v>136</v>
      </c>
      <c r="B145" s="48">
        <v>499</v>
      </c>
      <c r="C145" s="34" t="s">
        <v>54</v>
      </c>
      <c r="D145" s="48">
        <v>18</v>
      </c>
    </row>
    <row r="146" spans="1:4" x14ac:dyDescent="0.3">
      <c r="A146" s="48">
        <v>137</v>
      </c>
      <c r="B146" s="48">
        <v>708</v>
      </c>
      <c r="C146" s="34" t="s">
        <v>57</v>
      </c>
      <c r="D146" s="48">
        <v>12</v>
      </c>
    </row>
    <row r="147" spans="1:4" x14ac:dyDescent="0.3">
      <c r="A147" s="48">
        <v>138</v>
      </c>
      <c r="B147" s="48">
        <v>778</v>
      </c>
      <c r="C147" s="34" t="s">
        <v>56</v>
      </c>
      <c r="D147" s="48">
        <v>18</v>
      </c>
    </row>
    <row r="148" spans="1:4" x14ac:dyDescent="0.3">
      <c r="A148" s="48">
        <v>139</v>
      </c>
      <c r="B148" s="48">
        <v>914</v>
      </c>
      <c r="C148" s="34" t="s">
        <v>54</v>
      </c>
      <c r="D148" s="48">
        <v>11</v>
      </c>
    </row>
    <row r="149" spans="1:4" x14ac:dyDescent="0.3">
      <c r="A149" s="48">
        <v>140</v>
      </c>
      <c r="B149" s="48">
        <v>585</v>
      </c>
      <c r="C149" s="34" t="s">
        <v>56</v>
      </c>
      <c r="D149" s="48">
        <v>12</v>
      </c>
    </row>
    <row r="150" spans="1:4" x14ac:dyDescent="0.3">
      <c r="A150" s="48">
        <v>141</v>
      </c>
      <c r="B150" s="48">
        <v>565</v>
      </c>
      <c r="C150" s="34" t="s">
        <v>54</v>
      </c>
      <c r="D150" s="48">
        <v>24</v>
      </c>
    </row>
    <row r="151" spans="1:4" x14ac:dyDescent="0.3">
      <c r="A151" s="48">
        <v>142</v>
      </c>
      <c r="B151" s="48">
        <v>8</v>
      </c>
      <c r="C151" s="34" t="s">
        <v>54</v>
      </c>
      <c r="D151" s="48">
        <v>36</v>
      </c>
    </row>
    <row r="152" spans="1:4" x14ac:dyDescent="0.3">
      <c r="A152" s="48">
        <v>143</v>
      </c>
      <c r="B152" s="48">
        <v>832</v>
      </c>
      <c r="C152" s="34" t="s">
        <v>57</v>
      </c>
      <c r="D152" s="48">
        <v>18</v>
      </c>
    </row>
    <row r="153" spans="1:4" x14ac:dyDescent="0.3">
      <c r="A153" s="48">
        <v>144</v>
      </c>
      <c r="B153" s="48">
        <v>584</v>
      </c>
      <c r="C153" s="34" t="s">
        <v>55</v>
      </c>
      <c r="D153" s="48">
        <v>36</v>
      </c>
    </row>
    <row r="154" spans="1:4" x14ac:dyDescent="0.3">
      <c r="A154" s="48">
        <v>145</v>
      </c>
      <c r="B154" s="48">
        <v>689</v>
      </c>
      <c r="C154" s="34" t="s">
        <v>54</v>
      </c>
      <c r="D154" s="48">
        <v>9</v>
      </c>
    </row>
    <row r="155" spans="1:4" x14ac:dyDescent="0.3">
      <c r="A155" s="48">
        <v>146</v>
      </c>
      <c r="B155" s="48">
        <v>909</v>
      </c>
      <c r="C155" s="34" t="s">
        <v>56</v>
      </c>
      <c r="D155" s="48">
        <v>15</v>
      </c>
    </row>
    <row r="156" spans="1:4" x14ac:dyDescent="0.3">
      <c r="A156" s="48">
        <v>147</v>
      </c>
      <c r="B156" s="48">
        <v>31</v>
      </c>
      <c r="C156" s="34" t="s">
        <v>54</v>
      </c>
      <c r="D156" s="48">
        <v>18</v>
      </c>
    </row>
    <row r="157" spans="1:4" x14ac:dyDescent="0.3">
      <c r="A157" s="48">
        <v>148</v>
      </c>
      <c r="B157" s="48">
        <v>590</v>
      </c>
      <c r="C157" s="34" t="s">
        <v>55</v>
      </c>
      <c r="D157" s="48">
        <v>12</v>
      </c>
    </row>
    <row r="158" spans="1:4" x14ac:dyDescent="0.3">
      <c r="A158" s="48">
        <v>149</v>
      </c>
      <c r="B158" s="48">
        <v>848</v>
      </c>
      <c r="C158" s="34" t="s">
        <v>54</v>
      </c>
      <c r="D158" s="48">
        <v>24</v>
      </c>
    </row>
    <row r="159" spans="1:4" x14ac:dyDescent="0.3">
      <c r="A159" s="48">
        <v>150</v>
      </c>
      <c r="B159" s="48">
        <v>137</v>
      </c>
      <c r="C159" s="34" t="s">
        <v>54</v>
      </c>
      <c r="D159" s="48">
        <v>27</v>
      </c>
    </row>
    <row r="160" spans="1:4" x14ac:dyDescent="0.3">
      <c r="A160" s="48">
        <v>151</v>
      </c>
      <c r="B160" s="48">
        <v>106</v>
      </c>
      <c r="C160" s="34" t="s">
        <v>55</v>
      </c>
      <c r="D160" s="48">
        <v>24</v>
      </c>
    </row>
    <row r="161" spans="1:4" x14ac:dyDescent="0.3">
      <c r="A161" s="48">
        <v>152</v>
      </c>
      <c r="B161" s="48">
        <v>248</v>
      </c>
      <c r="C161" s="34" t="s">
        <v>54</v>
      </c>
      <c r="D161" s="48">
        <v>6</v>
      </c>
    </row>
    <row r="162" spans="1:4" x14ac:dyDescent="0.3">
      <c r="A162" s="48">
        <v>153</v>
      </c>
      <c r="B162" s="48">
        <v>276</v>
      </c>
      <c r="C162" s="34" t="s">
        <v>54</v>
      </c>
      <c r="D162" s="48">
        <v>9</v>
      </c>
    </row>
    <row r="163" spans="1:4" x14ac:dyDescent="0.3">
      <c r="A163" s="48">
        <v>154</v>
      </c>
      <c r="B163" s="48">
        <v>664</v>
      </c>
      <c r="C163" s="34" t="s">
        <v>54</v>
      </c>
      <c r="D163" s="48">
        <v>6</v>
      </c>
    </row>
    <row r="164" spans="1:4" x14ac:dyDescent="0.3">
      <c r="A164" s="48">
        <v>155</v>
      </c>
      <c r="B164" s="48">
        <v>850</v>
      </c>
      <c r="C164" s="34" t="s">
        <v>55</v>
      </c>
      <c r="D164" s="48">
        <v>12</v>
      </c>
    </row>
    <row r="165" spans="1:4" x14ac:dyDescent="0.3">
      <c r="A165" s="48">
        <v>156</v>
      </c>
      <c r="B165" s="48">
        <v>644</v>
      </c>
      <c r="C165" s="34" t="s">
        <v>54</v>
      </c>
      <c r="D165" s="48">
        <v>24</v>
      </c>
    </row>
    <row r="166" spans="1:4" x14ac:dyDescent="0.3">
      <c r="A166" s="48">
        <v>157</v>
      </c>
      <c r="B166" s="48">
        <v>40</v>
      </c>
      <c r="C166" s="34" t="s">
        <v>54</v>
      </c>
      <c r="D166" s="48">
        <v>9</v>
      </c>
    </row>
    <row r="167" spans="1:4" x14ac:dyDescent="0.3">
      <c r="A167" s="48">
        <v>158</v>
      </c>
      <c r="B167" s="48">
        <v>46</v>
      </c>
      <c r="C167" s="34" t="s">
        <v>56</v>
      </c>
      <c r="D167" s="48">
        <v>11</v>
      </c>
    </row>
    <row r="168" spans="1:4" x14ac:dyDescent="0.3">
      <c r="A168" s="48">
        <v>159</v>
      </c>
      <c r="B168" s="48">
        <v>76</v>
      </c>
      <c r="C168" s="34" t="s">
        <v>54</v>
      </c>
      <c r="D168" s="48">
        <v>12</v>
      </c>
    </row>
    <row r="169" spans="1:4" x14ac:dyDescent="0.3">
      <c r="A169" s="48">
        <v>160</v>
      </c>
      <c r="B169" s="48">
        <v>889</v>
      </c>
      <c r="C169" s="34" t="s">
        <v>54</v>
      </c>
      <c r="D169" s="48">
        <v>36</v>
      </c>
    </row>
    <row r="170" spans="1:4" x14ac:dyDescent="0.3">
      <c r="A170" s="48">
        <v>161</v>
      </c>
      <c r="B170" s="48">
        <v>523</v>
      </c>
      <c r="C170" s="34" t="s">
        <v>55</v>
      </c>
      <c r="D170" s="48">
        <v>48</v>
      </c>
    </row>
    <row r="171" spans="1:4" x14ac:dyDescent="0.3">
      <c r="A171" s="48">
        <v>162</v>
      </c>
      <c r="B171" s="48">
        <v>730</v>
      </c>
      <c r="C171" s="34" t="s">
        <v>54</v>
      </c>
      <c r="D171" s="48">
        <v>24</v>
      </c>
    </row>
    <row r="172" spans="1:4" x14ac:dyDescent="0.3">
      <c r="A172" s="48">
        <v>163</v>
      </c>
      <c r="B172" s="48">
        <v>303</v>
      </c>
      <c r="C172" s="34" t="s">
        <v>55</v>
      </c>
      <c r="D172" s="48">
        <v>24</v>
      </c>
    </row>
    <row r="173" spans="1:4" x14ac:dyDescent="0.3">
      <c r="A173" s="48">
        <v>164</v>
      </c>
      <c r="B173" s="48">
        <v>696</v>
      </c>
      <c r="C173" s="34" t="s">
        <v>54</v>
      </c>
      <c r="D173" s="48">
        <v>6</v>
      </c>
    </row>
    <row r="174" spans="1:4" x14ac:dyDescent="0.3">
      <c r="A174" s="48">
        <v>165</v>
      </c>
      <c r="B174" s="48">
        <v>26</v>
      </c>
      <c r="C174" s="34" t="s">
        <v>54</v>
      </c>
      <c r="D174" s="48">
        <v>6</v>
      </c>
    </row>
    <row r="175" spans="1:4" x14ac:dyDescent="0.3">
      <c r="A175" s="48">
        <v>166</v>
      </c>
      <c r="B175" s="48">
        <v>659</v>
      </c>
      <c r="C175" s="34" t="s">
        <v>56</v>
      </c>
      <c r="D175" s="48">
        <v>30</v>
      </c>
    </row>
    <row r="176" spans="1:4" x14ac:dyDescent="0.3">
      <c r="A176" s="48">
        <v>167</v>
      </c>
      <c r="B176" s="48">
        <v>170</v>
      </c>
      <c r="C176" s="34" t="s">
        <v>55</v>
      </c>
      <c r="D176" s="48">
        <v>24</v>
      </c>
    </row>
    <row r="177" spans="1:4" x14ac:dyDescent="0.3">
      <c r="A177" s="48">
        <v>168</v>
      </c>
      <c r="B177" s="48">
        <v>872</v>
      </c>
      <c r="C177" s="34" t="s">
        <v>54</v>
      </c>
      <c r="D177" s="48">
        <v>6</v>
      </c>
    </row>
    <row r="178" spans="1:4" x14ac:dyDescent="0.3">
      <c r="A178" s="48">
        <v>169</v>
      </c>
      <c r="B178" s="48">
        <v>347</v>
      </c>
      <c r="C178" s="34" t="s">
        <v>54</v>
      </c>
      <c r="D178" s="48">
        <v>13</v>
      </c>
    </row>
    <row r="179" spans="1:4" x14ac:dyDescent="0.3">
      <c r="A179" s="48">
        <v>170</v>
      </c>
      <c r="B179" s="48">
        <v>928</v>
      </c>
      <c r="C179" s="34" t="s">
        <v>55</v>
      </c>
      <c r="D179" s="48">
        <v>48</v>
      </c>
    </row>
    <row r="180" spans="1:4" x14ac:dyDescent="0.3">
      <c r="A180" s="48">
        <v>171</v>
      </c>
      <c r="B180" s="48">
        <v>403</v>
      </c>
      <c r="C180" s="34" t="s">
        <v>55</v>
      </c>
      <c r="D180" s="48">
        <v>24</v>
      </c>
    </row>
    <row r="181" spans="1:4" x14ac:dyDescent="0.3">
      <c r="A181" s="48">
        <v>172</v>
      </c>
      <c r="B181" s="48">
        <v>368</v>
      </c>
      <c r="C181" s="34" t="s">
        <v>56</v>
      </c>
      <c r="D181" s="48">
        <v>18</v>
      </c>
    </row>
    <row r="182" spans="1:4" x14ac:dyDescent="0.3">
      <c r="A182" s="48">
        <v>173</v>
      </c>
      <c r="B182" s="48">
        <v>172</v>
      </c>
      <c r="C182" s="34" t="s">
        <v>56</v>
      </c>
      <c r="D182" s="48">
        <v>12</v>
      </c>
    </row>
    <row r="183" spans="1:4" x14ac:dyDescent="0.3">
      <c r="A183" s="48">
        <v>174</v>
      </c>
      <c r="B183" s="48">
        <v>300</v>
      </c>
      <c r="C183" s="34" t="s">
        <v>54</v>
      </c>
      <c r="D183" s="48">
        <v>21</v>
      </c>
    </row>
    <row r="184" spans="1:4" x14ac:dyDescent="0.3">
      <c r="A184" s="48">
        <v>175</v>
      </c>
      <c r="B184" s="48">
        <v>882</v>
      </c>
      <c r="C184" s="34" t="s">
        <v>54</v>
      </c>
      <c r="D184" s="48">
        <v>24</v>
      </c>
    </row>
    <row r="185" spans="1:4" x14ac:dyDescent="0.3">
      <c r="A185" s="48">
        <v>176</v>
      </c>
      <c r="B185" s="48">
        <v>396</v>
      </c>
      <c r="C185" s="34" t="s">
        <v>54</v>
      </c>
      <c r="D185" s="48">
        <v>39</v>
      </c>
    </row>
    <row r="186" spans="1:4" x14ac:dyDescent="0.3">
      <c r="A186" s="48">
        <v>177</v>
      </c>
      <c r="B186" s="48">
        <v>171</v>
      </c>
      <c r="C186" s="34" t="s">
        <v>55</v>
      </c>
      <c r="D186" s="48">
        <v>15</v>
      </c>
    </row>
    <row r="187" spans="1:4" x14ac:dyDescent="0.3">
      <c r="A187" s="48">
        <v>178</v>
      </c>
      <c r="B187" s="48">
        <v>841</v>
      </c>
      <c r="C187" s="34" t="s">
        <v>55</v>
      </c>
      <c r="D187" s="48">
        <v>36</v>
      </c>
    </row>
    <row r="188" spans="1:4" x14ac:dyDescent="0.3">
      <c r="A188" s="48">
        <v>179</v>
      </c>
      <c r="B188" s="48">
        <v>330</v>
      </c>
      <c r="C188" s="34" t="s">
        <v>54</v>
      </c>
      <c r="D188" s="48">
        <v>6</v>
      </c>
    </row>
    <row r="189" spans="1:4" x14ac:dyDescent="0.3">
      <c r="A189" s="48">
        <v>180</v>
      </c>
      <c r="B189" s="48">
        <v>704</v>
      </c>
      <c r="C189" s="34" t="s">
        <v>54</v>
      </c>
      <c r="D189" s="48">
        <v>30</v>
      </c>
    </row>
    <row r="190" spans="1:4" x14ac:dyDescent="0.3">
      <c r="A190" s="48">
        <v>181</v>
      </c>
      <c r="B190" s="48">
        <v>627</v>
      </c>
      <c r="C190" s="34" t="s">
        <v>54</v>
      </c>
      <c r="D190" s="48">
        <v>6</v>
      </c>
    </row>
    <row r="191" spans="1:4" x14ac:dyDescent="0.3">
      <c r="A191" s="48">
        <v>182</v>
      </c>
      <c r="B191" s="48">
        <v>428</v>
      </c>
      <c r="C191" s="34" t="s">
        <v>54</v>
      </c>
      <c r="D191" s="48">
        <v>18</v>
      </c>
    </row>
    <row r="192" spans="1:4" x14ac:dyDescent="0.3">
      <c r="A192" s="48">
        <v>183</v>
      </c>
      <c r="B192" s="48">
        <v>874</v>
      </c>
      <c r="C192" s="34" t="s">
        <v>56</v>
      </c>
      <c r="D192" s="48">
        <v>15</v>
      </c>
    </row>
    <row r="193" spans="1:4" x14ac:dyDescent="0.3">
      <c r="A193" s="48">
        <v>184</v>
      </c>
      <c r="B193" s="48">
        <v>145</v>
      </c>
      <c r="C193" s="34" t="s">
        <v>56</v>
      </c>
      <c r="D193" s="48">
        <v>21</v>
      </c>
    </row>
    <row r="194" spans="1:4" x14ac:dyDescent="0.3">
      <c r="A194" s="48">
        <v>185</v>
      </c>
      <c r="B194" s="48">
        <v>519</v>
      </c>
      <c r="C194" s="34" t="s">
        <v>54</v>
      </c>
      <c r="D194" s="48">
        <v>6</v>
      </c>
    </row>
    <row r="195" spans="1:4" x14ac:dyDescent="0.3">
      <c r="A195" s="48">
        <v>186</v>
      </c>
      <c r="B195" s="48">
        <v>531</v>
      </c>
      <c r="C195" s="34" t="s">
        <v>54</v>
      </c>
      <c r="D195" s="48">
        <v>36</v>
      </c>
    </row>
    <row r="196" spans="1:4" x14ac:dyDescent="0.3">
      <c r="A196" s="48">
        <v>187</v>
      </c>
      <c r="B196" s="48">
        <v>579</v>
      </c>
      <c r="C196" s="34" t="s">
        <v>55</v>
      </c>
      <c r="D196" s="48">
        <v>36</v>
      </c>
    </row>
    <row r="197" spans="1:4" x14ac:dyDescent="0.3">
      <c r="A197" s="48">
        <v>188</v>
      </c>
      <c r="B197" s="48">
        <v>932</v>
      </c>
      <c r="C197" s="34" t="s">
        <v>57</v>
      </c>
      <c r="D197" s="48">
        <v>9</v>
      </c>
    </row>
    <row r="198" spans="1:4" x14ac:dyDescent="0.3">
      <c r="A198" s="48">
        <v>189</v>
      </c>
      <c r="B198" s="48">
        <v>861</v>
      </c>
      <c r="C198" s="34" t="s">
        <v>54</v>
      </c>
      <c r="D198" s="48">
        <v>24</v>
      </c>
    </row>
    <row r="199" spans="1:4" x14ac:dyDescent="0.3">
      <c r="A199" s="48">
        <v>190</v>
      </c>
      <c r="B199" s="48">
        <v>604</v>
      </c>
      <c r="C199" s="34" t="s">
        <v>57</v>
      </c>
      <c r="D199" s="48">
        <v>36</v>
      </c>
    </row>
    <row r="200" spans="1:4" x14ac:dyDescent="0.3">
      <c r="A200" s="48">
        <v>191</v>
      </c>
      <c r="B200" s="48">
        <v>80</v>
      </c>
      <c r="C200" s="34" t="s">
        <v>54</v>
      </c>
      <c r="D200" s="48">
        <v>30</v>
      </c>
    </row>
    <row r="201" spans="1:4" x14ac:dyDescent="0.3">
      <c r="A201" s="48">
        <v>192</v>
      </c>
      <c r="B201" s="48">
        <v>676</v>
      </c>
      <c r="C201" s="34" t="s">
        <v>56</v>
      </c>
      <c r="D201" s="48">
        <v>30</v>
      </c>
    </row>
    <row r="202" spans="1:4" x14ac:dyDescent="0.3">
      <c r="A202" s="48">
        <v>193</v>
      </c>
      <c r="B202" s="48">
        <v>864</v>
      </c>
      <c r="C202" s="34" t="s">
        <v>54</v>
      </c>
      <c r="D202" s="48">
        <v>27</v>
      </c>
    </row>
    <row r="203" spans="1:4" x14ac:dyDescent="0.3">
      <c r="A203" s="48">
        <v>194</v>
      </c>
      <c r="B203" s="48">
        <v>758</v>
      </c>
      <c r="C203" s="34" t="s">
        <v>55</v>
      </c>
      <c r="D203" s="48">
        <v>15</v>
      </c>
    </row>
    <row r="204" spans="1:4" x14ac:dyDescent="0.3">
      <c r="A204" s="48">
        <v>195</v>
      </c>
      <c r="B204" s="48">
        <v>369</v>
      </c>
      <c r="C204" s="34" t="s">
        <v>55</v>
      </c>
      <c r="D204" s="48">
        <v>36</v>
      </c>
    </row>
    <row r="205" spans="1:4" x14ac:dyDescent="0.3">
      <c r="A205" s="48">
        <v>196</v>
      </c>
      <c r="B205" s="48">
        <v>200</v>
      </c>
      <c r="C205" s="34" t="s">
        <v>55</v>
      </c>
      <c r="D205" s="48">
        <v>18</v>
      </c>
    </row>
    <row r="206" spans="1:4" x14ac:dyDescent="0.3">
      <c r="A206" s="48">
        <v>197</v>
      </c>
      <c r="B206" s="48">
        <v>240</v>
      </c>
      <c r="C206" s="34" t="s">
        <v>54</v>
      </c>
      <c r="D206" s="48">
        <v>30</v>
      </c>
    </row>
    <row r="207" spans="1:4" x14ac:dyDescent="0.3">
      <c r="A207" s="48">
        <v>198</v>
      </c>
      <c r="B207" s="48">
        <v>822</v>
      </c>
      <c r="C207" s="34" t="s">
        <v>54</v>
      </c>
      <c r="D207" s="48">
        <v>12</v>
      </c>
    </row>
    <row r="208" spans="1:4" x14ac:dyDescent="0.3">
      <c r="A208" s="48">
        <v>199</v>
      </c>
      <c r="B208" s="48">
        <v>295</v>
      </c>
      <c r="C208" s="34" t="s">
        <v>54</v>
      </c>
      <c r="D208" s="48">
        <v>48</v>
      </c>
    </row>
    <row r="209" spans="1:4" x14ac:dyDescent="0.3">
      <c r="A209" s="58">
        <v>200</v>
      </c>
      <c r="B209" s="58">
        <v>751</v>
      </c>
      <c r="C209" s="35" t="s">
        <v>56</v>
      </c>
      <c r="D209" s="58">
        <v>6</v>
      </c>
    </row>
  </sheetData>
  <mergeCells count="4">
    <mergeCell ref="B2:M2"/>
    <mergeCell ref="B3:M6"/>
    <mergeCell ref="K10:L10"/>
    <mergeCell ref="G10:H1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D04C-AD2D-4AAF-9285-0CBBEC19826F}">
  <dimension ref="A1:P1001"/>
  <sheetViews>
    <sheetView zoomScaleNormal="100" workbookViewId="0">
      <selection activeCell="M27" sqref="M27"/>
    </sheetView>
  </sheetViews>
  <sheetFormatPr defaultRowHeight="14.4" x14ac:dyDescent="0.3"/>
  <cols>
    <col min="3" max="3" width="15.33203125" customWidth="1"/>
    <col min="4" max="4" width="16.6640625" customWidth="1"/>
    <col min="5" max="5" width="12.5546875" customWidth="1"/>
    <col min="6" max="6" width="9.109375" style="75"/>
    <col min="7" max="7" width="13" customWidth="1"/>
  </cols>
  <sheetData>
    <row r="1" spans="1:16" x14ac:dyDescent="0.3">
      <c r="A1" s="37" t="s">
        <v>13</v>
      </c>
      <c r="B1" s="37" t="s">
        <v>12</v>
      </c>
      <c r="C1" s="37" t="s">
        <v>63</v>
      </c>
      <c r="D1" s="37" t="s">
        <v>126</v>
      </c>
      <c r="E1" s="37" t="s">
        <v>0</v>
      </c>
      <c r="F1" s="37" t="s">
        <v>42</v>
      </c>
      <c r="G1" s="95" t="s">
        <v>26</v>
      </c>
      <c r="H1" s="37" t="s">
        <v>128</v>
      </c>
    </row>
    <row r="2" spans="1:16" x14ac:dyDescent="0.3">
      <c r="A2" s="38">
        <v>1</v>
      </c>
      <c r="B2" s="38">
        <v>608</v>
      </c>
      <c r="C2" s="38">
        <v>36</v>
      </c>
      <c r="D2" s="38">
        <v>2671</v>
      </c>
      <c r="E2" s="38">
        <v>50</v>
      </c>
      <c r="F2" s="34" t="s">
        <v>57</v>
      </c>
      <c r="G2" s="96">
        <v>3.5858300842096513E-3</v>
      </c>
      <c r="H2" s="34">
        <v>1</v>
      </c>
      <c r="N2" s="328" t="s">
        <v>129</v>
      </c>
      <c r="O2" s="328"/>
      <c r="P2" s="328"/>
    </row>
    <row r="3" spans="1:16" x14ac:dyDescent="0.3">
      <c r="A3" s="34">
        <v>2</v>
      </c>
      <c r="B3" s="34">
        <v>388</v>
      </c>
      <c r="C3" s="34">
        <v>18</v>
      </c>
      <c r="D3" s="34">
        <v>7374</v>
      </c>
      <c r="E3" s="34">
        <v>40</v>
      </c>
      <c r="F3" s="34" t="s">
        <v>54</v>
      </c>
      <c r="G3" s="97">
        <v>3.5985316423251534E-3</v>
      </c>
      <c r="H3" s="34">
        <v>2</v>
      </c>
      <c r="M3">
        <v>1</v>
      </c>
      <c r="N3" s="38">
        <v>15</v>
      </c>
      <c r="O3" s="12">
        <v>4.7553014405654848E-2</v>
      </c>
    </row>
    <row r="4" spans="1:16" x14ac:dyDescent="0.3">
      <c r="A4" s="34">
        <v>3</v>
      </c>
      <c r="B4" s="34">
        <v>385</v>
      </c>
      <c r="C4" s="34">
        <v>30</v>
      </c>
      <c r="D4" s="34">
        <v>4272</v>
      </c>
      <c r="E4" s="34">
        <v>26</v>
      </c>
      <c r="F4" s="34" t="s">
        <v>54</v>
      </c>
      <c r="G4" s="97">
        <v>3.832724718904168E-3</v>
      </c>
      <c r="H4" s="34">
        <v>3</v>
      </c>
      <c r="M4">
        <v>2</v>
      </c>
      <c r="N4" s="34">
        <v>29</v>
      </c>
      <c r="O4" s="75">
        <v>5.0442138715654727E-2</v>
      </c>
    </row>
    <row r="5" spans="1:16" x14ac:dyDescent="0.3">
      <c r="A5" s="34">
        <v>4</v>
      </c>
      <c r="B5" s="34">
        <v>453</v>
      </c>
      <c r="C5" s="34">
        <v>12</v>
      </c>
      <c r="D5" s="34">
        <v>2759</v>
      </c>
      <c r="E5" s="34">
        <v>34</v>
      </c>
      <c r="F5" s="34" t="s">
        <v>54</v>
      </c>
      <c r="G5" s="97">
        <v>5.836331197279887E-3</v>
      </c>
      <c r="H5" s="34">
        <v>4</v>
      </c>
      <c r="M5">
        <v>3</v>
      </c>
      <c r="N5" s="34">
        <v>46</v>
      </c>
      <c r="O5" s="75">
        <v>7.8441363068950221E-2</v>
      </c>
    </row>
    <row r="6" spans="1:16" x14ac:dyDescent="0.3">
      <c r="A6" s="34">
        <v>5</v>
      </c>
      <c r="B6" s="34">
        <v>169</v>
      </c>
      <c r="C6" s="34">
        <v>24</v>
      </c>
      <c r="D6" s="34">
        <v>3972</v>
      </c>
      <c r="E6" s="34">
        <v>25</v>
      </c>
      <c r="F6" s="34" t="s">
        <v>56</v>
      </c>
      <c r="G6" s="97">
        <v>7.0139726657433288E-3</v>
      </c>
      <c r="H6" s="34">
        <v>5</v>
      </c>
      <c r="M6">
        <v>4</v>
      </c>
      <c r="N6" s="34">
        <v>38</v>
      </c>
      <c r="O6" s="75">
        <v>8.1155663844978299E-2</v>
      </c>
    </row>
    <row r="7" spans="1:16" x14ac:dyDescent="0.3">
      <c r="A7" s="34">
        <v>6</v>
      </c>
      <c r="B7" s="34">
        <v>811</v>
      </c>
      <c r="C7" s="34">
        <v>8</v>
      </c>
      <c r="D7" s="34">
        <v>907</v>
      </c>
      <c r="E7" s="34">
        <v>26</v>
      </c>
      <c r="F7" s="34" t="s">
        <v>54</v>
      </c>
      <c r="G7" s="97">
        <v>9.0634301499046277E-3</v>
      </c>
      <c r="H7" s="34">
        <v>6</v>
      </c>
      <c r="M7">
        <v>5</v>
      </c>
      <c r="N7" s="34">
        <v>4</v>
      </c>
      <c r="O7" s="75">
        <v>9.2977411598884729E-2</v>
      </c>
    </row>
    <row r="8" spans="1:16" x14ac:dyDescent="0.3">
      <c r="A8" s="34">
        <v>7</v>
      </c>
      <c r="B8" s="34">
        <v>564</v>
      </c>
      <c r="C8" s="34">
        <v>36</v>
      </c>
      <c r="D8" s="34">
        <v>12389</v>
      </c>
      <c r="E8" s="34">
        <v>37</v>
      </c>
      <c r="F8" s="34" t="s">
        <v>55</v>
      </c>
      <c r="G8" s="97">
        <v>9.7905631152812589E-3</v>
      </c>
      <c r="H8" s="34">
        <v>7</v>
      </c>
      <c r="M8">
        <v>6</v>
      </c>
      <c r="N8" s="34">
        <v>11</v>
      </c>
      <c r="O8" s="75">
        <v>9.4294054517164994E-2</v>
      </c>
    </row>
    <row r="9" spans="1:16" x14ac:dyDescent="0.3">
      <c r="A9" s="34">
        <v>8</v>
      </c>
      <c r="B9" s="34">
        <v>802</v>
      </c>
      <c r="C9" s="34">
        <v>18</v>
      </c>
      <c r="D9" s="34">
        <v>1795</v>
      </c>
      <c r="E9" s="34">
        <v>48</v>
      </c>
      <c r="F9" s="34" t="s">
        <v>56</v>
      </c>
      <c r="G9" s="97">
        <v>9.9935306393147405E-3</v>
      </c>
      <c r="H9" s="34">
        <v>8</v>
      </c>
      <c r="M9">
        <v>7</v>
      </c>
      <c r="N9" s="34">
        <v>35</v>
      </c>
      <c r="O9" s="75">
        <v>9.6350248525934878E-2</v>
      </c>
    </row>
    <row r="10" spans="1:16" x14ac:dyDescent="0.3">
      <c r="A10" s="34">
        <v>9</v>
      </c>
      <c r="B10" s="34">
        <v>136</v>
      </c>
      <c r="C10" s="34">
        <v>12</v>
      </c>
      <c r="D10" s="34">
        <v>1240</v>
      </c>
      <c r="E10" s="34">
        <v>38</v>
      </c>
      <c r="F10" s="34" t="s">
        <v>56</v>
      </c>
      <c r="G10" s="97">
        <v>1.0088823410967507E-2</v>
      </c>
      <c r="H10" s="34">
        <v>9</v>
      </c>
      <c r="M10">
        <v>8</v>
      </c>
      <c r="N10" s="34">
        <v>23</v>
      </c>
      <c r="O10" s="75">
        <v>0.10193648999646765</v>
      </c>
    </row>
    <row r="11" spans="1:16" x14ac:dyDescent="0.3">
      <c r="A11" s="34">
        <v>10</v>
      </c>
      <c r="B11" s="34">
        <v>597</v>
      </c>
      <c r="C11" s="34">
        <v>24</v>
      </c>
      <c r="D11" s="34">
        <v>1442</v>
      </c>
      <c r="E11" s="34">
        <v>23</v>
      </c>
      <c r="F11" s="34" t="s">
        <v>57</v>
      </c>
      <c r="G11" s="97">
        <v>1.0774678430711004E-2</v>
      </c>
      <c r="H11" s="34">
        <v>10</v>
      </c>
      <c r="M11">
        <v>9</v>
      </c>
      <c r="N11" s="34">
        <v>12</v>
      </c>
      <c r="O11" s="75">
        <v>0.10903927666591107</v>
      </c>
    </row>
    <row r="12" spans="1:16" x14ac:dyDescent="0.3">
      <c r="A12" s="34">
        <v>11</v>
      </c>
      <c r="B12" s="34">
        <v>256</v>
      </c>
      <c r="C12" s="34">
        <v>60</v>
      </c>
      <c r="D12" s="34">
        <v>7418</v>
      </c>
      <c r="E12" s="34">
        <v>27</v>
      </c>
      <c r="F12" s="34" t="s">
        <v>54</v>
      </c>
      <c r="G12" s="97">
        <v>1.0780851779811806E-2</v>
      </c>
      <c r="H12" s="34">
        <v>11</v>
      </c>
      <c r="M12">
        <v>10</v>
      </c>
      <c r="N12" s="34">
        <v>34</v>
      </c>
      <c r="O12" s="75">
        <v>0.11374347096987336</v>
      </c>
    </row>
    <row r="13" spans="1:16" x14ac:dyDescent="0.3">
      <c r="A13" s="34">
        <v>12</v>
      </c>
      <c r="B13" s="34">
        <v>255</v>
      </c>
      <c r="C13" s="34">
        <v>9</v>
      </c>
      <c r="D13" s="34">
        <v>2030</v>
      </c>
      <c r="E13" s="34">
        <v>24</v>
      </c>
      <c r="F13" s="34" t="s">
        <v>54</v>
      </c>
      <c r="G13" s="97">
        <v>1.1428857555804028E-2</v>
      </c>
      <c r="H13" s="34">
        <v>12</v>
      </c>
      <c r="M13">
        <v>11</v>
      </c>
      <c r="N13" s="34">
        <v>27</v>
      </c>
      <c r="O13" s="75">
        <v>0.16110752928985794</v>
      </c>
    </row>
    <row r="14" spans="1:16" x14ac:dyDescent="0.3">
      <c r="A14" s="34">
        <v>13</v>
      </c>
      <c r="B14" s="34">
        <v>421</v>
      </c>
      <c r="C14" s="34">
        <v>15</v>
      </c>
      <c r="D14" s="34">
        <v>3186</v>
      </c>
      <c r="E14" s="34">
        <v>20</v>
      </c>
      <c r="F14" s="34" t="s">
        <v>56</v>
      </c>
      <c r="G14" s="97">
        <v>1.2295428171933631E-2</v>
      </c>
      <c r="H14" s="34">
        <v>13</v>
      </c>
      <c r="M14">
        <v>12</v>
      </c>
      <c r="N14" s="34">
        <v>9</v>
      </c>
      <c r="O14" s="75">
        <v>0.17547956912119167</v>
      </c>
    </row>
    <row r="15" spans="1:16" x14ac:dyDescent="0.3">
      <c r="A15" s="34">
        <v>14</v>
      </c>
      <c r="B15" s="34">
        <v>573</v>
      </c>
      <c r="C15" s="34">
        <v>24</v>
      </c>
      <c r="D15" s="34">
        <v>5433</v>
      </c>
      <c r="E15" s="34">
        <v>26</v>
      </c>
      <c r="F15" s="34" t="s">
        <v>56</v>
      </c>
      <c r="G15" s="97">
        <v>1.3532357131278316E-2</v>
      </c>
      <c r="H15" s="34">
        <v>14</v>
      </c>
      <c r="M15">
        <v>13</v>
      </c>
      <c r="N15" s="34">
        <v>32</v>
      </c>
      <c r="O15" s="75">
        <v>0.17571013305222705</v>
      </c>
    </row>
    <row r="16" spans="1:16" x14ac:dyDescent="0.3">
      <c r="A16" s="34">
        <v>15</v>
      </c>
      <c r="B16" s="34">
        <v>294</v>
      </c>
      <c r="C16" s="34">
        <v>42</v>
      </c>
      <c r="D16" s="34">
        <v>4796</v>
      </c>
      <c r="E16" s="34">
        <v>56</v>
      </c>
      <c r="F16" s="34" t="s">
        <v>54</v>
      </c>
      <c r="G16" s="97">
        <v>1.4318517662603059E-2</v>
      </c>
      <c r="H16" s="34">
        <v>15</v>
      </c>
      <c r="M16">
        <v>14</v>
      </c>
      <c r="N16" s="34">
        <v>18</v>
      </c>
      <c r="O16" s="75">
        <v>0.20215688310503888</v>
      </c>
    </row>
    <row r="17" spans="1:15" x14ac:dyDescent="0.3">
      <c r="A17" s="34">
        <v>16</v>
      </c>
      <c r="B17" s="34">
        <v>17</v>
      </c>
      <c r="C17" s="34">
        <v>24</v>
      </c>
      <c r="D17" s="34">
        <v>2424</v>
      </c>
      <c r="E17" s="34">
        <v>53</v>
      </c>
      <c r="F17" s="34" t="s">
        <v>54</v>
      </c>
      <c r="G17" s="97">
        <v>1.4530962206073417E-2</v>
      </c>
      <c r="H17" s="34">
        <v>16</v>
      </c>
      <c r="M17">
        <v>15</v>
      </c>
      <c r="N17" s="34">
        <v>17</v>
      </c>
      <c r="O17" s="75">
        <v>0.25237153970059256</v>
      </c>
    </row>
    <row r="18" spans="1:15" x14ac:dyDescent="0.3">
      <c r="A18" s="34">
        <v>17</v>
      </c>
      <c r="B18" s="34">
        <v>899</v>
      </c>
      <c r="C18" s="34">
        <v>15</v>
      </c>
      <c r="D18" s="34">
        <v>2186</v>
      </c>
      <c r="E18" s="34">
        <v>33</v>
      </c>
      <c r="F18" s="34" t="s">
        <v>56</v>
      </c>
      <c r="G18" s="97">
        <v>1.6308210116722233E-2</v>
      </c>
      <c r="H18" s="34">
        <v>17</v>
      </c>
      <c r="M18">
        <v>16</v>
      </c>
      <c r="N18" s="34">
        <v>49</v>
      </c>
      <c r="O18" s="75">
        <v>0.29334817884837205</v>
      </c>
    </row>
    <row r="19" spans="1:15" x14ac:dyDescent="0.3">
      <c r="A19" s="34">
        <v>18</v>
      </c>
      <c r="B19" s="34">
        <v>232</v>
      </c>
      <c r="C19" s="34">
        <v>9</v>
      </c>
      <c r="D19" s="34">
        <v>2507</v>
      </c>
      <c r="E19" s="34">
        <v>51</v>
      </c>
      <c r="F19" s="34" t="s">
        <v>54</v>
      </c>
      <c r="G19" s="97">
        <v>1.8305980416462253E-2</v>
      </c>
      <c r="H19" s="34">
        <v>18</v>
      </c>
      <c r="N19" s="34">
        <v>42</v>
      </c>
      <c r="O19" s="75">
        <v>0.33124057872286972</v>
      </c>
    </row>
    <row r="20" spans="1:15" x14ac:dyDescent="0.3">
      <c r="A20" s="34">
        <v>19</v>
      </c>
      <c r="B20" s="34">
        <v>948</v>
      </c>
      <c r="C20" s="34">
        <v>12</v>
      </c>
      <c r="D20" s="34">
        <v>2859</v>
      </c>
      <c r="E20" s="34">
        <v>38</v>
      </c>
      <c r="F20" s="34" t="s">
        <v>54</v>
      </c>
      <c r="G20" s="97">
        <v>2.0273634629438098E-2</v>
      </c>
      <c r="H20" s="34">
        <v>19</v>
      </c>
      <c r="N20" s="34">
        <v>24</v>
      </c>
      <c r="O20" s="75">
        <v>0.37582469531236684</v>
      </c>
    </row>
    <row r="21" spans="1:15" x14ac:dyDescent="0.3">
      <c r="A21" s="34">
        <v>20</v>
      </c>
      <c r="B21" s="34">
        <v>744</v>
      </c>
      <c r="C21" s="34">
        <v>24</v>
      </c>
      <c r="D21" s="34">
        <v>2483</v>
      </c>
      <c r="E21" s="34">
        <v>22</v>
      </c>
      <c r="F21" s="34" t="s">
        <v>54</v>
      </c>
      <c r="G21" s="97">
        <v>2.0381164799532558E-2</v>
      </c>
      <c r="H21" s="34">
        <v>20</v>
      </c>
      <c r="N21" s="34">
        <v>37</v>
      </c>
      <c r="O21" s="75">
        <v>0.37949110304884437</v>
      </c>
    </row>
    <row r="22" spans="1:15" x14ac:dyDescent="0.3">
      <c r="A22" s="34">
        <v>21</v>
      </c>
      <c r="B22" s="34">
        <v>671</v>
      </c>
      <c r="C22" s="34">
        <v>24</v>
      </c>
      <c r="D22" s="34">
        <v>4139</v>
      </c>
      <c r="E22" s="34">
        <v>27</v>
      </c>
      <c r="F22" s="34" t="s">
        <v>54</v>
      </c>
      <c r="G22" s="97">
        <v>2.253608328451262E-2</v>
      </c>
      <c r="H22" s="34">
        <v>21</v>
      </c>
      <c r="N22" s="34">
        <v>1</v>
      </c>
      <c r="O22" s="75">
        <v>0.44101999044024731</v>
      </c>
    </row>
    <row r="23" spans="1:15" x14ac:dyDescent="0.3">
      <c r="A23" s="34">
        <v>22</v>
      </c>
      <c r="B23" s="34">
        <v>204</v>
      </c>
      <c r="C23" s="34">
        <v>12</v>
      </c>
      <c r="D23" s="34">
        <v>902</v>
      </c>
      <c r="E23" s="34">
        <v>21</v>
      </c>
      <c r="F23" s="34" t="s">
        <v>55</v>
      </c>
      <c r="G23" s="97">
        <v>2.3384559216499068E-2</v>
      </c>
      <c r="H23" s="34">
        <v>22</v>
      </c>
      <c r="N23" s="34">
        <v>7</v>
      </c>
      <c r="O23" s="75">
        <v>0.44357532898198138</v>
      </c>
    </row>
    <row r="24" spans="1:15" x14ac:dyDescent="0.3">
      <c r="A24" s="34">
        <v>23</v>
      </c>
      <c r="B24" s="34">
        <v>718</v>
      </c>
      <c r="C24" s="34">
        <v>18</v>
      </c>
      <c r="D24" s="34">
        <v>1505</v>
      </c>
      <c r="E24" s="34">
        <v>32</v>
      </c>
      <c r="F24" s="34" t="s">
        <v>54</v>
      </c>
      <c r="G24" s="97">
        <v>2.4732790521710846E-2</v>
      </c>
      <c r="H24" s="34">
        <v>23</v>
      </c>
      <c r="N24" s="34">
        <v>40</v>
      </c>
      <c r="O24" s="75">
        <v>0.46271646747432305</v>
      </c>
    </row>
    <row r="25" spans="1:15" x14ac:dyDescent="0.3">
      <c r="A25" s="34">
        <v>24</v>
      </c>
      <c r="B25" s="34">
        <v>472</v>
      </c>
      <c r="C25" s="34">
        <v>6</v>
      </c>
      <c r="D25" s="34">
        <v>448</v>
      </c>
      <c r="E25" s="34">
        <v>23</v>
      </c>
      <c r="F25" s="34" t="s">
        <v>57</v>
      </c>
      <c r="G25" s="97">
        <v>2.5952695858391994E-2</v>
      </c>
      <c r="H25" s="34">
        <v>24</v>
      </c>
      <c r="N25" s="34">
        <v>19</v>
      </c>
      <c r="O25" s="75">
        <v>0.47971054265593849</v>
      </c>
    </row>
    <row r="26" spans="1:15" x14ac:dyDescent="0.3">
      <c r="A26" s="34">
        <v>25</v>
      </c>
      <c r="B26" s="34">
        <v>940</v>
      </c>
      <c r="C26" s="34">
        <v>24</v>
      </c>
      <c r="D26" s="34">
        <v>6842</v>
      </c>
      <c r="E26" s="34">
        <v>46</v>
      </c>
      <c r="F26" s="34" t="s">
        <v>54</v>
      </c>
      <c r="G26" s="97">
        <v>2.8563274933008698E-2</v>
      </c>
      <c r="H26" s="34">
        <v>25</v>
      </c>
      <c r="N26" s="34">
        <v>41</v>
      </c>
      <c r="O26" s="75">
        <v>0.53689260924703119</v>
      </c>
    </row>
    <row r="27" spans="1:15" x14ac:dyDescent="0.3">
      <c r="A27" s="34">
        <v>26</v>
      </c>
      <c r="B27" s="34">
        <v>577</v>
      </c>
      <c r="C27" s="34">
        <v>12</v>
      </c>
      <c r="D27" s="34">
        <v>2930</v>
      </c>
      <c r="E27" s="34">
        <v>27</v>
      </c>
      <c r="F27" s="34" t="s">
        <v>56</v>
      </c>
      <c r="G27" s="97">
        <v>2.9967259729481444E-2</v>
      </c>
      <c r="H27" s="34">
        <v>26</v>
      </c>
      <c r="N27" s="34">
        <v>2</v>
      </c>
      <c r="O27" s="75">
        <v>0.54301785571955441</v>
      </c>
    </row>
    <row r="28" spans="1:15" x14ac:dyDescent="0.3">
      <c r="A28" s="34">
        <v>27</v>
      </c>
      <c r="B28" s="34">
        <v>786</v>
      </c>
      <c r="C28" s="34">
        <v>18</v>
      </c>
      <c r="D28" s="34">
        <v>1941</v>
      </c>
      <c r="E28" s="34">
        <v>35</v>
      </c>
      <c r="F28" s="34" t="s">
        <v>54</v>
      </c>
      <c r="G28" s="97">
        <v>3.1161762020200379E-2</v>
      </c>
      <c r="H28" s="34">
        <v>27</v>
      </c>
      <c r="N28" s="34">
        <v>8</v>
      </c>
      <c r="O28" s="75">
        <v>0.58057066867024332</v>
      </c>
    </row>
    <row r="29" spans="1:15" x14ac:dyDescent="0.3">
      <c r="A29" s="34">
        <v>28</v>
      </c>
      <c r="B29" s="34">
        <v>274</v>
      </c>
      <c r="C29" s="34">
        <v>48</v>
      </c>
      <c r="D29" s="34">
        <v>3060</v>
      </c>
      <c r="E29" s="34">
        <v>28</v>
      </c>
      <c r="F29" s="34" t="s">
        <v>55</v>
      </c>
      <c r="G29" s="97">
        <v>3.1435210951159531E-2</v>
      </c>
      <c r="H29" s="34">
        <v>28</v>
      </c>
      <c r="N29" s="34">
        <v>25</v>
      </c>
      <c r="O29" s="75">
        <v>0.59184716608127508</v>
      </c>
    </row>
    <row r="30" spans="1:15" x14ac:dyDescent="0.3">
      <c r="A30" s="34">
        <v>29</v>
      </c>
      <c r="B30" s="34">
        <v>703</v>
      </c>
      <c r="C30" s="34">
        <v>24</v>
      </c>
      <c r="D30" s="34">
        <v>1377</v>
      </c>
      <c r="E30" s="34">
        <v>47</v>
      </c>
      <c r="F30" s="34" t="s">
        <v>56</v>
      </c>
      <c r="G30" s="97">
        <v>3.1472221237430098E-2</v>
      </c>
      <c r="H30" s="34">
        <v>29</v>
      </c>
      <c r="N30" s="34">
        <v>21</v>
      </c>
      <c r="O30" s="75">
        <v>0.59730880256419983</v>
      </c>
    </row>
    <row r="31" spans="1:15" x14ac:dyDescent="0.3">
      <c r="A31" s="34">
        <v>30</v>
      </c>
      <c r="B31" s="34">
        <v>340</v>
      </c>
      <c r="C31" s="34">
        <v>10</v>
      </c>
      <c r="D31" s="34">
        <v>1521</v>
      </c>
      <c r="E31" s="34">
        <v>31</v>
      </c>
      <c r="F31" s="34" t="s">
        <v>54</v>
      </c>
      <c r="G31" s="97">
        <v>3.4117172533239759E-2</v>
      </c>
      <c r="H31" s="34">
        <v>30</v>
      </c>
      <c r="N31" s="34">
        <v>48</v>
      </c>
      <c r="O31" s="75">
        <v>0.61053499054816784</v>
      </c>
    </row>
    <row r="32" spans="1:15" x14ac:dyDescent="0.3">
      <c r="A32" s="34">
        <v>31</v>
      </c>
      <c r="B32" s="34">
        <v>322</v>
      </c>
      <c r="C32" s="34">
        <v>24</v>
      </c>
      <c r="D32" s="34">
        <v>1938</v>
      </c>
      <c r="E32" s="34">
        <v>32</v>
      </c>
      <c r="F32" s="34" t="s">
        <v>55</v>
      </c>
      <c r="G32" s="97">
        <v>3.5004204944710793E-2</v>
      </c>
      <c r="H32" s="34">
        <v>31</v>
      </c>
      <c r="N32" s="34">
        <v>36</v>
      </c>
      <c r="O32" s="75">
        <v>0.62792816732295609</v>
      </c>
    </row>
    <row r="33" spans="1:15" x14ac:dyDescent="0.3">
      <c r="A33" s="34">
        <v>32</v>
      </c>
      <c r="B33" s="34">
        <v>960</v>
      </c>
      <c r="C33" s="34">
        <v>24</v>
      </c>
      <c r="D33" s="34">
        <v>3069</v>
      </c>
      <c r="E33" s="34">
        <v>30</v>
      </c>
      <c r="F33" s="34" t="s">
        <v>54</v>
      </c>
      <c r="G33" s="97">
        <v>3.7427594065115533E-2</v>
      </c>
      <c r="H33" s="34">
        <v>32</v>
      </c>
      <c r="N33" s="34">
        <v>33</v>
      </c>
      <c r="O33" s="75">
        <v>0.66655879234520621</v>
      </c>
    </row>
    <row r="34" spans="1:15" x14ac:dyDescent="0.3">
      <c r="A34" s="34">
        <v>33</v>
      </c>
      <c r="B34" s="34">
        <v>176</v>
      </c>
      <c r="C34" s="34">
        <v>30</v>
      </c>
      <c r="D34" s="34">
        <v>7485</v>
      </c>
      <c r="E34" s="34">
        <v>53</v>
      </c>
      <c r="F34" s="34" t="s">
        <v>57</v>
      </c>
      <c r="G34" s="97">
        <v>4.165244065635143E-2</v>
      </c>
      <c r="H34" s="34">
        <v>33</v>
      </c>
      <c r="N34" s="34">
        <v>14</v>
      </c>
      <c r="O34" s="75">
        <v>0.66830573980359964</v>
      </c>
    </row>
    <row r="35" spans="1:15" x14ac:dyDescent="0.3">
      <c r="A35" s="34">
        <v>34</v>
      </c>
      <c r="B35" s="34">
        <v>360</v>
      </c>
      <c r="C35" s="34">
        <v>30</v>
      </c>
      <c r="D35" s="34">
        <v>2406</v>
      </c>
      <c r="E35" s="34">
        <v>23</v>
      </c>
      <c r="F35" s="34" t="s">
        <v>57</v>
      </c>
      <c r="G35" s="97">
        <v>4.3550030888752089E-2</v>
      </c>
      <c r="H35" s="34">
        <v>34</v>
      </c>
      <c r="N35" s="34">
        <v>31</v>
      </c>
      <c r="O35" s="75">
        <v>0.67687721995493555</v>
      </c>
    </row>
    <row r="36" spans="1:15" x14ac:dyDescent="0.3">
      <c r="A36" s="34">
        <v>35</v>
      </c>
      <c r="B36" s="34">
        <v>944</v>
      </c>
      <c r="C36" s="34">
        <v>4</v>
      </c>
      <c r="D36" s="34">
        <v>1455</v>
      </c>
      <c r="E36" s="34">
        <v>42</v>
      </c>
      <c r="F36" s="34" t="s">
        <v>54</v>
      </c>
      <c r="G36" s="97">
        <v>4.444992682429949E-2</v>
      </c>
      <c r="H36" s="34">
        <v>35</v>
      </c>
      <c r="N36" s="34">
        <v>26</v>
      </c>
      <c r="O36" s="75">
        <v>0.67763866425504848</v>
      </c>
    </row>
    <row r="37" spans="1:15" x14ac:dyDescent="0.3">
      <c r="A37" s="34">
        <v>36</v>
      </c>
      <c r="B37" s="34">
        <v>743</v>
      </c>
      <c r="C37" s="34">
        <v>21</v>
      </c>
      <c r="D37" s="34">
        <v>3160</v>
      </c>
      <c r="E37" s="34">
        <v>41</v>
      </c>
      <c r="F37" s="34" t="s">
        <v>54</v>
      </c>
      <c r="G37" s="97">
        <v>4.6081803070696203E-2</v>
      </c>
      <c r="H37" s="34">
        <v>36</v>
      </c>
      <c r="N37" s="34">
        <v>39</v>
      </c>
      <c r="O37" s="75">
        <v>0.6804113669817522</v>
      </c>
    </row>
    <row r="38" spans="1:15" x14ac:dyDescent="0.3">
      <c r="A38" s="34">
        <v>37</v>
      </c>
      <c r="B38" s="34">
        <v>412</v>
      </c>
      <c r="C38" s="34">
        <v>33</v>
      </c>
      <c r="D38" s="34">
        <v>7253</v>
      </c>
      <c r="E38" s="34">
        <v>35</v>
      </c>
      <c r="F38" s="34" t="s">
        <v>54</v>
      </c>
      <c r="G38" s="97">
        <v>4.6261918715655215E-2</v>
      </c>
      <c r="H38" s="34">
        <v>37</v>
      </c>
      <c r="N38" s="34">
        <v>47</v>
      </c>
      <c r="O38" s="75">
        <v>0.69059834470905079</v>
      </c>
    </row>
    <row r="39" spans="1:15" x14ac:dyDescent="0.3">
      <c r="A39" s="34">
        <v>38</v>
      </c>
      <c r="B39" s="34">
        <v>224</v>
      </c>
      <c r="C39" s="34">
        <v>24</v>
      </c>
      <c r="D39" s="34">
        <v>2978</v>
      </c>
      <c r="E39" s="34">
        <v>32</v>
      </c>
      <c r="F39" s="34" t="s">
        <v>54</v>
      </c>
      <c r="G39" s="97">
        <v>4.8202992574766124E-2</v>
      </c>
      <c r="H39" s="34">
        <v>38</v>
      </c>
      <c r="N39" s="34">
        <v>10</v>
      </c>
      <c r="O39" s="75">
        <v>0.70513290071924839</v>
      </c>
    </row>
    <row r="40" spans="1:15" x14ac:dyDescent="0.3">
      <c r="A40" s="34">
        <v>39</v>
      </c>
      <c r="B40" s="34">
        <v>803</v>
      </c>
      <c r="C40" s="34">
        <v>20</v>
      </c>
      <c r="D40" s="34">
        <v>4272</v>
      </c>
      <c r="E40" s="34">
        <v>24</v>
      </c>
      <c r="F40" s="34" t="s">
        <v>56</v>
      </c>
      <c r="G40" s="97">
        <v>4.8544675698483641E-2</v>
      </c>
      <c r="H40" s="34">
        <v>39</v>
      </c>
      <c r="N40" s="34">
        <v>22</v>
      </c>
      <c r="O40" s="75">
        <v>0.70623508301053572</v>
      </c>
    </row>
    <row r="41" spans="1:15" x14ac:dyDescent="0.3">
      <c r="A41" s="34">
        <v>40</v>
      </c>
      <c r="B41" s="34">
        <v>962</v>
      </c>
      <c r="C41" s="34">
        <v>21</v>
      </c>
      <c r="D41" s="34">
        <v>2353</v>
      </c>
      <c r="E41" s="34">
        <v>47</v>
      </c>
      <c r="F41" s="34" t="s">
        <v>54</v>
      </c>
      <c r="G41" s="97">
        <v>5.0034255145480877E-2</v>
      </c>
      <c r="H41" s="34">
        <v>40</v>
      </c>
      <c r="N41" s="34">
        <v>44</v>
      </c>
      <c r="O41" s="75">
        <v>0.7253475607622174</v>
      </c>
    </row>
    <row r="42" spans="1:15" x14ac:dyDescent="0.3">
      <c r="A42" s="34">
        <v>41</v>
      </c>
      <c r="B42" s="34">
        <v>654</v>
      </c>
      <c r="C42" s="34">
        <v>36</v>
      </c>
      <c r="D42" s="34">
        <v>8086</v>
      </c>
      <c r="E42" s="34">
        <v>42</v>
      </c>
      <c r="F42" s="34" t="s">
        <v>55</v>
      </c>
      <c r="G42" s="97">
        <v>5.3657912602229518E-2</v>
      </c>
      <c r="H42" s="34">
        <v>41</v>
      </c>
      <c r="N42" s="34">
        <v>28</v>
      </c>
      <c r="O42" s="75">
        <v>0.76445841357616906</v>
      </c>
    </row>
    <row r="43" spans="1:15" x14ac:dyDescent="0.3">
      <c r="A43" s="34">
        <v>42</v>
      </c>
      <c r="B43" s="34">
        <v>559</v>
      </c>
      <c r="C43" s="34">
        <v>24</v>
      </c>
      <c r="D43" s="34">
        <v>3552</v>
      </c>
      <c r="E43" s="34">
        <v>27</v>
      </c>
      <c r="F43" s="34" t="s">
        <v>55</v>
      </c>
      <c r="G43" s="97">
        <v>5.409044857130374E-2</v>
      </c>
      <c r="H43" s="34">
        <v>42</v>
      </c>
      <c r="N43" s="34">
        <v>50</v>
      </c>
      <c r="O43" s="75">
        <v>0.77483084099732202</v>
      </c>
    </row>
    <row r="44" spans="1:15" x14ac:dyDescent="0.3">
      <c r="A44" s="34">
        <v>43</v>
      </c>
      <c r="B44" s="34">
        <v>747</v>
      </c>
      <c r="C44" s="34">
        <v>15</v>
      </c>
      <c r="D44" s="34">
        <v>2511</v>
      </c>
      <c r="E44" s="34">
        <v>23</v>
      </c>
      <c r="F44" s="34" t="s">
        <v>56</v>
      </c>
      <c r="G44" s="97">
        <v>5.4695438478967739E-2</v>
      </c>
      <c r="H44" s="34">
        <v>43</v>
      </c>
      <c r="N44" s="34">
        <v>5</v>
      </c>
      <c r="O44" s="75">
        <v>0.80090308081766537</v>
      </c>
    </row>
    <row r="45" spans="1:15" x14ac:dyDescent="0.3">
      <c r="A45" s="34">
        <v>44</v>
      </c>
      <c r="B45" s="34">
        <v>789</v>
      </c>
      <c r="C45" s="34">
        <v>48</v>
      </c>
      <c r="D45" s="34">
        <v>6224</v>
      </c>
      <c r="E45" s="34">
        <v>50</v>
      </c>
      <c r="F45" s="34" t="s">
        <v>55</v>
      </c>
      <c r="G45" s="97">
        <v>5.5761385039655997E-2</v>
      </c>
      <c r="H45" s="34">
        <v>44</v>
      </c>
      <c r="N45" s="34">
        <v>13</v>
      </c>
      <c r="O45" s="75">
        <v>0.8469748252768261</v>
      </c>
    </row>
    <row r="46" spans="1:15" x14ac:dyDescent="0.3">
      <c r="A46" s="34">
        <v>45</v>
      </c>
      <c r="B46" s="34">
        <v>793</v>
      </c>
      <c r="C46" s="34">
        <v>6</v>
      </c>
      <c r="D46" s="34">
        <v>1221</v>
      </c>
      <c r="E46" s="34">
        <v>27</v>
      </c>
      <c r="F46" s="34" t="s">
        <v>54</v>
      </c>
      <c r="G46" s="97">
        <v>5.6366788585405558E-2</v>
      </c>
      <c r="H46" s="34">
        <v>45</v>
      </c>
      <c r="N46" s="34">
        <v>20</v>
      </c>
      <c r="O46" s="75">
        <v>0.85123800672125349</v>
      </c>
    </row>
    <row r="47" spans="1:15" x14ac:dyDescent="0.3">
      <c r="A47" s="34">
        <v>46</v>
      </c>
      <c r="B47" s="34">
        <v>846</v>
      </c>
      <c r="C47" s="34">
        <v>21</v>
      </c>
      <c r="D47" s="34">
        <v>3976</v>
      </c>
      <c r="E47" s="34">
        <v>35</v>
      </c>
      <c r="F47" s="34" t="s">
        <v>54</v>
      </c>
      <c r="G47" s="97">
        <v>5.7558175376475118E-2</v>
      </c>
      <c r="H47" s="34">
        <v>46</v>
      </c>
      <c r="N47" s="34">
        <v>43</v>
      </c>
      <c r="O47" s="75">
        <v>0.88107565754631423</v>
      </c>
    </row>
    <row r="48" spans="1:15" x14ac:dyDescent="0.3">
      <c r="A48" s="34">
        <v>47</v>
      </c>
      <c r="B48" s="34">
        <v>749</v>
      </c>
      <c r="C48" s="34">
        <v>21</v>
      </c>
      <c r="D48" s="34">
        <v>5248</v>
      </c>
      <c r="E48" s="34">
        <v>26</v>
      </c>
      <c r="F48" s="34" t="s">
        <v>54</v>
      </c>
      <c r="G48" s="97">
        <v>5.8667691366267483E-2</v>
      </c>
      <c r="H48" s="34">
        <v>47</v>
      </c>
      <c r="N48" s="34">
        <v>16</v>
      </c>
      <c r="O48" s="75">
        <v>0.88261878208836531</v>
      </c>
    </row>
    <row r="49" spans="1:15" x14ac:dyDescent="0.3">
      <c r="A49" s="34">
        <v>48</v>
      </c>
      <c r="B49" s="34">
        <v>315</v>
      </c>
      <c r="C49" s="34">
        <v>4</v>
      </c>
      <c r="D49" s="34">
        <v>1494</v>
      </c>
      <c r="E49" s="34">
        <v>29</v>
      </c>
      <c r="F49" s="34" t="s">
        <v>54</v>
      </c>
      <c r="G49" s="97">
        <v>5.8844637421808788E-2</v>
      </c>
      <c r="H49" s="34">
        <v>48</v>
      </c>
      <c r="N49" s="34">
        <v>6</v>
      </c>
      <c r="O49" s="75">
        <v>0.90306144068203564</v>
      </c>
    </row>
    <row r="50" spans="1:15" x14ac:dyDescent="0.3">
      <c r="A50" s="34">
        <v>49</v>
      </c>
      <c r="B50" s="34">
        <v>650</v>
      </c>
      <c r="C50" s="34">
        <v>12</v>
      </c>
      <c r="D50" s="34">
        <v>684</v>
      </c>
      <c r="E50" s="34">
        <v>40</v>
      </c>
      <c r="F50" s="34" t="s">
        <v>55</v>
      </c>
      <c r="G50" s="97">
        <v>5.8943064533900524E-2</v>
      </c>
      <c r="H50" s="34">
        <v>49</v>
      </c>
      <c r="N50" s="34">
        <v>3</v>
      </c>
      <c r="O50" s="75">
        <v>0.94414424549674003</v>
      </c>
    </row>
    <row r="51" spans="1:15" x14ac:dyDescent="0.3">
      <c r="A51" s="34">
        <v>50</v>
      </c>
      <c r="B51" s="34">
        <v>371</v>
      </c>
      <c r="C51" s="34">
        <v>36</v>
      </c>
      <c r="D51" s="34">
        <v>3079</v>
      </c>
      <c r="E51" s="34">
        <v>36</v>
      </c>
      <c r="F51" s="34" t="s">
        <v>54</v>
      </c>
      <c r="G51" s="97">
        <v>5.9338750465657397E-2</v>
      </c>
      <c r="H51" s="34">
        <v>50</v>
      </c>
      <c r="N51" s="34">
        <v>45</v>
      </c>
      <c r="O51" s="75">
        <v>0.96733498052166456</v>
      </c>
    </row>
    <row r="52" spans="1:15" x14ac:dyDescent="0.3">
      <c r="A52" s="34">
        <v>51</v>
      </c>
      <c r="B52" s="34">
        <v>277</v>
      </c>
      <c r="C52" s="34">
        <v>18</v>
      </c>
      <c r="D52" s="34">
        <v>2404</v>
      </c>
      <c r="E52" s="34">
        <v>26</v>
      </c>
      <c r="F52" s="34" t="s">
        <v>56</v>
      </c>
      <c r="G52" s="97">
        <v>6.0009862307836781E-2</v>
      </c>
      <c r="H52" s="34">
        <v>1</v>
      </c>
      <c r="N52" s="35">
        <v>30</v>
      </c>
      <c r="O52" s="13">
        <v>0.99148215776673398</v>
      </c>
    </row>
    <row r="53" spans="1:15" x14ac:dyDescent="0.3">
      <c r="A53" s="34">
        <v>52</v>
      </c>
      <c r="B53" s="34">
        <v>275</v>
      </c>
      <c r="C53" s="34">
        <v>30</v>
      </c>
      <c r="D53" s="34">
        <v>11998</v>
      </c>
      <c r="E53" s="34">
        <v>34</v>
      </c>
      <c r="F53" s="34" t="s">
        <v>55</v>
      </c>
      <c r="G53" s="97">
        <v>6.0175866174003168E-2</v>
      </c>
      <c r="H53" s="34">
        <v>2</v>
      </c>
    </row>
    <row r="54" spans="1:15" x14ac:dyDescent="0.3">
      <c r="A54" s="34">
        <v>53</v>
      </c>
      <c r="B54" s="34">
        <v>898</v>
      </c>
      <c r="C54" s="34">
        <v>12</v>
      </c>
      <c r="D54" s="34">
        <v>1592</v>
      </c>
      <c r="E54" s="34">
        <v>35</v>
      </c>
      <c r="F54" s="34" t="s">
        <v>56</v>
      </c>
      <c r="G54" s="97">
        <v>6.0515900015077673E-2</v>
      </c>
      <c r="H54" s="34">
        <v>3</v>
      </c>
    </row>
    <row r="55" spans="1:15" x14ac:dyDescent="0.3">
      <c r="A55" s="34">
        <v>54</v>
      </c>
      <c r="B55" s="34">
        <v>934</v>
      </c>
      <c r="C55" s="34">
        <v>12</v>
      </c>
      <c r="D55" s="34">
        <v>522</v>
      </c>
      <c r="E55" s="34">
        <v>42</v>
      </c>
      <c r="F55" s="34" t="s">
        <v>54</v>
      </c>
      <c r="G55" s="97">
        <v>6.0678576663444672E-2</v>
      </c>
      <c r="H55" s="34">
        <v>4</v>
      </c>
    </row>
    <row r="56" spans="1:15" x14ac:dyDescent="0.3">
      <c r="A56" s="34">
        <v>55</v>
      </c>
      <c r="B56" s="34">
        <v>762</v>
      </c>
      <c r="C56" s="34">
        <v>18</v>
      </c>
      <c r="D56" s="34">
        <v>2124</v>
      </c>
      <c r="E56" s="34">
        <v>24</v>
      </c>
      <c r="F56" s="34" t="s">
        <v>57</v>
      </c>
      <c r="G56" s="97">
        <v>6.0773678002462583E-2</v>
      </c>
      <c r="H56" s="34">
        <v>5</v>
      </c>
    </row>
    <row r="57" spans="1:15" x14ac:dyDescent="0.3">
      <c r="A57" s="34">
        <v>56</v>
      </c>
      <c r="B57" s="34">
        <v>278</v>
      </c>
      <c r="C57" s="34">
        <v>12</v>
      </c>
      <c r="D57" s="34">
        <v>1262</v>
      </c>
      <c r="E57" s="34">
        <v>49</v>
      </c>
      <c r="F57" s="34" t="s">
        <v>54</v>
      </c>
      <c r="G57" s="97">
        <v>6.2136001460980528E-2</v>
      </c>
      <c r="H57" s="34">
        <v>6</v>
      </c>
    </row>
    <row r="58" spans="1:15" x14ac:dyDescent="0.3">
      <c r="A58" s="34">
        <v>57</v>
      </c>
      <c r="B58" s="34">
        <v>27</v>
      </c>
      <c r="C58" s="34">
        <v>6</v>
      </c>
      <c r="D58" s="34">
        <v>426</v>
      </c>
      <c r="E58" s="34">
        <v>39</v>
      </c>
      <c r="F58" s="34" t="s">
        <v>54</v>
      </c>
      <c r="G58" s="97">
        <v>6.2460566957396768E-2</v>
      </c>
      <c r="H58" s="34">
        <v>7</v>
      </c>
    </row>
    <row r="59" spans="1:15" x14ac:dyDescent="0.3">
      <c r="A59" s="34">
        <v>58</v>
      </c>
      <c r="B59" s="34">
        <v>327</v>
      </c>
      <c r="C59" s="34">
        <v>12</v>
      </c>
      <c r="D59" s="34">
        <v>5801</v>
      </c>
      <c r="E59" s="34">
        <v>49</v>
      </c>
      <c r="F59" s="34" t="s">
        <v>54</v>
      </c>
      <c r="G59" s="97">
        <v>6.2908328780868605E-2</v>
      </c>
      <c r="H59" s="34">
        <v>8</v>
      </c>
    </row>
    <row r="60" spans="1:15" x14ac:dyDescent="0.3">
      <c r="A60" s="34">
        <v>59</v>
      </c>
      <c r="B60" s="34">
        <v>961</v>
      </c>
      <c r="C60" s="34">
        <v>6</v>
      </c>
      <c r="D60" s="34">
        <v>1740</v>
      </c>
      <c r="E60" s="34">
        <v>30</v>
      </c>
      <c r="F60" s="34" t="s">
        <v>54</v>
      </c>
      <c r="G60" s="97">
        <v>6.34540205948253E-2</v>
      </c>
      <c r="H60" s="34">
        <v>9</v>
      </c>
    </row>
    <row r="61" spans="1:15" x14ac:dyDescent="0.3">
      <c r="A61" s="34">
        <v>60</v>
      </c>
      <c r="B61" s="34">
        <v>118</v>
      </c>
      <c r="C61" s="34">
        <v>10</v>
      </c>
      <c r="D61" s="34">
        <v>2132</v>
      </c>
      <c r="E61" s="34">
        <v>27</v>
      </c>
      <c r="F61" s="34" t="s">
        <v>56</v>
      </c>
      <c r="G61" s="97">
        <v>6.3770004567457295E-2</v>
      </c>
      <c r="H61" s="34">
        <v>10</v>
      </c>
    </row>
    <row r="62" spans="1:15" x14ac:dyDescent="0.3">
      <c r="A62" s="34">
        <v>61</v>
      </c>
      <c r="B62" s="34">
        <v>402</v>
      </c>
      <c r="C62" s="34">
        <v>18</v>
      </c>
      <c r="D62" s="34">
        <v>1887</v>
      </c>
      <c r="E62" s="34">
        <v>28</v>
      </c>
      <c r="F62" s="34" t="s">
        <v>54</v>
      </c>
      <c r="G62" s="97">
        <v>6.3858870073089546E-2</v>
      </c>
      <c r="H62" s="34">
        <v>11</v>
      </c>
    </row>
    <row r="63" spans="1:15" x14ac:dyDescent="0.3">
      <c r="A63" s="34">
        <v>62</v>
      </c>
      <c r="B63" s="34">
        <v>391</v>
      </c>
      <c r="C63" s="34">
        <v>18</v>
      </c>
      <c r="D63" s="34">
        <v>1820</v>
      </c>
      <c r="E63" s="34">
        <v>30</v>
      </c>
      <c r="F63" s="34" t="s">
        <v>54</v>
      </c>
      <c r="G63" s="97">
        <v>6.4908087306999152E-2</v>
      </c>
      <c r="H63" s="34">
        <v>12</v>
      </c>
    </row>
    <row r="64" spans="1:15" x14ac:dyDescent="0.3">
      <c r="A64" s="34">
        <v>63</v>
      </c>
      <c r="B64" s="34">
        <v>95</v>
      </c>
      <c r="C64" s="34">
        <v>12</v>
      </c>
      <c r="D64" s="34">
        <v>1318</v>
      </c>
      <c r="E64" s="34">
        <v>54</v>
      </c>
      <c r="F64" s="34" t="s">
        <v>54</v>
      </c>
      <c r="G64" s="97">
        <v>6.6693446062777051E-2</v>
      </c>
      <c r="H64" s="34">
        <v>13</v>
      </c>
    </row>
    <row r="65" spans="1:8" x14ac:dyDescent="0.3">
      <c r="A65" s="34">
        <v>64</v>
      </c>
      <c r="B65" s="34">
        <v>464</v>
      </c>
      <c r="C65" s="34">
        <v>12</v>
      </c>
      <c r="D65" s="34">
        <v>754</v>
      </c>
      <c r="E65" s="34">
        <v>38</v>
      </c>
      <c r="F65" s="34" t="s">
        <v>54</v>
      </c>
      <c r="G65" s="97">
        <v>6.879925098187889E-2</v>
      </c>
      <c r="H65" s="34">
        <v>14</v>
      </c>
    </row>
    <row r="66" spans="1:8" x14ac:dyDescent="0.3">
      <c r="A66" s="34">
        <v>65</v>
      </c>
      <c r="B66" s="34">
        <v>856</v>
      </c>
      <c r="C66" s="34">
        <v>24</v>
      </c>
      <c r="D66" s="34">
        <v>1474</v>
      </c>
      <c r="E66" s="34">
        <v>33</v>
      </c>
      <c r="F66" s="34" t="s">
        <v>54</v>
      </c>
      <c r="G66" s="97">
        <v>6.973786806878679E-2</v>
      </c>
      <c r="H66" s="34">
        <v>15</v>
      </c>
    </row>
    <row r="67" spans="1:8" x14ac:dyDescent="0.3">
      <c r="A67" s="34">
        <v>66</v>
      </c>
      <c r="B67" s="34">
        <v>343</v>
      </c>
      <c r="C67" s="34">
        <v>18</v>
      </c>
      <c r="D67" s="34">
        <v>3213</v>
      </c>
      <c r="E67" s="34">
        <v>25</v>
      </c>
      <c r="F67" s="34" t="s">
        <v>54</v>
      </c>
      <c r="G67" s="97">
        <v>7.0052601275883641E-2</v>
      </c>
      <c r="H67" s="34">
        <v>16</v>
      </c>
    </row>
    <row r="68" spans="1:8" x14ac:dyDescent="0.3">
      <c r="A68" s="34">
        <v>67</v>
      </c>
      <c r="B68" s="34">
        <v>364</v>
      </c>
      <c r="C68" s="34">
        <v>6</v>
      </c>
      <c r="D68" s="34">
        <v>1766</v>
      </c>
      <c r="E68" s="34">
        <v>21</v>
      </c>
      <c r="F68" s="34" t="s">
        <v>54</v>
      </c>
      <c r="G68" s="97">
        <v>7.0882039440061217E-2</v>
      </c>
      <c r="H68" s="34">
        <v>17</v>
      </c>
    </row>
    <row r="69" spans="1:8" x14ac:dyDescent="0.3">
      <c r="A69" s="34">
        <v>68</v>
      </c>
      <c r="B69" s="34">
        <v>463</v>
      </c>
      <c r="C69" s="34">
        <v>12</v>
      </c>
      <c r="D69" s="34">
        <v>3017</v>
      </c>
      <c r="E69" s="34">
        <v>34</v>
      </c>
      <c r="F69" s="34" t="s">
        <v>56</v>
      </c>
      <c r="G69" s="97">
        <v>7.089432258042172E-2</v>
      </c>
      <c r="H69" s="34">
        <v>18</v>
      </c>
    </row>
    <row r="70" spans="1:8" x14ac:dyDescent="0.3">
      <c r="A70" s="34">
        <v>69</v>
      </c>
      <c r="B70" s="34">
        <v>790</v>
      </c>
      <c r="C70" s="34">
        <v>40</v>
      </c>
      <c r="D70" s="34">
        <v>5998</v>
      </c>
      <c r="E70" s="34">
        <v>27</v>
      </c>
      <c r="F70" s="34" t="s">
        <v>55</v>
      </c>
      <c r="G70" s="97">
        <v>7.0945562238505344E-2</v>
      </c>
      <c r="H70" s="34">
        <v>19</v>
      </c>
    </row>
    <row r="71" spans="1:8" x14ac:dyDescent="0.3">
      <c r="A71" s="34">
        <v>70</v>
      </c>
      <c r="B71" s="34">
        <v>81</v>
      </c>
      <c r="C71" s="34">
        <v>24</v>
      </c>
      <c r="D71" s="34">
        <v>5943</v>
      </c>
      <c r="E71" s="34">
        <v>44</v>
      </c>
      <c r="F71" s="34" t="s">
        <v>57</v>
      </c>
      <c r="G71" s="97">
        <v>7.1650830423418799E-2</v>
      </c>
      <c r="H71" s="34">
        <v>20</v>
      </c>
    </row>
    <row r="72" spans="1:8" x14ac:dyDescent="0.3">
      <c r="A72" s="34">
        <v>71</v>
      </c>
      <c r="B72" s="34">
        <v>735</v>
      </c>
      <c r="C72" s="34">
        <v>4</v>
      </c>
      <c r="D72" s="34">
        <v>3380</v>
      </c>
      <c r="E72" s="34">
        <v>37</v>
      </c>
      <c r="F72" s="34" t="s">
        <v>56</v>
      </c>
      <c r="G72" s="97">
        <v>7.2855240053243397E-2</v>
      </c>
      <c r="H72" s="34">
        <v>21</v>
      </c>
    </row>
    <row r="73" spans="1:8" x14ac:dyDescent="0.3">
      <c r="A73" s="34">
        <v>72</v>
      </c>
      <c r="B73" s="34">
        <v>857</v>
      </c>
      <c r="C73" s="34">
        <v>10</v>
      </c>
      <c r="D73" s="34">
        <v>894</v>
      </c>
      <c r="E73" s="34">
        <v>40</v>
      </c>
      <c r="F73" s="34" t="s">
        <v>56</v>
      </c>
      <c r="G73" s="97">
        <v>7.5201292844618628E-2</v>
      </c>
      <c r="H73" s="34">
        <v>22</v>
      </c>
    </row>
    <row r="74" spans="1:8" x14ac:dyDescent="0.3">
      <c r="A74" s="34">
        <v>73</v>
      </c>
      <c r="B74" s="34">
        <v>855</v>
      </c>
      <c r="C74" s="34">
        <v>36</v>
      </c>
      <c r="D74" s="34">
        <v>10875</v>
      </c>
      <c r="E74" s="34">
        <v>45</v>
      </c>
      <c r="F74" s="34" t="s">
        <v>54</v>
      </c>
      <c r="G74" s="97">
        <v>7.6727094282787678E-2</v>
      </c>
      <c r="H74" s="34">
        <v>23</v>
      </c>
    </row>
    <row r="75" spans="1:8" x14ac:dyDescent="0.3">
      <c r="A75" s="34">
        <v>74</v>
      </c>
      <c r="B75" s="34">
        <v>609</v>
      </c>
      <c r="C75" s="34">
        <v>18</v>
      </c>
      <c r="D75" s="34">
        <v>2051</v>
      </c>
      <c r="E75" s="34">
        <v>33</v>
      </c>
      <c r="F75" s="34" t="s">
        <v>54</v>
      </c>
      <c r="G75" s="97">
        <v>7.7963106873133681E-2</v>
      </c>
      <c r="H75" s="34">
        <v>24</v>
      </c>
    </row>
    <row r="76" spans="1:8" x14ac:dyDescent="0.3">
      <c r="A76" s="34">
        <v>75</v>
      </c>
      <c r="B76" s="34">
        <v>435</v>
      </c>
      <c r="C76" s="34">
        <v>9</v>
      </c>
      <c r="D76" s="34">
        <v>2136</v>
      </c>
      <c r="E76" s="34">
        <v>25</v>
      </c>
      <c r="F76" s="34" t="s">
        <v>54</v>
      </c>
      <c r="G76" s="97">
        <v>7.8727052783577944E-2</v>
      </c>
      <c r="H76" s="34">
        <v>25</v>
      </c>
    </row>
    <row r="77" spans="1:8" x14ac:dyDescent="0.3">
      <c r="A77" s="34">
        <v>76</v>
      </c>
      <c r="B77" s="34">
        <v>742</v>
      </c>
      <c r="C77" s="34">
        <v>10</v>
      </c>
      <c r="D77" s="34">
        <v>1048</v>
      </c>
      <c r="E77" s="34">
        <v>23</v>
      </c>
      <c r="F77" s="34" t="s">
        <v>54</v>
      </c>
      <c r="G77" s="97">
        <v>7.888636583887465E-2</v>
      </c>
      <c r="H77" s="34">
        <v>26</v>
      </c>
    </row>
    <row r="78" spans="1:8" x14ac:dyDescent="0.3">
      <c r="A78" s="34">
        <v>77</v>
      </c>
      <c r="B78" s="34">
        <v>980</v>
      </c>
      <c r="C78" s="34">
        <v>15</v>
      </c>
      <c r="D78" s="34">
        <v>1264</v>
      </c>
      <c r="E78" s="34">
        <v>25</v>
      </c>
      <c r="F78" s="34" t="s">
        <v>55</v>
      </c>
      <c r="G78" s="97">
        <v>7.8919111321996804E-2</v>
      </c>
      <c r="H78" s="34">
        <v>27</v>
      </c>
    </row>
    <row r="79" spans="1:8" x14ac:dyDescent="0.3">
      <c r="A79" s="34">
        <v>78</v>
      </c>
      <c r="B79" s="34">
        <v>139</v>
      </c>
      <c r="C79" s="34">
        <v>15</v>
      </c>
      <c r="D79" s="34">
        <v>2728</v>
      </c>
      <c r="E79" s="34">
        <v>35</v>
      </c>
      <c r="F79" s="34" t="s">
        <v>54</v>
      </c>
      <c r="G79" s="97">
        <v>7.9149771764958521E-2</v>
      </c>
      <c r="H79" s="34">
        <v>28</v>
      </c>
    </row>
    <row r="80" spans="1:8" x14ac:dyDescent="0.3">
      <c r="A80" s="34">
        <v>79</v>
      </c>
      <c r="B80" s="34">
        <v>2</v>
      </c>
      <c r="C80" s="34">
        <v>48</v>
      </c>
      <c r="D80" s="34">
        <v>5951</v>
      </c>
      <c r="E80" s="34">
        <v>22</v>
      </c>
      <c r="F80" s="34" t="s">
        <v>57</v>
      </c>
      <c r="G80" s="97">
        <v>7.9592169655828271E-2</v>
      </c>
      <c r="H80" s="34">
        <v>29</v>
      </c>
    </row>
    <row r="81" spans="1:8" x14ac:dyDescent="0.3">
      <c r="A81" s="34">
        <v>80</v>
      </c>
      <c r="B81" s="34">
        <v>384</v>
      </c>
      <c r="C81" s="34">
        <v>12</v>
      </c>
      <c r="D81" s="34">
        <v>1330</v>
      </c>
      <c r="E81" s="34">
        <v>26</v>
      </c>
      <c r="F81" s="34" t="s">
        <v>54</v>
      </c>
      <c r="G81" s="97">
        <v>7.9671334092736523E-2</v>
      </c>
      <c r="H81" s="34">
        <v>30</v>
      </c>
    </row>
    <row r="82" spans="1:8" x14ac:dyDescent="0.3">
      <c r="A82" s="34">
        <v>81</v>
      </c>
      <c r="B82" s="34">
        <v>741</v>
      </c>
      <c r="C82" s="34">
        <v>24</v>
      </c>
      <c r="D82" s="34">
        <v>2325</v>
      </c>
      <c r="E82" s="34">
        <v>32</v>
      </c>
      <c r="F82" s="34" t="s">
        <v>54</v>
      </c>
      <c r="G82" s="97">
        <v>8.0381387734396514E-2</v>
      </c>
      <c r="H82" s="34">
        <v>31</v>
      </c>
    </row>
    <row r="83" spans="1:8" x14ac:dyDescent="0.3">
      <c r="A83" s="34">
        <v>82</v>
      </c>
      <c r="B83" s="34">
        <v>451</v>
      </c>
      <c r="C83" s="34">
        <v>36</v>
      </c>
      <c r="D83" s="34">
        <v>11054</v>
      </c>
      <c r="E83" s="34">
        <v>30</v>
      </c>
      <c r="F83" s="34" t="s">
        <v>54</v>
      </c>
      <c r="G83" s="97">
        <v>8.100986426550405E-2</v>
      </c>
      <c r="H83" s="34">
        <v>32</v>
      </c>
    </row>
    <row r="84" spans="1:8" x14ac:dyDescent="0.3">
      <c r="A84" s="34">
        <v>83</v>
      </c>
      <c r="B84" s="34">
        <v>681</v>
      </c>
      <c r="C84" s="34">
        <v>6</v>
      </c>
      <c r="D84" s="34">
        <v>1538</v>
      </c>
      <c r="E84" s="34">
        <v>56</v>
      </c>
      <c r="F84" s="34" t="s">
        <v>56</v>
      </c>
      <c r="G84" s="97">
        <v>8.1802434962283566E-2</v>
      </c>
      <c r="H84" s="34">
        <v>33</v>
      </c>
    </row>
    <row r="85" spans="1:8" x14ac:dyDescent="0.3">
      <c r="A85" s="34">
        <v>84</v>
      </c>
      <c r="B85" s="34">
        <v>13</v>
      </c>
      <c r="C85" s="34">
        <v>12</v>
      </c>
      <c r="D85" s="34">
        <v>1567</v>
      </c>
      <c r="E85" s="34">
        <v>22</v>
      </c>
      <c r="F85" s="34" t="s">
        <v>56</v>
      </c>
      <c r="G85" s="97">
        <v>8.1808219779813673E-2</v>
      </c>
      <c r="H85" s="34">
        <v>34</v>
      </c>
    </row>
    <row r="86" spans="1:8" x14ac:dyDescent="0.3">
      <c r="A86" s="34">
        <v>85</v>
      </c>
      <c r="B86" s="34">
        <v>221</v>
      </c>
      <c r="C86" s="34">
        <v>12</v>
      </c>
      <c r="D86" s="34">
        <v>625</v>
      </c>
      <c r="E86" s="34">
        <v>26</v>
      </c>
      <c r="F86" s="34" t="s">
        <v>54</v>
      </c>
      <c r="G86" s="97">
        <v>8.3419139218853022E-2</v>
      </c>
      <c r="H86" s="34">
        <v>35</v>
      </c>
    </row>
    <row r="87" spans="1:8" x14ac:dyDescent="0.3">
      <c r="A87" s="34">
        <v>86</v>
      </c>
      <c r="B87" s="34">
        <v>946</v>
      </c>
      <c r="C87" s="34">
        <v>48</v>
      </c>
      <c r="D87" s="34">
        <v>8358</v>
      </c>
      <c r="E87" s="34">
        <v>30</v>
      </c>
      <c r="F87" s="34" t="s">
        <v>56</v>
      </c>
      <c r="G87" s="97">
        <v>8.4740267822456139E-2</v>
      </c>
      <c r="H87" s="34">
        <v>36</v>
      </c>
    </row>
    <row r="88" spans="1:8" x14ac:dyDescent="0.3">
      <c r="A88" s="34">
        <v>87</v>
      </c>
      <c r="B88" s="34">
        <v>206</v>
      </c>
      <c r="C88" s="34">
        <v>30</v>
      </c>
      <c r="D88" s="34">
        <v>10623</v>
      </c>
      <c r="E88" s="34">
        <v>38</v>
      </c>
      <c r="F88" s="34" t="s">
        <v>54</v>
      </c>
      <c r="G88" s="97">
        <v>8.5907386451505863E-2</v>
      </c>
      <c r="H88" s="34">
        <v>37</v>
      </c>
    </row>
    <row r="89" spans="1:8" x14ac:dyDescent="0.3">
      <c r="A89" s="34">
        <v>88</v>
      </c>
      <c r="B89" s="34">
        <v>684</v>
      </c>
      <c r="C89" s="34">
        <v>24</v>
      </c>
      <c r="D89" s="34">
        <v>5103</v>
      </c>
      <c r="E89" s="34">
        <v>47</v>
      </c>
      <c r="F89" s="34" t="s">
        <v>54</v>
      </c>
      <c r="G89" s="97">
        <v>8.6931393383237743E-2</v>
      </c>
      <c r="H89" s="34">
        <v>38</v>
      </c>
    </row>
    <row r="90" spans="1:8" x14ac:dyDescent="0.3">
      <c r="A90" s="34">
        <v>89</v>
      </c>
      <c r="B90" s="34">
        <v>629</v>
      </c>
      <c r="C90" s="34">
        <v>42</v>
      </c>
      <c r="D90" s="34">
        <v>4042</v>
      </c>
      <c r="E90" s="34">
        <v>36</v>
      </c>
      <c r="F90" s="34" t="s">
        <v>54</v>
      </c>
      <c r="G90" s="97">
        <v>8.7106301618640192E-2</v>
      </c>
      <c r="H90" s="34">
        <v>39</v>
      </c>
    </row>
    <row r="91" spans="1:8" x14ac:dyDescent="0.3">
      <c r="A91" s="34">
        <v>90</v>
      </c>
      <c r="B91" s="34">
        <v>906</v>
      </c>
      <c r="C91" s="34">
        <v>12</v>
      </c>
      <c r="D91" s="34">
        <v>1107</v>
      </c>
      <c r="E91" s="34">
        <v>20</v>
      </c>
      <c r="F91" s="34" t="s">
        <v>54</v>
      </c>
      <c r="G91" s="97">
        <v>8.7657414438490067E-2</v>
      </c>
      <c r="H91" s="34">
        <v>40</v>
      </c>
    </row>
    <row r="92" spans="1:8" x14ac:dyDescent="0.3">
      <c r="A92" s="34">
        <v>91</v>
      </c>
      <c r="B92" s="34">
        <v>776</v>
      </c>
      <c r="C92" s="34">
        <v>24</v>
      </c>
      <c r="D92" s="34">
        <v>1371</v>
      </c>
      <c r="E92" s="34">
        <v>25</v>
      </c>
      <c r="F92" s="34" t="s">
        <v>57</v>
      </c>
      <c r="G92" s="97">
        <v>8.9985675761169226E-2</v>
      </c>
      <c r="H92" s="34">
        <v>41</v>
      </c>
    </row>
    <row r="93" spans="1:8" x14ac:dyDescent="0.3">
      <c r="A93" s="34">
        <v>92</v>
      </c>
      <c r="B93" s="34">
        <v>154</v>
      </c>
      <c r="C93" s="34">
        <v>24</v>
      </c>
      <c r="D93" s="34">
        <v>7758</v>
      </c>
      <c r="E93" s="34">
        <v>29</v>
      </c>
      <c r="F93" s="34" t="s">
        <v>56</v>
      </c>
      <c r="G93" s="97">
        <v>9.0247131528661817E-2</v>
      </c>
      <c r="H93" s="34">
        <v>42</v>
      </c>
    </row>
    <row r="94" spans="1:8" x14ac:dyDescent="0.3">
      <c r="A94" s="34">
        <v>93</v>
      </c>
      <c r="B94" s="34">
        <v>465</v>
      </c>
      <c r="C94" s="34">
        <v>18</v>
      </c>
      <c r="D94" s="34">
        <v>1950</v>
      </c>
      <c r="E94" s="34">
        <v>34</v>
      </c>
      <c r="F94" s="34" t="s">
        <v>54</v>
      </c>
      <c r="G94" s="97">
        <v>9.2211086813411725E-2</v>
      </c>
      <c r="H94" s="34">
        <v>43</v>
      </c>
    </row>
    <row r="95" spans="1:8" x14ac:dyDescent="0.3">
      <c r="A95" s="34">
        <v>94</v>
      </c>
      <c r="B95" s="34">
        <v>501</v>
      </c>
      <c r="C95" s="34">
        <v>24</v>
      </c>
      <c r="D95" s="34">
        <v>3123</v>
      </c>
      <c r="E95" s="34">
        <v>27</v>
      </c>
      <c r="F95" s="34" t="s">
        <v>57</v>
      </c>
      <c r="G95" s="97">
        <v>9.2409819505350765E-2</v>
      </c>
      <c r="H95" s="34">
        <v>44</v>
      </c>
    </row>
    <row r="96" spans="1:8" x14ac:dyDescent="0.3">
      <c r="A96" s="34">
        <v>95</v>
      </c>
      <c r="B96" s="34">
        <v>813</v>
      </c>
      <c r="C96" s="34">
        <v>36</v>
      </c>
      <c r="D96" s="34">
        <v>9629</v>
      </c>
      <c r="E96" s="34">
        <v>24</v>
      </c>
      <c r="F96" s="34" t="s">
        <v>55</v>
      </c>
      <c r="G96" s="97">
        <v>9.5418911704666098E-2</v>
      </c>
      <c r="H96" s="34">
        <v>45</v>
      </c>
    </row>
    <row r="97" spans="1:8" x14ac:dyDescent="0.3">
      <c r="A97" s="34">
        <v>96</v>
      </c>
      <c r="B97" s="34">
        <v>30</v>
      </c>
      <c r="C97" s="34">
        <v>60</v>
      </c>
      <c r="D97" s="34">
        <v>6836</v>
      </c>
      <c r="E97" s="34">
        <v>63</v>
      </c>
      <c r="F97" s="34" t="s">
        <v>55</v>
      </c>
      <c r="G97" s="97">
        <v>9.5575609311970511E-2</v>
      </c>
      <c r="H97" s="34">
        <v>46</v>
      </c>
    </row>
    <row r="98" spans="1:8" x14ac:dyDescent="0.3">
      <c r="A98" s="34">
        <v>97</v>
      </c>
      <c r="B98" s="34">
        <v>120</v>
      </c>
      <c r="C98" s="34">
        <v>12</v>
      </c>
      <c r="D98" s="34">
        <v>2366</v>
      </c>
      <c r="E98" s="34">
        <v>36</v>
      </c>
      <c r="F98" s="34" t="s">
        <v>54</v>
      </c>
      <c r="G98" s="97">
        <v>9.6151242585216234E-2</v>
      </c>
      <c r="H98" s="34">
        <v>47</v>
      </c>
    </row>
    <row r="99" spans="1:8" x14ac:dyDescent="0.3">
      <c r="A99" s="34">
        <v>98</v>
      </c>
      <c r="B99" s="34">
        <v>272</v>
      </c>
      <c r="C99" s="34">
        <v>12</v>
      </c>
      <c r="D99" s="34">
        <v>1402</v>
      </c>
      <c r="E99" s="34">
        <v>37</v>
      </c>
      <c r="F99" s="34" t="s">
        <v>56</v>
      </c>
      <c r="G99" s="97">
        <v>9.6957106351198363E-2</v>
      </c>
      <c r="H99" s="34">
        <v>48</v>
      </c>
    </row>
    <row r="100" spans="1:8" x14ac:dyDescent="0.3">
      <c r="A100" s="34">
        <v>99</v>
      </c>
      <c r="B100" s="34">
        <v>768</v>
      </c>
      <c r="C100" s="34">
        <v>10</v>
      </c>
      <c r="D100" s="34">
        <v>2901</v>
      </c>
      <c r="E100" s="34">
        <v>31</v>
      </c>
      <c r="F100" s="34" t="s">
        <v>56</v>
      </c>
      <c r="G100" s="97">
        <v>9.696670641833105E-2</v>
      </c>
      <c r="H100" s="34">
        <v>49</v>
      </c>
    </row>
    <row r="101" spans="1:8" x14ac:dyDescent="0.3">
      <c r="A101" s="34">
        <v>100</v>
      </c>
      <c r="B101" s="34">
        <v>205</v>
      </c>
      <c r="C101" s="34">
        <v>12</v>
      </c>
      <c r="D101" s="34">
        <v>1495</v>
      </c>
      <c r="E101" s="34">
        <v>38</v>
      </c>
      <c r="F101" s="34" t="s">
        <v>54</v>
      </c>
      <c r="G101" s="97">
        <v>9.7070142945584137E-2</v>
      </c>
      <c r="H101" s="34">
        <v>50</v>
      </c>
    </row>
    <row r="102" spans="1:8" x14ac:dyDescent="0.3">
      <c r="A102" s="34">
        <v>101</v>
      </c>
      <c r="B102" s="34">
        <v>260</v>
      </c>
      <c r="C102" s="34">
        <v>11</v>
      </c>
      <c r="D102" s="34">
        <v>1154</v>
      </c>
      <c r="E102" s="34">
        <v>57</v>
      </c>
      <c r="F102" s="34" t="s">
        <v>56</v>
      </c>
      <c r="G102" s="97">
        <v>9.709279845605101E-2</v>
      </c>
      <c r="H102" s="34">
        <v>1</v>
      </c>
    </row>
    <row r="103" spans="1:8" x14ac:dyDescent="0.3">
      <c r="A103" s="34">
        <v>102</v>
      </c>
      <c r="B103" s="34">
        <v>375</v>
      </c>
      <c r="C103" s="34">
        <v>60</v>
      </c>
      <c r="D103" s="34">
        <v>14782</v>
      </c>
      <c r="E103" s="34">
        <v>60</v>
      </c>
      <c r="F103" s="34" t="s">
        <v>57</v>
      </c>
      <c r="G103" s="97">
        <v>9.8228683813979423E-2</v>
      </c>
      <c r="H103" s="34">
        <v>2</v>
      </c>
    </row>
    <row r="104" spans="1:8" x14ac:dyDescent="0.3">
      <c r="A104" s="34">
        <v>103</v>
      </c>
      <c r="B104" s="34">
        <v>640</v>
      </c>
      <c r="C104" s="34">
        <v>42</v>
      </c>
      <c r="D104" s="34">
        <v>4370</v>
      </c>
      <c r="E104" s="34">
        <v>26</v>
      </c>
      <c r="F104" s="34" t="s">
        <v>55</v>
      </c>
      <c r="G104" s="97">
        <v>9.9980248976444197E-2</v>
      </c>
      <c r="H104" s="34">
        <v>3</v>
      </c>
    </row>
    <row r="105" spans="1:8" x14ac:dyDescent="0.3">
      <c r="A105" s="34">
        <v>104</v>
      </c>
      <c r="B105" s="34">
        <v>508</v>
      </c>
      <c r="C105" s="34">
        <v>15</v>
      </c>
      <c r="D105" s="34">
        <v>6850</v>
      </c>
      <c r="E105" s="34">
        <v>34</v>
      </c>
      <c r="F105" s="34" t="s">
        <v>55</v>
      </c>
      <c r="G105" s="97">
        <v>0.10154694506096751</v>
      </c>
      <c r="H105" s="34">
        <v>4</v>
      </c>
    </row>
    <row r="106" spans="1:8" x14ac:dyDescent="0.3">
      <c r="A106" s="34">
        <v>105</v>
      </c>
      <c r="B106" s="34">
        <v>117</v>
      </c>
      <c r="C106" s="34">
        <v>42</v>
      </c>
      <c r="D106" s="34">
        <v>7174</v>
      </c>
      <c r="E106" s="34">
        <v>30</v>
      </c>
      <c r="F106" s="34" t="s">
        <v>57</v>
      </c>
      <c r="G106" s="97">
        <v>0.10237138431956783</v>
      </c>
      <c r="H106" s="34">
        <v>5</v>
      </c>
    </row>
    <row r="107" spans="1:8" x14ac:dyDescent="0.3">
      <c r="A107" s="34">
        <v>106</v>
      </c>
      <c r="B107" s="34">
        <v>935</v>
      </c>
      <c r="C107" s="34">
        <v>12</v>
      </c>
      <c r="D107" s="34">
        <v>1498</v>
      </c>
      <c r="E107" s="34">
        <v>23</v>
      </c>
      <c r="F107" s="34" t="s">
        <v>56</v>
      </c>
      <c r="G107" s="97">
        <v>0.1025529395000766</v>
      </c>
      <c r="H107" s="34">
        <v>6</v>
      </c>
    </row>
    <row r="108" spans="1:8" x14ac:dyDescent="0.3">
      <c r="A108" s="34">
        <v>107</v>
      </c>
      <c r="B108" s="34">
        <v>976</v>
      </c>
      <c r="C108" s="34">
        <v>24</v>
      </c>
      <c r="D108" s="34">
        <v>1258</v>
      </c>
      <c r="E108" s="34">
        <v>57</v>
      </c>
      <c r="F108" s="34" t="s">
        <v>56</v>
      </c>
      <c r="G108" s="97">
        <v>0.10257421037505465</v>
      </c>
      <c r="H108" s="34">
        <v>7</v>
      </c>
    </row>
    <row r="109" spans="1:8" x14ac:dyDescent="0.3">
      <c r="A109" s="34">
        <v>108</v>
      </c>
      <c r="B109" s="34">
        <v>258</v>
      </c>
      <c r="C109" s="34">
        <v>12</v>
      </c>
      <c r="D109" s="34">
        <v>2149</v>
      </c>
      <c r="E109" s="34">
        <v>29</v>
      </c>
      <c r="F109" s="34" t="s">
        <v>55</v>
      </c>
      <c r="G109" s="97">
        <v>0.10389469024570275</v>
      </c>
      <c r="H109" s="34">
        <v>8</v>
      </c>
    </row>
    <row r="110" spans="1:8" x14ac:dyDescent="0.3">
      <c r="A110" s="34">
        <v>109</v>
      </c>
      <c r="B110" s="34">
        <v>452</v>
      </c>
      <c r="C110" s="34">
        <v>6</v>
      </c>
      <c r="D110" s="34">
        <v>518</v>
      </c>
      <c r="E110" s="34">
        <v>29</v>
      </c>
      <c r="F110" s="34" t="s">
        <v>56</v>
      </c>
      <c r="G110" s="97">
        <v>0.10681588736082548</v>
      </c>
      <c r="H110" s="34">
        <v>9</v>
      </c>
    </row>
    <row r="111" spans="1:8" x14ac:dyDescent="0.3">
      <c r="A111" s="34">
        <v>110</v>
      </c>
      <c r="B111" s="34">
        <v>47</v>
      </c>
      <c r="C111" s="34">
        <v>36</v>
      </c>
      <c r="D111" s="34">
        <v>2299</v>
      </c>
      <c r="E111" s="34">
        <v>39</v>
      </c>
      <c r="F111" s="34" t="s">
        <v>54</v>
      </c>
      <c r="G111" s="97">
        <v>0.10790604534286474</v>
      </c>
      <c r="H111" s="34">
        <v>10</v>
      </c>
    </row>
    <row r="112" spans="1:8" x14ac:dyDescent="0.3">
      <c r="A112" s="34">
        <v>111</v>
      </c>
      <c r="B112" s="34">
        <v>920</v>
      </c>
      <c r="C112" s="34">
        <v>24</v>
      </c>
      <c r="D112" s="34">
        <v>3345</v>
      </c>
      <c r="E112" s="34">
        <v>39</v>
      </c>
      <c r="F112" s="34" t="s">
        <v>55</v>
      </c>
      <c r="G112" s="97">
        <v>0.10826692332524945</v>
      </c>
      <c r="H112" s="34">
        <v>11</v>
      </c>
    </row>
    <row r="113" spans="1:8" x14ac:dyDescent="0.3">
      <c r="A113" s="34">
        <v>112</v>
      </c>
      <c r="B113" s="34">
        <v>972</v>
      </c>
      <c r="C113" s="34">
        <v>24</v>
      </c>
      <c r="D113" s="34">
        <v>7393</v>
      </c>
      <c r="E113" s="34">
        <v>43</v>
      </c>
      <c r="F113" s="34" t="s">
        <v>54</v>
      </c>
      <c r="G113" s="97">
        <v>0.10999179355527744</v>
      </c>
      <c r="H113" s="34">
        <v>12</v>
      </c>
    </row>
    <row r="114" spans="1:8" x14ac:dyDescent="0.3">
      <c r="A114" s="34">
        <v>113</v>
      </c>
      <c r="B114" s="34">
        <v>74</v>
      </c>
      <c r="C114" s="34">
        <v>42</v>
      </c>
      <c r="D114" s="34">
        <v>5954</v>
      </c>
      <c r="E114" s="34">
        <v>41</v>
      </c>
      <c r="F114" s="34" t="s">
        <v>56</v>
      </c>
      <c r="G114" s="97">
        <v>0.11028082118143467</v>
      </c>
      <c r="H114" s="34">
        <v>13</v>
      </c>
    </row>
    <row r="115" spans="1:8" x14ac:dyDescent="0.3">
      <c r="A115" s="34">
        <v>114</v>
      </c>
      <c r="B115" s="34">
        <v>862</v>
      </c>
      <c r="C115" s="34">
        <v>18</v>
      </c>
      <c r="D115" s="34">
        <v>2169</v>
      </c>
      <c r="E115" s="34">
        <v>28</v>
      </c>
      <c r="F115" s="34" t="s">
        <v>55</v>
      </c>
      <c r="G115" s="97">
        <v>0.11054173883008578</v>
      </c>
      <c r="H115" s="34">
        <v>14</v>
      </c>
    </row>
    <row r="116" spans="1:8" x14ac:dyDescent="0.3">
      <c r="A116" s="34">
        <v>115</v>
      </c>
      <c r="B116" s="34">
        <v>675</v>
      </c>
      <c r="C116" s="34">
        <v>21</v>
      </c>
      <c r="D116" s="34">
        <v>2580</v>
      </c>
      <c r="E116" s="34">
        <v>41</v>
      </c>
      <c r="F116" s="34" t="s">
        <v>55</v>
      </c>
      <c r="G116" s="97">
        <v>0.11181163940431449</v>
      </c>
      <c r="H116" s="34">
        <v>15</v>
      </c>
    </row>
    <row r="117" spans="1:8" x14ac:dyDescent="0.3">
      <c r="A117" s="34">
        <v>116</v>
      </c>
      <c r="B117" s="34">
        <v>325</v>
      </c>
      <c r="C117" s="34">
        <v>18</v>
      </c>
      <c r="D117" s="34">
        <v>1028</v>
      </c>
      <c r="E117" s="34">
        <v>36</v>
      </c>
      <c r="F117" s="34" t="s">
        <v>56</v>
      </c>
      <c r="G117" s="97">
        <v>0.11243624859207346</v>
      </c>
      <c r="H117" s="34">
        <v>16</v>
      </c>
    </row>
    <row r="118" spans="1:8" x14ac:dyDescent="0.3">
      <c r="A118" s="34">
        <v>117</v>
      </c>
      <c r="B118" s="34">
        <v>595</v>
      </c>
      <c r="C118" s="34">
        <v>24</v>
      </c>
      <c r="D118" s="34">
        <v>1358</v>
      </c>
      <c r="E118" s="34">
        <v>40</v>
      </c>
      <c r="F118" s="34" t="s">
        <v>55</v>
      </c>
      <c r="G118" s="97">
        <v>0.11353145281269106</v>
      </c>
      <c r="H118" s="34">
        <v>17</v>
      </c>
    </row>
    <row r="119" spans="1:8" x14ac:dyDescent="0.3">
      <c r="A119" s="34">
        <v>118</v>
      </c>
      <c r="B119" s="34">
        <v>162</v>
      </c>
      <c r="C119" s="34">
        <v>18</v>
      </c>
      <c r="D119" s="34">
        <v>1055</v>
      </c>
      <c r="E119" s="34">
        <v>30</v>
      </c>
      <c r="F119" s="34" t="s">
        <v>56</v>
      </c>
      <c r="G119" s="97">
        <v>0.11361458628704368</v>
      </c>
      <c r="H119" s="34">
        <v>18</v>
      </c>
    </row>
    <row r="120" spans="1:8" x14ac:dyDescent="0.3">
      <c r="A120" s="34">
        <v>119</v>
      </c>
      <c r="B120" s="34">
        <v>424</v>
      </c>
      <c r="C120" s="34">
        <v>21</v>
      </c>
      <c r="D120" s="34">
        <v>1591</v>
      </c>
      <c r="E120" s="34">
        <v>34</v>
      </c>
      <c r="F120" s="34" t="s">
        <v>54</v>
      </c>
      <c r="G120" s="97">
        <v>0.11365503370749341</v>
      </c>
      <c r="H120" s="34">
        <v>19</v>
      </c>
    </row>
    <row r="121" spans="1:8" x14ac:dyDescent="0.3">
      <c r="A121" s="34">
        <v>120</v>
      </c>
      <c r="B121" s="34">
        <v>506</v>
      </c>
      <c r="C121" s="34">
        <v>10</v>
      </c>
      <c r="D121" s="34">
        <v>1309</v>
      </c>
      <c r="E121" s="34">
        <v>27</v>
      </c>
      <c r="F121" s="34" t="s">
        <v>55</v>
      </c>
      <c r="G121" s="97">
        <v>0.11401586190390756</v>
      </c>
      <c r="H121" s="34">
        <v>20</v>
      </c>
    </row>
    <row r="122" spans="1:8" x14ac:dyDescent="0.3">
      <c r="A122" s="34">
        <v>121</v>
      </c>
      <c r="B122" s="34">
        <v>119</v>
      </c>
      <c r="C122" s="34">
        <v>33</v>
      </c>
      <c r="D122" s="34">
        <v>4281</v>
      </c>
      <c r="E122" s="34">
        <v>23</v>
      </c>
      <c r="F122" s="34" t="s">
        <v>57</v>
      </c>
      <c r="G122" s="97">
        <v>0.11518581623456736</v>
      </c>
      <c r="H122" s="34">
        <v>21</v>
      </c>
    </row>
    <row r="123" spans="1:8" x14ac:dyDescent="0.3">
      <c r="A123" s="34">
        <v>122</v>
      </c>
      <c r="B123" s="34">
        <v>760</v>
      </c>
      <c r="C123" s="34">
        <v>12</v>
      </c>
      <c r="D123" s="34">
        <v>691</v>
      </c>
      <c r="E123" s="34">
        <v>35</v>
      </c>
      <c r="F123" s="34" t="s">
        <v>55</v>
      </c>
      <c r="G123" s="97">
        <v>0.11605275649075586</v>
      </c>
      <c r="H123" s="34">
        <v>22</v>
      </c>
    </row>
    <row r="124" spans="1:8" x14ac:dyDescent="0.3">
      <c r="A124" s="34">
        <v>123</v>
      </c>
      <c r="B124" s="34">
        <v>226</v>
      </c>
      <c r="C124" s="34">
        <v>36</v>
      </c>
      <c r="D124" s="34">
        <v>2613</v>
      </c>
      <c r="E124" s="34">
        <v>27</v>
      </c>
      <c r="F124" s="34" t="s">
        <v>54</v>
      </c>
      <c r="G124" s="97">
        <v>0.11658468303357483</v>
      </c>
      <c r="H124" s="34">
        <v>23</v>
      </c>
    </row>
    <row r="125" spans="1:8" x14ac:dyDescent="0.3">
      <c r="A125" s="34">
        <v>124</v>
      </c>
      <c r="B125" s="34">
        <v>493</v>
      </c>
      <c r="C125" s="34">
        <v>6</v>
      </c>
      <c r="D125" s="34">
        <v>1237</v>
      </c>
      <c r="E125" s="34">
        <v>27</v>
      </c>
      <c r="F125" s="34" t="s">
        <v>56</v>
      </c>
      <c r="G125" s="97">
        <v>0.11746856701327912</v>
      </c>
      <c r="H125" s="34">
        <v>24</v>
      </c>
    </row>
    <row r="126" spans="1:8" x14ac:dyDescent="0.3">
      <c r="A126" s="34">
        <v>125</v>
      </c>
      <c r="B126" s="34">
        <v>819</v>
      </c>
      <c r="C126" s="34">
        <v>36</v>
      </c>
      <c r="D126" s="34">
        <v>15857</v>
      </c>
      <c r="E126" s="34">
        <v>43</v>
      </c>
      <c r="F126" s="34" t="s">
        <v>54</v>
      </c>
      <c r="G126" s="97">
        <v>0.11775179349482368</v>
      </c>
      <c r="H126" s="34">
        <v>25</v>
      </c>
    </row>
    <row r="127" spans="1:8" x14ac:dyDescent="0.3">
      <c r="A127" s="34">
        <v>126</v>
      </c>
      <c r="B127" s="34">
        <v>619</v>
      </c>
      <c r="C127" s="34">
        <v>30</v>
      </c>
      <c r="D127" s="34">
        <v>3441</v>
      </c>
      <c r="E127" s="34">
        <v>21</v>
      </c>
      <c r="F127" s="34" t="s">
        <v>57</v>
      </c>
      <c r="G127" s="97">
        <v>0.11799150832181826</v>
      </c>
      <c r="H127" s="34">
        <v>26</v>
      </c>
    </row>
    <row r="128" spans="1:8" x14ac:dyDescent="0.3">
      <c r="A128" s="34">
        <v>127</v>
      </c>
      <c r="B128" s="34">
        <v>34</v>
      </c>
      <c r="C128" s="34">
        <v>12</v>
      </c>
      <c r="D128" s="34">
        <v>1264</v>
      </c>
      <c r="E128" s="34">
        <v>57</v>
      </c>
      <c r="F128" s="34" t="s">
        <v>54</v>
      </c>
      <c r="G128" s="97">
        <v>0.11923300248655111</v>
      </c>
      <c r="H128" s="34">
        <v>27</v>
      </c>
    </row>
    <row r="129" spans="1:8" x14ac:dyDescent="0.3">
      <c r="A129" s="34">
        <v>128</v>
      </c>
      <c r="B129" s="34">
        <v>227</v>
      </c>
      <c r="C129" s="34">
        <v>48</v>
      </c>
      <c r="D129" s="34">
        <v>10961</v>
      </c>
      <c r="E129" s="34">
        <v>27</v>
      </c>
      <c r="F129" s="34" t="s">
        <v>55</v>
      </c>
      <c r="G129" s="97">
        <v>0.12121588599462507</v>
      </c>
      <c r="H129" s="34">
        <v>28</v>
      </c>
    </row>
    <row r="130" spans="1:8" x14ac:dyDescent="0.3">
      <c r="A130" s="34">
        <v>129</v>
      </c>
      <c r="B130" s="34">
        <v>319</v>
      </c>
      <c r="C130" s="34">
        <v>12</v>
      </c>
      <c r="D130" s="34">
        <v>701</v>
      </c>
      <c r="E130" s="34">
        <v>32</v>
      </c>
      <c r="F130" s="34" t="s">
        <v>54</v>
      </c>
      <c r="G130" s="97">
        <v>0.12222531736896824</v>
      </c>
      <c r="H130" s="34">
        <v>29</v>
      </c>
    </row>
    <row r="131" spans="1:8" x14ac:dyDescent="0.3">
      <c r="A131" s="34">
        <v>130</v>
      </c>
      <c r="B131" s="34">
        <v>155</v>
      </c>
      <c r="C131" s="34">
        <v>24</v>
      </c>
      <c r="D131" s="34">
        <v>6967</v>
      </c>
      <c r="E131" s="34">
        <v>36</v>
      </c>
      <c r="F131" s="34" t="s">
        <v>54</v>
      </c>
      <c r="G131" s="97">
        <v>0.12374407390912046</v>
      </c>
      <c r="H131" s="34">
        <v>30</v>
      </c>
    </row>
    <row r="132" spans="1:8" x14ac:dyDescent="0.3">
      <c r="A132" s="34">
        <v>131</v>
      </c>
      <c r="B132" s="34">
        <v>673</v>
      </c>
      <c r="C132" s="34">
        <v>60</v>
      </c>
      <c r="D132" s="34">
        <v>10366</v>
      </c>
      <c r="E132" s="34">
        <v>42</v>
      </c>
      <c r="F132" s="34" t="s">
        <v>54</v>
      </c>
      <c r="G132" s="97">
        <v>0.12413351968756903</v>
      </c>
      <c r="H132" s="34">
        <v>31</v>
      </c>
    </row>
    <row r="133" spans="1:8" x14ac:dyDescent="0.3">
      <c r="A133" s="34">
        <v>132</v>
      </c>
      <c r="B133" s="34">
        <v>194</v>
      </c>
      <c r="C133" s="34">
        <v>6</v>
      </c>
      <c r="D133" s="34">
        <v>2108</v>
      </c>
      <c r="E133" s="34">
        <v>29</v>
      </c>
      <c r="F133" s="34" t="s">
        <v>54</v>
      </c>
      <c r="G133" s="97">
        <v>0.12506941776492275</v>
      </c>
      <c r="H133" s="34">
        <v>32</v>
      </c>
    </row>
    <row r="134" spans="1:8" x14ac:dyDescent="0.3">
      <c r="A134" s="34">
        <v>133</v>
      </c>
      <c r="B134" s="34">
        <v>436</v>
      </c>
      <c r="C134" s="34">
        <v>12</v>
      </c>
      <c r="D134" s="34">
        <v>1484</v>
      </c>
      <c r="E134" s="34">
        <v>25</v>
      </c>
      <c r="F134" s="34" t="s">
        <v>55</v>
      </c>
      <c r="G134" s="97">
        <v>0.12608153028355462</v>
      </c>
      <c r="H134" s="34">
        <v>33</v>
      </c>
    </row>
    <row r="135" spans="1:8" x14ac:dyDescent="0.3">
      <c r="A135" s="34">
        <v>134</v>
      </c>
      <c r="B135" s="34">
        <v>304</v>
      </c>
      <c r="C135" s="34">
        <v>10</v>
      </c>
      <c r="D135" s="34">
        <v>1038</v>
      </c>
      <c r="E135" s="34">
        <v>49</v>
      </c>
      <c r="F135" s="34" t="s">
        <v>54</v>
      </c>
      <c r="G135" s="97">
        <v>0.1263489903595677</v>
      </c>
      <c r="H135" s="34">
        <v>34</v>
      </c>
    </row>
    <row r="136" spans="1:8" x14ac:dyDescent="0.3">
      <c r="A136" s="34">
        <v>135</v>
      </c>
      <c r="B136" s="34">
        <v>439</v>
      </c>
      <c r="C136" s="34">
        <v>42</v>
      </c>
      <c r="D136" s="34">
        <v>3394</v>
      </c>
      <c r="E136" s="34">
        <v>65</v>
      </c>
      <c r="F136" s="34" t="s">
        <v>54</v>
      </c>
      <c r="G136" s="97">
        <v>0.12648366330125627</v>
      </c>
      <c r="H136" s="34">
        <v>35</v>
      </c>
    </row>
    <row r="137" spans="1:8" x14ac:dyDescent="0.3">
      <c r="A137" s="34">
        <v>136</v>
      </c>
      <c r="B137" s="34">
        <v>499</v>
      </c>
      <c r="C137" s="34">
        <v>18</v>
      </c>
      <c r="D137" s="34">
        <v>1301</v>
      </c>
      <c r="E137" s="34">
        <v>32</v>
      </c>
      <c r="F137" s="34" t="s">
        <v>54</v>
      </c>
      <c r="G137" s="97">
        <v>0.12741856217673309</v>
      </c>
      <c r="H137" s="34">
        <v>36</v>
      </c>
    </row>
    <row r="138" spans="1:8" x14ac:dyDescent="0.3">
      <c r="A138" s="34">
        <v>137</v>
      </c>
      <c r="B138" s="34">
        <v>708</v>
      </c>
      <c r="C138" s="34">
        <v>12</v>
      </c>
      <c r="D138" s="34">
        <v>2969</v>
      </c>
      <c r="E138" s="34">
        <v>25</v>
      </c>
      <c r="F138" s="34" t="s">
        <v>57</v>
      </c>
      <c r="G138" s="97">
        <v>0.1278500978338365</v>
      </c>
      <c r="H138" s="34">
        <v>37</v>
      </c>
    </row>
    <row r="139" spans="1:8" x14ac:dyDescent="0.3">
      <c r="A139" s="34">
        <v>138</v>
      </c>
      <c r="B139" s="34">
        <v>778</v>
      </c>
      <c r="C139" s="34">
        <v>18</v>
      </c>
      <c r="D139" s="34">
        <v>3509</v>
      </c>
      <c r="E139" s="34">
        <v>25</v>
      </c>
      <c r="F139" s="34" t="s">
        <v>56</v>
      </c>
      <c r="G139" s="97">
        <v>0.13000481664828811</v>
      </c>
      <c r="H139" s="34">
        <v>38</v>
      </c>
    </row>
    <row r="140" spans="1:8" x14ac:dyDescent="0.3">
      <c r="A140" s="34">
        <v>139</v>
      </c>
      <c r="B140" s="34">
        <v>914</v>
      </c>
      <c r="C140" s="34">
        <v>11</v>
      </c>
      <c r="D140" s="34">
        <v>2142</v>
      </c>
      <c r="E140" s="34">
        <v>28</v>
      </c>
      <c r="F140" s="34" t="s">
        <v>54</v>
      </c>
      <c r="G140" s="97">
        <v>0.13169050298639506</v>
      </c>
      <c r="H140" s="34">
        <v>39</v>
      </c>
    </row>
    <row r="141" spans="1:8" x14ac:dyDescent="0.3">
      <c r="A141" s="34">
        <v>140</v>
      </c>
      <c r="B141" s="34">
        <v>585</v>
      </c>
      <c r="C141" s="34">
        <v>12</v>
      </c>
      <c r="D141" s="34">
        <v>2133</v>
      </c>
      <c r="E141" s="34">
        <v>52</v>
      </c>
      <c r="F141" s="34" t="s">
        <v>56</v>
      </c>
      <c r="G141" s="97">
        <v>0.13243933811448971</v>
      </c>
      <c r="H141" s="34">
        <v>40</v>
      </c>
    </row>
    <row r="142" spans="1:8" x14ac:dyDescent="0.3">
      <c r="A142" s="34">
        <v>141</v>
      </c>
      <c r="B142" s="34">
        <v>565</v>
      </c>
      <c r="C142" s="34">
        <v>24</v>
      </c>
      <c r="D142" s="34">
        <v>4712</v>
      </c>
      <c r="E142" s="34">
        <v>37</v>
      </c>
      <c r="F142" s="34" t="s">
        <v>54</v>
      </c>
      <c r="G142" s="97">
        <v>0.13252685794213726</v>
      </c>
      <c r="H142" s="34">
        <v>41</v>
      </c>
    </row>
    <row r="143" spans="1:8" x14ac:dyDescent="0.3">
      <c r="A143" s="34">
        <v>142</v>
      </c>
      <c r="B143" s="34">
        <v>8</v>
      </c>
      <c r="C143" s="34">
        <v>36</v>
      </c>
      <c r="D143" s="34">
        <v>6948</v>
      </c>
      <c r="E143" s="34">
        <v>35</v>
      </c>
      <c r="F143" s="34" t="s">
        <v>54</v>
      </c>
      <c r="G143" s="97">
        <v>0.13482893541979668</v>
      </c>
      <c r="H143" s="34">
        <v>42</v>
      </c>
    </row>
    <row r="144" spans="1:8" x14ac:dyDescent="0.3">
      <c r="A144" s="34">
        <v>143</v>
      </c>
      <c r="B144" s="34">
        <v>832</v>
      </c>
      <c r="C144" s="34">
        <v>18</v>
      </c>
      <c r="D144" s="34">
        <v>1216</v>
      </c>
      <c r="E144" s="34">
        <v>23</v>
      </c>
      <c r="F144" s="34" t="s">
        <v>57</v>
      </c>
      <c r="G144" s="97">
        <v>0.1356439228980626</v>
      </c>
      <c r="H144" s="34">
        <v>43</v>
      </c>
    </row>
    <row r="145" spans="1:8" x14ac:dyDescent="0.3">
      <c r="A145" s="34">
        <v>144</v>
      </c>
      <c r="B145" s="34">
        <v>584</v>
      </c>
      <c r="C145" s="34">
        <v>36</v>
      </c>
      <c r="D145" s="34">
        <v>2384</v>
      </c>
      <c r="E145" s="34">
        <v>33</v>
      </c>
      <c r="F145" s="34" t="s">
        <v>55</v>
      </c>
      <c r="G145" s="97">
        <v>0.13878961279379609</v>
      </c>
      <c r="H145" s="34">
        <v>44</v>
      </c>
    </row>
    <row r="146" spans="1:8" x14ac:dyDescent="0.3">
      <c r="A146" s="34">
        <v>145</v>
      </c>
      <c r="B146" s="34">
        <v>689</v>
      </c>
      <c r="C146" s="34">
        <v>9</v>
      </c>
      <c r="D146" s="34">
        <v>2753</v>
      </c>
      <c r="E146" s="34">
        <v>35</v>
      </c>
      <c r="F146" s="34" t="s">
        <v>54</v>
      </c>
      <c r="G146" s="97">
        <v>0.13902300453544536</v>
      </c>
      <c r="H146" s="34">
        <v>45</v>
      </c>
    </row>
    <row r="147" spans="1:8" x14ac:dyDescent="0.3">
      <c r="A147" s="34">
        <v>146</v>
      </c>
      <c r="B147" s="34">
        <v>909</v>
      </c>
      <c r="C147" s="34">
        <v>15</v>
      </c>
      <c r="D147" s="34">
        <v>3594</v>
      </c>
      <c r="E147" s="34">
        <v>46</v>
      </c>
      <c r="F147" s="34" t="s">
        <v>56</v>
      </c>
      <c r="G147" s="97">
        <v>0.14280823007403065</v>
      </c>
      <c r="H147" s="34">
        <v>46</v>
      </c>
    </row>
    <row r="148" spans="1:8" x14ac:dyDescent="0.3">
      <c r="A148" s="34">
        <v>147</v>
      </c>
      <c r="B148" s="34">
        <v>31</v>
      </c>
      <c r="C148" s="34">
        <v>18</v>
      </c>
      <c r="D148" s="34">
        <v>1913</v>
      </c>
      <c r="E148" s="34">
        <v>36</v>
      </c>
      <c r="F148" s="34" t="s">
        <v>54</v>
      </c>
      <c r="G148" s="97">
        <v>0.14319106260224246</v>
      </c>
      <c r="H148" s="34">
        <v>47</v>
      </c>
    </row>
    <row r="149" spans="1:8" x14ac:dyDescent="0.3">
      <c r="A149" s="34">
        <v>148</v>
      </c>
      <c r="B149" s="34">
        <v>590</v>
      </c>
      <c r="C149" s="34">
        <v>12</v>
      </c>
      <c r="D149" s="34">
        <v>2246</v>
      </c>
      <c r="E149" s="34">
        <v>60</v>
      </c>
      <c r="F149" s="34" t="s">
        <v>55</v>
      </c>
      <c r="G149" s="97">
        <v>0.14528665854850942</v>
      </c>
      <c r="H149" s="34">
        <v>48</v>
      </c>
    </row>
    <row r="150" spans="1:8" x14ac:dyDescent="0.3">
      <c r="A150" s="34">
        <v>149</v>
      </c>
      <c r="B150" s="34">
        <v>848</v>
      </c>
      <c r="C150" s="34">
        <v>24</v>
      </c>
      <c r="D150" s="34">
        <v>1249</v>
      </c>
      <c r="E150" s="34">
        <v>28</v>
      </c>
      <c r="F150" s="34" t="s">
        <v>54</v>
      </c>
      <c r="G150" s="97">
        <v>0.1483737543125454</v>
      </c>
      <c r="H150" s="34">
        <v>49</v>
      </c>
    </row>
    <row r="151" spans="1:8" x14ac:dyDescent="0.3">
      <c r="A151" s="34">
        <v>150</v>
      </c>
      <c r="B151" s="34">
        <v>137</v>
      </c>
      <c r="C151" s="34">
        <v>27</v>
      </c>
      <c r="D151" s="34">
        <v>8613</v>
      </c>
      <c r="E151" s="34">
        <v>27</v>
      </c>
      <c r="F151" s="34" t="s">
        <v>54</v>
      </c>
      <c r="G151" s="97">
        <v>0.14902389013446016</v>
      </c>
      <c r="H151" s="34">
        <v>50</v>
      </c>
    </row>
    <row r="152" spans="1:8" x14ac:dyDescent="0.3">
      <c r="A152" s="34">
        <v>151</v>
      </c>
      <c r="B152" s="34">
        <v>106</v>
      </c>
      <c r="C152" s="34">
        <v>24</v>
      </c>
      <c r="D152" s="34">
        <v>11938</v>
      </c>
      <c r="E152" s="34">
        <v>39</v>
      </c>
      <c r="F152" s="34" t="s">
        <v>55</v>
      </c>
      <c r="G152" s="97">
        <v>0.14944981879934238</v>
      </c>
      <c r="H152" s="34">
        <v>1</v>
      </c>
    </row>
    <row r="153" spans="1:8" x14ac:dyDescent="0.3">
      <c r="A153" s="34">
        <v>152</v>
      </c>
      <c r="B153" s="34">
        <v>248</v>
      </c>
      <c r="C153" s="34">
        <v>6</v>
      </c>
      <c r="D153" s="34">
        <v>1204</v>
      </c>
      <c r="E153" s="34">
        <v>35</v>
      </c>
      <c r="F153" s="34" t="s">
        <v>54</v>
      </c>
      <c r="G153" s="97">
        <v>0.15014870258766022</v>
      </c>
      <c r="H153" s="34">
        <v>2</v>
      </c>
    </row>
    <row r="154" spans="1:8" x14ac:dyDescent="0.3">
      <c r="A154" s="34">
        <v>153</v>
      </c>
      <c r="B154" s="34">
        <v>276</v>
      </c>
      <c r="C154" s="34">
        <v>9</v>
      </c>
      <c r="D154" s="34">
        <v>2697</v>
      </c>
      <c r="E154" s="34">
        <v>32</v>
      </c>
      <c r="F154" s="34" t="s">
        <v>54</v>
      </c>
      <c r="G154" s="97">
        <v>0.15125252034223402</v>
      </c>
      <c r="H154" s="34">
        <v>3</v>
      </c>
    </row>
    <row r="155" spans="1:8" x14ac:dyDescent="0.3">
      <c r="A155" s="34">
        <v>154</v>
      </c>
      <c r="B155" s="34">
        <v>664</v>
      </c>
      <c r="C155" s="34">
        <v>6</v>
      </c>
      <c r="D155" s="34">
        <v>1050</v>
      </c>
      <c r="E155" s="34">
        <v>35</v>
      </c>
      <c r="F155" s="34" t="s">
        <v>54</v>
      </c>
      <c r="G155" s="97">
        <v>0.151728803042817</v>
      </c>
      <c r="H155" s="34">
        <v>4</v>
      </c>
    </row>
    <row r="156" spans="1:8" x14ac:dyDescent="0.3">
      <c r="A156" s="34">
        <v>155</v>
      </c>
      <c r="B156" s="34">
        <v>850</v>
      </c>
      <c r="C156" s="34">
        <v>12</v>
      </c>
      <c r="D156" s="34">
        <v>709</v>
      </c>
      <c r="E156" s="34">
        <v>57</v>
      </c>
      <c r="F156" s="34" t="s">
        <v>55</v>
      </c>
      <c r="G156" s="97">
        <v>0.15228401646179646</v>
      </c>
      <c r="H156" s="34">
        <v>5</v>
      </c>
    </row>
    <row r="157" spans="1:8" x14ac:dyDescent="0.3">
      <c r="A157" s="34">
        <v>156</v>
      </c>
      <c r="B157" s="34">
        <v>644</v>
      </c>
      <c r="C157" s="34">
        <v>24</v>
      </c>
      <c r="D157" s="34">
        <v>1851</v>
      </c>
      <c r="E157" s="34">
        <v>33</v>
      </c>
      <c r="F157" s="34" t="s">
        <v>54</v>
      </c>
      <c r="G157" s="97">
        <v>0.15246955357133196</v>
      </c>
      <c r="H157" s="34">
        <v>6</v>
      </c>
    </row>
    <row r="158" spans="1:8" x14ac:dyDescent="0.3">
      <c r="A158" s="34">
        <v>157</v>
      </c>
      <c r="B158" s="34">
        <v>40</v>
      </c>
      <c r="C158" s="34">
        <v>9</v>
      </c>
      <c r="D158" s="34">
        <v>458</v>
      </c>
      <c r="E158" s="34">
        <v>24</v>
      </c>
      <c r="F158" s="34" t="s">
        <v>54</v>
      </c>
      <c r="G158" s="97">
        <v>0.15263527335622507</v>
      </c>
      <c r="H158" s="34">
        <v>7</v>
      </c>
    </row>
    <row r="159" spans="1:8" x14ac:dyDescent="0.3">
      <c r="A159" s="34">
        <v>158</v>
      </c>
      <c r="B159" s="34">
        <v>46</v>
      </c>
      <c r="C159" s="34">
        <v>11</v>
      </c>
      <c r="D159" s="34">
        <v>1393</v>
      </c>
      <c r="E159" s="34">
        <v>35</v>
      </c>
      <c r="F159" s="34" t="s">
        <v>56</v>
      </c>
      <c r="G159" s="97">
        <v>0.15413647869819869</v>
      </c>
      <c r="H159" s="34">
        <v>8</v>
      </c>
    </row>
    <row r="160" spans="1:8" x14ac:dyDescent="0.3">
      <c r="A160" s="34">
        <v>159</v>
      </c>
      <c r="B160" s="34">
        <v>76</v>
      </c>
      <c r="C160" s="34">
        <v>12</v>
      </c>
      <c r="D160" s="34">
        <v>1526</v>
      </c>
      <c r="E160" s="34">
        <v>66</v>
      </c>
      <c r="F160" s="34" t="s">
        <v>54</v>
      </c>
      <c r="G160" s="97">
        <v>0.15426247239413671</v>
      </c>
      <c r="H160" s="34">
        <v>9</v>
      </c>
    </row>
    <row r="161" spans="1:8" x14ac:dyDescent="0.3">
      <c r="A161" s="34">
        <v>160</v>
      </c>
      <c r="B161" s="34">
        <v>889</v>
      </c>
      <c r="C161" s="34">
        <v>36</v>
      </c>
      <c r="D161" s="34">
        <v>6614</v>
      </c>
      <c r="E161" s="34">
        <v>34</v>
      </c>
      <c r="F161" s="34" t="s">
        <v>54</v>
      </c>
      <c r="G161" s="97">
        <v>0.15489191132840419</v>
      </c>
      <c r="H161" s="34">
        <v>10</v>
      </c>
    </row>
    <row r="162" spans="1:8" x14ac:dyDescent="0.3">
      <c r="A162" s="34">
        <v>161</v>
      </c>
      <c r="B162" s="34">
        <v>523</v>
      </c>
      <c r="C162" s="34">
        <v>48</v>
      </c>
      <c r="D162" s="34">
        <v>7119</v>
      </c>
      <c r="E162" s="34">
        <v>53</v>
      </c>
      <c r="F162" s="34" t="s">
        <v>55</v>
      </c>
      <c r="G162" s="97">
        <v>0.15491868810240617</v>
      </c>
      <c r="H162" s="34">
        <v>11</v>
      </c>
    </row>
    <row r="163" spans="1:8" x14ac:dyDescent="0.3">
      <c r="A163" s="34">
        <v>162</v>
      </c>
      <c r="B163" s="34">
        <v>730</v>
      </c>
      <c r="C163" s="34">
        <v>24</v>
      </c>
      <c r="D163" s="34">
        <v>1275</v>
      </c>
      <c r="E163" s="34">
        <v>36</v>
      </c>
      <c r="F163" s="34" t="s">
        <v>54</v>
      </c>
      <c r="G163" s="97">
        <v>0.1551510536941334</v>
      </c>
      <c r="H163" s="34">
        <v>12</v>
      </c>
    </row>
    <row r="164" spans="1:8" x14ac:dyDescent="0.3">
      <c r="A164" s="34">
        <v>163</v>
      </c>
      <c r="B164" s="34">
        <v>303</v>
      </c>
      <c r="C164" s="34">
        <v>24</v>
      </c>
      <c r="D164" s="34">
        <v>1344</v>
      </c>
      <c r="E164" s="34">
        <v>37</v>
      </c>
      <c r="F164" s="34" t="s">
        <v>55</v>
      </c>
      <c r="G164" s="97">
        <v>0.15715475561998482</v>
      </c>
      <c r="H164" s="34">
        <v>13</v>
      </c>
    </row>
    <row r="165" spans="1:8" x14ac:dyDescent="0.3">
      <c r="A165" s="34">
        <v>164</v>
      </c>
      <c r="B165" s="34">
        <v>696</v>
      </c>
      <c r="C165" s="34">
        <v>6</v>
      </c>
      <c r="D165" s="34">
        <v>1236</v>
      </c>
      <c r="E165" s="34">
        <v>50</v>
      </c>
      <c r="F165" s="34" t="s">
        <v>54</v>
      </c>
      <c r="G165" s="97">
        <v>0.15770040656452611</v>
      </c>
      <c r="H165" s="34">
        <v>14</v>
      </c>
    </row>
    <row r="166" spans="1:8" x14ac:dyDescent="0.3">
      <c r="A166" s="34">
        <v>165</v>
      </c>
      <c r="B166" s="34">
        <v>26</v>
      </c>
      <c r="C166" s="34">
        <v>6</v>
      </c>
      <c r="D166" s="34">
        <v>1374</v>
      </c>
      <c r="E166" s="34">
        <v>36</v>
      </c>
      <c r="F166" s="34" t="s">
        <v>54</v>
      </c>
      <c r="G166" s="97">
        <v>0.15905145147511734</v>
      </c>
      <c r="H166" s="34">
        <v>15</v>
      </c>
    </row>
    <row r="167" spans="1:8" x14ac:dyDescent="0.3">
      <c r="A167" s="34">
        <v>166</v>
      </c>
      <c r="B167" s="34">
        <v>659</v>
      </c>
      <c r="C167" s="34">
        <v>30</v>
      </c>
      <c r="D167" s="34">
        <v>4221</v>
      </c>
      <c r="E167" s="34">
        <v>28</v>
      </c>
      <c r="F167" s="34" t="s">
        <v>56</v>
      </c>
      <c r="G167" s="97">
        <v>0.15946526353841073</v>
      </c>
      <c r="H167" s="34">
        <v>16</v>
      </c>
    </row>
    <row r="168" spans="1:8" x14ac:dyDescent="0.3">
      <c r="A168" s="34">
        <v>167</v>
      </c>
      <c r="B168" s="34">
        <v>170</v>
      </c>
      <c r="C168" s="34">
        <v>24</v>
      </c>
      <c r="D168" s="34">
        <v>1935</v>
      </c>
      <c r="E168" s="34">
        <v>31</v>
      </c>
      <c r="F168" s="34" t="s">
        <v>55</v>
      </c>
      <c r="G168" s="97">
        <v>0.16022378585502806</v>
      </c>
      <c r="H168" s="34">
        <v>17</v>
      </c>
    </row>
    <row r="169" spans="1:8" x14ac:dyDescent="0.3">
      <c r="A169" s="34">
        <v>168</v>
      </c>
      <c r="B169" s="34">
        <v>872</v>
      </c>
      <c r="C169" s="34">
        <v>6</v>
      </c>
      <c r="D169" s="34">
        <v>1343</v>
      </c>
      <c r="E169" s="34">
        <v>46</v>
      </c>
      <c r="F169" s="34" t="s">
        <v>54</v>
      </c>
      <c r="G169" s="97">
        <v>0.16191107943130967</v>
      </c>
      <c r="H169" s="34">
        <v>18</v>
      </c>
    </row>
    <row r="170" spans="1:8" x14ac:dyDescent="0.3">
      <c r="A170" s="34">
        <v>169</v>
      </c>
      <c r="B170" s="34">
        <v>347</v>
      </c>
      <c r="C170" s="34">
        <v>13</v>
      </c>
      <c r="D170" s="34">
        <v>882</v>
      </c>
      <c r="E170" s="34">
        <v>23</v>
      </c>
      <c r="F170" s="34" t="s">
        <v>54</v>
      </c>
      <c r="G170" s="97">
        <v>0.16236992473217327</v>
      </c>
      <c r="H170" s="34">
        <v>19</v>
      </c>
    </row>
    <row r="171" spans="1:8" x14ac:dyDescent="0.3">
      <c r="A171" s="34">
        <v>170</v>
      </c>
      <c r="B171" s="34">
        <v>928</v>
      </c>
      <c r="C171" s="34">
        <v>48</v>
      </c>
      <c r="D171" s="34">
        <v>10297</v>
      </c>
      <c r="E171" s="34">
        <v>39</v>
      </c>
      <c r="F171" s="34" t="s">
        <v>55</v>
      </c>
      <c r="G171" s="97">
        <v>0.16258744667186564</v>
      </c>
      <c r="H171" s="34">
        <v>20</v>
      </c>
    </row>
    <row r="172" spans="1:8" x14ac:dyDescent="0.3">
      <c r="A172" s="34">
        <v>171</v>
      </c>
      <c r="B172" s="34">
        <v>403</v>
      </c>
      <c r="C172" s="34">
        <v>24</v>
      </c>
      <c r="D172" s="34">
        <v>8648</v>
      </c>
      <c r="E172" s="34">
        <v>27</v>
      </c>
      <c r="F172" s="34" t="s">
        <v>55</v>
      </c>
      <c r="G172" s="97">
        <v>0.16262125887979051</v>
      </c>
      <c r="H172" s="34">
        <v>21</v>
      </c>
    </row>
    <row r="173" spans="1:8" x14ac:dyDescent="0.3">
      <c r="A173" s="34">
        <v>172</v>
      </c>
      <c r="B173" s="34">
        <v>368</v>
      </c>
      <c r="C173" s="34">
        <v>18</v>
      </c>
      <c r="D173" s="34">
        <v>3650</v>
      </c>
      <c r="E173" s="34">
        <v>22</v>
      </c>
      <c r="F173" s="34" t="s">
        <v>56</v>
      </c>
      <c r="G173" s="97">
        <v>0.1644700322222018</v>
      </c>
      <c r="H173" s="34">
        <v>22</v>
      </c>
    </row>
    <row r="174" spans="1:8" x14ac:dyDescent="0.3">
      <c r="A174" s="34">
        <v>173</v>
      </c>
      <c r="B174" s="34">
        <v>172</v>
      </c>
      <c r="C174" s="34">
        <v>12</v>
      </c>
      <c r="D174" s="34">
        <v>763</v>
      </c>
      <c r="E174" s="34">
        <v>26</v>
      </c>
      <c r="F174" s="34" t="s">
        <v>56</v>
      </c>
      <c r="G174" s="97">
        <v>0.16623086559398859</v>
      </c>
      <c r="H174" s="34">
        <v>23</v>
      </c>
    </row>
    <row r="175" spans="1:8" x14ac:dyDescent="0.3">
      <c r="A175" s="34">
        <v>174</v>
      </c>
      <c r="B175" s="34">
        <v>300</v>
      </c>
      <c r="C175" s="34">
        <v>21</v>
      </c>
      <c r="D175" s="34">
        <v>2745</v>
      </c>
      <c r="E175" s="34">
        <v>32</v>
      </c>
      <c r="F175" s="34" t="s">
        <v>54</v>
      </c>
      <c r="G175" s="97">
        <v>0.16678532836304216</v>
      </c>
      <c r="H175" s="34">
        <v>24</v>
      </c>
    </row>
    <row r="176" spans="1:8" x14ac:dyDescent="0.3">
      <c r="A176" s="34">
        <v>175</v>
      </c>
      <c r="B176" s="34">
        <v>882</v>
      </c>
      <c r="C176" s="34">
        <v>24</v>
      </c>
      <c r="D176" s="34">
        <v>9277</v>
      </c>
      <c r="E176" s="34">
        <v>48</v>
      </c>
      <c r="F176" s="34" t="s">
        <v>54</v>
      </c>
      <c r="G176" s="97">
        <v>0.16703275211133095</v>
      </c>
      <c r="H176" s="34">
        <v>25</v>
      </c>
    </row>
    <row r="177" spans="1:8" x14ac:dyDescent="0.3">
      <c r="A177" s="34">
        <v>176</v>
      </c>
      <c r="B177" s="34">
        <v>396</v>
      </c>
      <c r="C177" s="34">
        <v>39</v>
      </c>
      <c r="D177" s="34">
        <v>11760</v>
      </c>
      <c r="E177" s="34">
        <v>32</v>
      </c>
      <c r="F177" s="34" t="s">
        <v>54</v>
      </c>
      <c r="G177" s="97">
        <v>0.16736110349996891</v>
      </c>
      <c r="H177" s="34">
        <v>26</v>
      </c>
    </row>
    <row r="178" spans="1:8" x14ac:dyDescent="0.3">
      <c r="A178" s="34">
        <v>177</v>
      </c>
      <c r="B178" s="34">
        <v>171</v>
      </c>
      <c r="C178" s="34">
        <v>15</v>
      </c>
      <c r="D178" s="34">
        <v>950</v>
      </c>
      <c r="E178" s="34">
        <v>33</v>
      </c>
      <c r="F178" s="34" t="s">
        <v>55</v>
      </c>
      <c r="G178" s="97">
        <v>0.16757099215162763</v>
      </c>
      <c r="H178" s="34">
        <v>27</v>
      </c>
    </row>
    <row r="179" spans="1:8" x14ac:dyDescent="0.3">
      <c r="A179" s="34">
        <v>178</v>
      </c>
      <c r="B179" s="34">
        <v>841</v>
      </c>
      <c r="C179" s="34">
        <v>36</v>
      </c>
      <c r="D179" s="34">
        <v>5179</v>
      </c>
      <c r="E179" s="34">
        <v>29</v>
      </c>
      <c r="F179" s="34" t="s">
        <v>55</v>
      </c>
      <c r="G179" s="97">
        <v>0.16905414902514515</v>
      </c>
      <c r="H179" s="34">
        <v>28</v>
      </c>
    </row>
    <row r="180" spans="1:8" x14ac:dyDescent="0.3">
      <c r="A180" s="34">
        <v>179</v>
      </c>
      <c r="B180" s="34">
        <v>330</v>
      </c>
      <c r="C180" s="34">
        <v>6</v>
      </c>
      <c r="D180" s="34">
        <v>1068</v>
      </c>
      <c r="E180" s="34">
        <v>28</v>
      </c>
      <c r="F180" s="34" t="s">
        <v>54</v>
      </c>
      <c r="G180" s="97">
        <v>0.1705086003177525</v>
      </c>
      <c r="H180" s="34">
        <v>29</v>
      </c>
    </row>
    <row r="181" spans="1:8" x14ac:dyDescent="0.3">
      <c r="A181" s="34">
        <v>180</v>
      </c>
      <c r="B181" s="34">
        <v>704</v>
      </c>
      <c r="C181" s="34">
        <v>30</v>
      </c>
      <c r="D181" s="34">
        <v>2503</v>
      </c>
      <c r="E181" s="34">
        <v>41</v>
      </c>
      <c r="F181" s="34" t="s">
        <v>54</v>
      </c>
      <c r="G181" s="97">
        <v>0.17080245184974985</v>
      </c>
      <c r="H181" s="34">
        <v>30</v>
      </c>
    </row>
    <row r="182" spans="1:8" x14ac:dyDescent="0.3">
      <c r="A182" s="34">
        <v>181</v>
      </c>
      <c r="B182" s="34">
        <v>627</v>
      </c>
      <c r="C182" s="34">
        <v>6</v>
      </c>
      <c r="D182" s="34">
        <v>2116</v>
      </c>
      <c r="E182" s="34">
        <v>41</v>
      </c>
      <c r="F182" s="34" t="s">
        <v>54</v>
      </c>
      <c r="G182" s="97">
        <v>0.17132905270016363</v>
      </c>
      <c r="H182" s="34">
        <v>31</v>
      </c>
    </row>
    <row r="183" spans="1:8" x14ac:dyDescent="0.3">
      <c r="A183" s="34">
        <v>182</v>
      </c>
      <c r="B183" s="34">
        <v>428</v>
      </c>
      <c r="C183" s="34">
        <v>18</v>
      </c>
      <c r="D183" s="34">
        <v>1149</v>
      </c>
      <c r="E183" s="34">
        <v>46</v>
      </c>
      <c r="F183" s="34" t="s">
        <v>54</v>
      </c>
      <c r="G183" s="97">
        <v>0.17580831426656329</v>
      </c>
      <c r="H183" s="34">
        <v>32</v>
      </c>
    </row>
    <row r="184" spans="1:8" x14ac:dyDescent="0.3">
      <c r="A184" s="34">
        <v>183</v>
      </c>
      <c r="B184" s="34">
        <v>874</v>
      </c>
      <c r="C184" s="34">
        <v>15</v>
      </c>
      <c r="D184" s="34">
        <v>874</v>
      </c>
      <c r="E184" s="34">
        <v>24</v>
      </c>
      <c r="F184" s="34" t="s">
        <v>56</v>
      </c>
      <c r="G184" s="97">
        <v>0.17744774283311293</v>
      </c>
      <c r="H184" s="34">
        <v>33</v>
      </c>
    </row>
    <row r="185" spans="1:8" x14ac:dyDescent="0.3">
      <c r="A185" s="34">
        <v>184</v>
      </c>
      <c r="B185" s="34">
        <v>145</v>
      </c>
      <c r="C185" s="34">
        <v>21</v>
      </c>
      <c r="D185" s="34">
        <v>2288</v>
      </c>
      <c r="E185" s="34">
        <v>23</v>
      </c>
      <c r="F185" s="34" t="s">
        <v>56</v>
      </c>
      <c r="G185" s="97">
        <v>0.17839213209664651</v>
      </c>
      <c r="H185" s="34">
        <v>34</v>
      </c>
    </row>
    <row r="186" spans="1:8" x14ac:dyDescent="0.3">
      <c r="A186" s="34">
        <v>185</v>
      </c>
      <c r="B186" s="34">
        <v>519</v>
      </c>
      <c r="C186" s="34">
        <v>6</v>
      </c>
      <c r="D186" s="34">
        <v>1203</v>
      </c>
      <c r="E186" s="34">
        <v>43</v>
      </c>
      <c r="F186" s="34" t="s">
        <v>54</v>
      </c>
      <c r="G186" s="97">
        <v>0.17882750078997489</v>
      </c>
      <c r="H186" s="34">
        <v>35</v>
      </c>
    </row>
    <row r="187" spans="1:8" x14ac:dyDescent="0.3">
      <c r="A187" s="34">
        <v>186</v>
      </c>
      <c r="B187" s="34">
        <v>531</v>
      </c>
      <c r="C187" s="34">
        <v>36</v>
      </c>
      <c r="D187" s="34">
        <v>2273</v>
      </c>
      <c r="E187" s="34">
        <v>32</v>
      </c>
      <c r="F187" s="34" t="s">
        <v>54</v>
      </c>
      <c r="G187" s="97">
        <v>0.17956474939288314</v>
      </c>
      <c r="H187" s="34">
        <v>36</v>
      </c>
    </row>
    <row r="188" spans="1:8" x14ac:dyDescent="0.3">
      <c r="A188" s="34">
        <v>187</v>
      </c>
      <c r="B188" s="34">
        <v>579</v>
      </c>
      <c r="C188" s="34">
        <v>36</v>
      </c>
      <c r="D188" s="34">
        <v>2820</v>
      </c>
      <c r="E188" s="34">
        <v>27</v>
      </c>
      <c r="F188" s="34" t="s">
        <v>55</v>
      </c>
      <c r="G188" s="97">
        <v>0.18023547858248978</v>
      </c>
      <c r="H188" s="34">
        <v>37</v>
      </c>
    </row>
    <row r="189" spans="1:8" x14ac:dyDescent="0.3">
      <c r="A189" s="34">
        <v>188</v>
      </c>
      <c r="B189" s="34">
        <v>932</v>
      </c>
      <c r="C189" s="34">
        <v>9</v>
      </c>
      <c r="D189" s="34">
        <v>1670</v>
      </c>
      <c r="E189" s="34">
        <v>22</v>
      </c>
      <c r="F189" s="34" t="s">
        <v>57</v>
      </c>
      <c r="G189" s="97">
        <v>0.18042402843169114</v>
      </c>
      <c r="H189" s="34">
        <v>38</v>
      </c>
    </row>
    <row r="190" spans="1:8" x14ac:dyDescent="0.3">
      <c r="A190" s="34">
        <v>189</v>
      </c>
      <c r="B190" s="34">
        <v>861</v>
      </c>
      <c r="C190" s="34">
        <v>24</v>
      </c>
      <c r="D190" s="34">
        <v>5804</v>
      </c>
      <c r="E190" s="34">
        <v>27</v>
      </c>
      <c r="F190" s="34" t="s">
        <v>54</v>
      </c>
      <c r="G190" s="97">
        <v>0.18104716396380749</v>
      </c>
      <c r="H190" s="34">
        <v>39</v>
      </c>
    </row>
    <row r="191" spans="1:8" x14ac:dyDescent="0.3">
      <c r="A191" s="34">
        <v>190</v>
      </c>
      <c r="B191" s="34">
        <v>604</v>
      </c>
      <c r="C191" s="34">
        <v>36</v>
      </c>
      <c r="D191" s="34">
        <v>3349</v>
      </c>
      <c r="E191" s="34">
        <v>28</v>
      </c>
      <c r="F191" s="34" t="s">
        <v>57</v>
      </c>
      <c r="G191" s="97">
        <v>0.18245730786637659</v>
      </c>
      <c r="H191" s="34">
        <v>40</v>
      </c>
    </row>
    <row r="192" spans="1:8" x14ac:dyDescent="0.3">
      <c r="A192" s="34">
        <v>191</v>
      </c>
      <c r="B192" s="34">
        <v>80</v>
      </c>
      <c r="C192" s="34">
        <v>30</v>
      </c>
      <c r="D192" s="34">
        <v>3832</v>
      </c>
      <c r="E192" s="34">
        <v>22</v>
      </c>
      <c r="F192" s="34" t="s">
        <v>54</v>
      </c>
      <c r="G192" s="97">
        <v>0.18381544638834579</v>
      </c>
      <c r="H192" s="34">
        <v>41</v>
      </c>
    </row>
    <row r="193" spans="1:8" x14ac:dyDescent="0.3">
      <c r="A193" s="34">
        <v>192</v>
      </c>
      <c r="B193" s="34">
        <v>676</v>
      </c>
      <c r="C193" s="34">
        <v>30</v>
      </c>
      <c r="D193" s="34">
        <v>4530</v>
      </c>
      <c r="E193" s="34">
        <v>26</v>
      </c>
      <c r="F193" s="34" t="s">
        <v>56</v>
      </c>
      <c r="G193" s="97">
        <v>0.18419045179011961</v>
      </c>
      <c r="H193" s="34">
        <v>42</v>
      </c>
    </row>
    <row r="194" spans="1:8" x14ac:dyDescent="0.3">
      <c r="A194" s="34">
        <v>193</v>
      </c>
      <c r="B194" s="34">
        <v>864</v>
      </c>
      <c r="C194" s="34">
        <v>27</v>
      </c>
      <c r="D194" s="34">
        <v>4526</v>
      </c>
      <c r="E194" s="34">
        <v>32</v>
      </c>
      <c r="F194" s="34" t="s">
        <v>54</v>
      </c>
      <c r="G194" s="97">
        <v>0.18817720575295216</v>
      </c>
      <c r="H194" s="34">
        <v>43</v>
      </c>
    </row>
    <row r="195" spans="1:8" x14ac:dyDescent="0.3">
      <c r="A195" s="34">
        <v>194</v>
      </c>
      <c r="B195" s="34">
        <v>758</v>
      </c>
      <c r="C195" s="34">
        <v>15</v>
      </c>
      <c r="D195" s="34">
        <v>1271</v>
      </c>
      <c r="E195" s="34">
        <v>39</v>
      </c>
      <c r="F195" s="34" t="s">
        <v>55</v>
      </c>
      <c r="G195" s="97">
        <v>0.18930972225762577</v>
      </c>
      <c r="H195" s="34">
        <v>44</v>
      </c>
    </row>
    <row r="196" spans="1:8" x14ac:dyDescent="0.3">
      <c r="A196" s="34">
        <v>195</v>
      </c>
      <c r="B196" s="34">
        <v>369</v>
      </c>
      <c r="C196" s="34">
        <v>36</v>
      </c>
      <c r="D196" s="34">
        <v>3446</v>
      </c>
      <c r="E196" s="34">
        <v>42</v>
      </c>
      <c r="F196" s="34" t="s">
        <v>55</v>
      </c>
      <c r="G196" s="97">
        <v>0.19017789593136569</v>
      </c>
      <c r="H196" s="34">
        <v>45</v>
      </c>
    </row>
    <row r="197" spans="1:8" x14ac:dyDescent="0.3">
      <c r="A197" s="34">
        <v>196</v>
      </c>
      <c r="B197" s="34">
        <v>200</v>
      </c>
      <c r="C197" s="34">
        <v>18</v>
      </c>
      <c r="D197" s="34">
        <v>4297</v>
      </c>
      <c r="E197" s="34">
        <v>40</v>
      </c>
      <c r="F197" s="34" t="s">
        <v>55</v>
      </c>
      <c r="G197" s="97">
        <v>0.19078011676225082</v>
      </c>
      <c r="H197" s="34">
        <v>46</v>
      </c>
    </row>
    <row r="198" spans="1:8" x14ac:dyDescent="0.3">
      <c r="A198" s="34">
        <v>197</v>
      </c>
      <c r="B198" s="34">
        <v>240</v>
      </c>
      <c r="C198" s="34">
        <v>30</v>
      </c>
      <c r="D198" s="34">
        <v>2522</v>
      </c>
      <c r="E198" s="34">
        <v>39</v>
      </c>
      <c r="F198" s="34" t="s">
        <v>54</v>
      </c>
      <c r="G198" s="97">
        <v>0.19277764070461256</v>
      </c>
      <c r="H198" s="34">
        <v>47</v>
      </c>
    </row>
    <row r="199" spans="1:8" x14ac:dyDescent="0.3">
      <c r="A199" s="34">
        <v>198</v>
      </c>
      <c r="B199" s="34">
        <v>822</v>
      </c>
      <c r="C199" s="34">
        <v>12</v>
      </c>
      <c r="D199" s="34">
        <v>3016</v>
      </c>
      <c r="E199" s="34">
        <v>24</v>
      </c>
      <c r="F199" s="34" t="s">
        <v>54</v>
      </c>
      <c r="G199" s="97">
        <v>0.19392188566878266</v>
      </c>
      <c r="H199" s="34">
        <v>48</v>
      </c>
    </row>
    <row r="200" spans="1:8" x14ac:dyDescent="0.3">
      <c r="A200" s="34">
        <v>199</v>
      </c>
      <c r="B200" s="34">
        <v>295</v>
      </c>
      <c r="C200" s="34">
        <v>48</v>
      </c>
      <c r="D200" s="34">
        <v>7629</v>
      </c>
      <c r="E200" s="34">
        <v>46</v>
      </c>
      <c r="F200" s="34" t="s">
        <v>54</v>
      </c>
      <c r="G200" s="97">
        <v>0.1940212086298716</v>
      </c>
      <c r="H200" s="34">
        <v>49</v>
      </c>
    </row>
    <row r="201" spans="1:8" x14ac:dyDescent="0.3">
      <c r="A201" s="34">
        <v>200</v>
      </c>
      <c r="B201" s="34">
        <v>751</v>
      </c>
      <c r="C201" s="34">
        <v>6</v>
      </c>
      <c r="D201" s="34">
        <v>428</v>
      </c>
      <c r="E201" s="34">
        <v>49</v>
      </c>
      <c r="F201" s="34" t="s">
        <v>56</v>
      </c>
      <c r="G201" s="97">
        <v>0.19470634481055848</v>
      </c>
      <c r="H201" s="34">
        <v>50</v>
      </c>
    </row>
    <row r="202" spans="1:8" x14ac:dyDescent="0.3">
      <c r="A202" s="34">
        <v>201</v>
      </c>
      <c r="B202" s="34">
        <v>296</v>
      </c>
      <c r="C202" s="34">
        <v>48</v>
      </c>
      <c r="D202" s="34">
        <v>9960</v>
      </c>
      <c r="E202" s="34">
        <v>26</v>
      </c>
      <c r="F202" s="34" t="s">
        <v>57</v>
      </c>
      <c r="G202" s="97">
        <v>0.19551294689609966</v>
      </c>
      <c r="H202" s="34">
        <v>1</v>
      </c>
    </row>
    <row r="203" spans="1:8" x14ac:dyDescent="0.3">
      <c r="A203" s="34">
        <v>202</v>
      </c>
      <c r="B203" s="34">
        <v>728</v>
      </c>
      <c r="C203" s="34">
        <v>18</v>
      </c>
      <c r="D203" s="34">
        <v>1882</v>
      </c>
      <c r="E203" s="34">
        <v>25</v>
      </c>
      <c r="F203" s="34" t="s">
        <v>57</v>
      </c>
      <c r="G203" s="97">
        <v>0.19936880059059681</v>
      </c>
      <c r="H203" s="34">
        <v>2</v>
      </c>
    </row>
    <row r="204" spans="1:8" x14ac:dyDescent="0.3">
      <c r="A204" s="34">
        <v>203</v>
      </c>
      <c r="B204" s="34">
        <v>878</v>
      </c>
      <c r="C204" s="34">
        <v>36</v>
      </c>
      <c r="D204" s="34">
        <v>3595</v>
      </c>
      <c r="E204" s="34">
        <v>28</v>
      </c>
      <c r="F204" s="34" t="s">
        <v>54</v>
      </c>
      <c r="G204" s="97">
        <v>0.20291679390979722</v>
      </c>
      <c r="H204" s="34">
        <v>3</v>
      </c>
    </row>
    <row r="205" spans="1:8" x14ac:dyDescent="0.3">
      <c r="A205" s="34">
        <v>204</v>
      </c>
      <c r="B205" s="34">
        <v>804</v>
      </c>
      <c r="C205" s="34">
        <v>12</v>
      </c>
      <c r="D205" s="34">
        <v>976</v>
      </c>
      <c r="E205" s="34">
        <v>35</v>
      </c>
      <c r="F205" s="34" t="s">
        <v>54</v>
      </c>
      <c r="G205" s="97">
        <v>0.20364749918411018</v>
      </c>
      <c r="H205" s="34">
        <v>4</v>
      </c>
    </row>
    <row r="206" spans="1:8" x14ac:dyDescent="0.3">
      <c r="A206" s="34">
        <v>205</v>
      </c>
      <c r="B206" s="34">
        <v>207</v>
      </c>
      <c r="C206" s="34">
        <v>12</v>
      </c>
      <c r="D206" s="34">
        <v>1935</v>
      </c>
      <c r="E206" s="34">
        <v>43</v>
      </c>
      <c r="F206" s="34" t="s">
        <v>54</v>
      </c>
      <c r="G206" s="97">
        <v>0.20445868085606633</v>
      </c>
      <c r="H206" s="34">
        <v>5</v>
      </c>
    </row>
    <row r="207" spans="1:8" x14ac:dyDescent="0.3">
      <c r="A207" s="34">
        <v>206</v>
      </c>
      <c r="B207" s="34">
        <v>515</v>
      </c>
      <c r="C207" s="34">
        <v>24</v>
      </c>
      <c r="D207" s="34">
        <v>2255</v>
      </c>
      <c r="E207" s="34">
        <v>54</v>
      </c>
      <c r="F207" s="34" t="s">
        <v>54</v>
      </c>
      <c r="G207" s="97">
        <v>0.20460685021398528</v>
      </c>
      <c r="H207" s="34">
        <v>6</v>
      </c>
    </row>
    <row r="208" spans="1:8" x14ac:dyDescent="0.3">
      <c r="A208" s="34">
        <v>207</v>
      </c>
      <c r="B208" s="34">
        <v>599</v>
      </c>
      <c r="C208" s="34">
        <v>18</v>
      </c>
      <c r="D208" s="34">
        <v>2775</v>
      </c>
      <c r="E208" s="34">
        <v>31</v>
      </c>
      <c r="F208" s="34" t="s">
        <v>55</v>
      </c>
      <c r="G208" s="97">
        <v>0.20494614300394598</v>
      </c>
      <c r="H208" s="34">
        <v>7</v>
      </c>
    </row>
    <row r="209" spans="1:8" x14ac:dyDescent="0.3">
      <c r="A209" s="34">
        <v>208</v>
      </c>
      <c r="B209" s="34">
        <v>805</v>
      </c>
      <c r="C209" s="34">
        <v>12</v>
      </c>
      <c r="D209" s="34">
        <v>7472</v>
      </c>
      <c r="E209" s="34">
        <v>24</v>
      </c>
      <c r="F209" s="34" t="s">
        <v>56</v>
      </c>
      <c r="G209" s="97">
        <v>0.20536542934410862</v>
      </c>
      <c r="H209" s="34">
        <v>8</v>
      </c>
    </row>
    <row r="210" spans="1:8" x14ac:dyDescent="0.3">
      <c r="A210" s="34">
        <v>209</v>
      </c>
      <c r="B210" s="34">
        <v>950</v>
      </c>
      <c r="C210" s="34">
        <v>24</v>
      </c>
      <c r="D210" s="34">
        <v>3621</v>
      </c>
      <c r="E210" s="34">
        <v>31</v>
      </c>
      <c r="F210" s="34" t="s">
        <v>55</v>
      </c>
      <c r="G210" s="97">
        <v>0.20617500466493288</v>
      </c>
      <c r="H210" s="34">
        <v>9</v>
      </c>
    </row>
    <row r="211" spans="1:8" x14ac:dyDescent="0.3">
      <c r="A211" s="34">
        <v>210</v>
      </c>
      <c r="B211" s="34">
        <v>22</v>
      </c>
      <c r="C211" s="34">
        <v>6</v>
      </c>
      <c r="D211" s="34">
        <v>2647</v>
      </c>
      <c r="E211" s="34">
        <v>44</v>
      </c>
      <c r="F211" s="34" t="s">
        <v>54</v>
      </c>
      <c r="G211" s="97">
        <v>0.20631895556769941</v>
      </c>
      <c r="H211" s="34">
        <v>10</v>
      </c>
    </row>
    <row r="212" spans="1:8" x14ac:dyDescent="0.3">
      <c r="A212" s="34">
        <v>211</v>
      </c>
      <c r="B212" s="34">
        <v>184</v>
      </c>
      <c r="C212" s="34">
        <v>24</v>
      </c>
      <c r="D212" s="34">
        <v>3777</v>
      </c>
      <c r="E212" s="34">
        <v>50</v>
      </c>
      <c r="F212" s="34" t="s">
        <v>54</v>
      </c>
      <c r="G212" s="97">
        <v>0.21002479392922913</v>
      </c>
      <c r="H212" s="34">
        <v>11</v>
      </c>
    </row>
    <row r="213" spans="1:8" x14ac:dyDescent="0.3">
      <c r="A213" s="34">
        <v>212</v>
      </c>
      <c r="B213" s="34">
        <v>333</v>
      </c>
      <c r="C213" s="34">
        <v>60</v>
      </c>
      <c r="D213" s="34">
        <v>7408</v>
      </c>
      <c r="E213" s="34">
        <v>24</v>
      </c>
      <c r="F213" s="34" t="s">
        <v>57</v>
      </c>
      <c r="G213" s="97">
        <v>0.2106727735576891</v>
      </c>
      <c r="H213" s="34">
        <v>12</v>
      </c>
    </row>
    <row r="214" spans="1:8" x14ac:dyDescent="0.3">
      <c r="A214" s="34">
        <v>213</v>
      </c>
      <c r="B214" s="34">
        <v>185</v>
      </c>
      <c r="C214" s="34">
        <v>18</v>
      </c>
      <c r="D214" s="34">
        <v>884</v>
      </c>
      <c r="E214" s="34">
        <v>36</v>
      </c>
      <c r="F214" s="34" t="s">
        <v>55</v>
      </c>
      <c r="G214" s="97">
        <v>0.21394591596404056</v>
      </c>
      <c r="H214" s="34">
        <v>13</v>
      </c>
    </row>
    <row r="215" spans="1:8" x14ac:dyDescent="0.3">
      <c r="A215" s="34">
        <v>214</v>
      </c>
      <c r="B215" s="34">
        <v>854</v>
      </c>
      <c r="C215" s="34">
        <v>18</v>
      </c>
      <c r="D215" s="34">
        <v>1442</v>
      </c>
      <c r="E215" s="34">
        <v>32</v>
      </c>
      <c r="F215" s="34" t="s">
        <v>55</v>
      </c>
      <c r="G215" s="97">
        <v>0.21414847544151427</v>
      </c>
      <c r="H215" s="34">
        <v>14</v>
      </c>
    </row>
    <row r="216" spans="1:8" x14ac:dyDescent="0.3">
      <c r="A216" s="34">
        <v>215</v>
      </c>
      <c r="B216" s="34">
        <v>945</v>
      </c>
      <c r="C216" s="34">
        <v>15</v>
      </c>
      <c r="D216" s="34">
        <v>1845</v>
      </c>
      <c r="E216" s="34">
        <v>46</v>
      </c>
      <c r="F216" s="34" t="s">
        <v>56</v>
      </c>
      <c r="G216" s="97">
        <v>0.21431281264513202</v>
      </c>
      <c r="H216" s="34">
        <v>15</v>
      </c>
    </row>
    <row r="217" spans="1:8" x14ac:dyDescent="0.3">
      <c r="A217" s="34">
        <v>216</v>
      </c>
      <c r="B217" s="34">
        <v>890</v>
      </c>
      <c r="C217" s="34">
        <v>28</v>
      </c>
      <c r="D217" s="34">
        <v>7824</v>
      </c>
      <c r="E217" s="34">
        <v>40</v>
      </c>
      <c r="F217" s="34" t="s">
        <v>54</v>
      </c>
      <c r="G217" s="97">
        <v>0.21818726363935004</v>
      </c>
      <c r="H217" s="34">
        <v>16</v>
      </c>
    </row>
    <row r="218" spans="1:8" x14ac:dyDescent="0.3">
      <c r="A218" s="34">
        <v>217</v>
      </c>
      <c r="B218" s="34">
        <v>552</v>
      </c>
      <c r="C218" s="34">
        <v>6</v>
      </c>
      <c r="D218" s="34">
        <v>1750</v>
      </c>
      <c r="E218" s="34">
        <v>45</v>
      </c>
      <c r="F218" s="34" t="s">
        <v>54</v>
      </c>
      <c r="G218" s="97">
        <v>0.21926561668994615</v>
      </c>
      <c r="H218" s="34">
        <v>17</v>
      </c>
    </row>
    <row r="219" spans="1:8" x14ac:dyDescent="0.3">
      <c r="A219" s="34">
        <v>218</v>
      </c>
      <c r="B219" s="34">
        <v>520</v>
      </c>
      <c r="C219" s="34">
        <v>6</v>
      </c>
      <c r="D219" s="34">
        <v>700</v>
      </c>
      <c r="E219" s="34">
        <v>36</v>
      </c>
      <c r="F219" s="34" t="s">
        <v>54</v>
      </c>
      <c r="G219" s="97">
        <v>0.21994870474242301</v>
      </c>
      <c r="H219" s="34">
        <v>18</v>
      </c>
    </row>
    <row r="220" spans="1:8" x14ac:dyDescent="0.3">
      <c r="A220" s="34">
        <v>219</v>
      </c>
      <c r="B220" s="34">
        <v>842</v>
      </c>
      <c r="C220" s="34">
        <v>21</v>
      </c>
      <c r="D220" s="34">
        <v>2993</v>
      </c>
      <c r="E220" s="34">
        <v>28</v>
      </c>
      <c r="F220" s="34" t="s">
        <v>54</v>
      </c>
      <c r="G220" s="97">
        <v>0.22004293544856057</v>
      </c>
      <c r="H220" s="34">
        <v>19</v>
      </c>
    </row>
    <row r="221" spans="1:8" x14ac:dyDescent="0.3">
      <c r="A221" s="34">
        <v>220</v>
      </c>
      <c r="B221" s="34">
        <v>282</v>
      </c>
      <c r="C221" s="34">
        <v>12</v>
      </c>
      <c r="D221" s="34">
        <v>1574</v>
      </c>
      <c r="E221" s="34">
        <v>50</v>
      </c>
      <c r="F221" s="34" t="s">
        <v>54</v>
      </c>
      <c r="G221" s="97">
        <v>0.22411751360220633</v>
      </c>
      <c r="H221" s="34">
        <v>20</v>
      </c>
    </row>
    <row r="222" spans="1:8" x14ac:dyDescent="0.3">
      <c r="A222" s="34">
        <v>221</v>
      </c>
      <c r="B222" s="34">
        <v>680</v>
      </c>
      <c r="C222" s="34">
        <v>18</v>
      </c>
      <c r="D222" s="34">
        <v>1453</v>
      </c>
      <c r="E222" s="34">
        <v>26</v>
      </c>
      <c r="F222" s="34" t="s">
        <v>56</v>
      </c>
      <c r="G222" s="97">
        <v>0.22439897909137785</v>
      </c>
      <c r="H222" s="34">
        <v>21</v>
      </c>
    </row>
    <row r="223" spans="1:8" x14ac:dyDescent="0.3">
      <c r="A223" s="34">
        <v>222</v>
      </c>
      <c r="B223" s="34">
        <v>348</v>
      </c>
      <c r="C223" s="34">
        <v>24</v>
      </c>
      <c r="D223" s="34">
        <v>3758</v>
      </c>
      <c r="E223" s="34">
        <v>23</v>
      </c>
      <c r="F223" s="34" t="s">
        <v>56</v>
      </c>
      <c r="G223" s="97">
        <v>0.22532943138341788</v>
      </c>
      <c r="H223" s="34">
        <v>22</v>
      </c>
    </row>
    <row r="224" spans="1:8" x14ac:dyDescent="0.3">
      <c r="A224" s="34">
        <v>223</v>
      </c>
      <c r="B224" s="34">
        <v>752</v>
      </c>
      <c r="C224" s="34">
        <v>18</v>
      </c>
      <c r="D224" s="34">
        <v>976</v>
      </c>
      <c r="E224" s="34">
        <v>23</v>
      </c>
      <c r="F224" s="34" t="s">
        <v>57</v>
      </c>
      <c r="G224" s="97">
        <v>0.22678916588817155</v>
      </c>
      <c r="H224" s="34">
        <v>23</v>
      </c>
    </row>
    <row r="225" spans="1:8" x14ac:dyDescent="0.3">
      <c r="A225" s="34">
        <v>224</v>
      </c>
      <c r="B225" s="34">
        <v>746</v>
      </c>
      <c r="C225" s="34">
        <v>13</v>
      </c>
      <c r="D225" s="34">
        <v>1797</v>
      </c>
      <c r="E225" s="34">
        <v>28</v>
      </c>
      <c r="F225" s="34" t="s">
        <v>54</v>
      </c>
      <c r="G225" s="97">
        <v>0.22704069622649714</v>
      </c>
      <c r="H225" s="34">
        <v>24</v>
      </c>
    </row>
    <row r="226" spans="1:8" x14ac:dyDescent="0.3">
      <c r="A226" s="34">
        <v>225</v>
      </c>
      <c r="B226" s="34">
        <v>510</v>
      </c>
      <c r="C226" s="34">
        <v>39</v>
      </c>
      <c r="D226" s="34">
        <v>8588</v>
      </c>
      <c r="E226" s="34">
        <v>45</v>
      </c>
      <c r="F226" s="34" t="s">
        <v>54</v>
      </c>
      <c r="G226" s="97">
        <v>0.22743826555853186</v>
      </c>
      <c r="H226" s="34">
        <v>25</v>
      </c>
    </row>
    <row r="227" spans="1:8" x14ac:dyDescent="0.3">
      <c r="A227" s="34">
        <v>226</v>
      </c>
      <c r="B227" s="34">
        <v>658</v>
      </c>
      <c r="C227" s="34">
        <v>48</v>
      </c>
      <c r="D227" s="34">
        <v>10222</v>
      </c>
      <c r="E227" s="34">
        <v>37</v>
      </c>
      <c r="F227" s="34" t="s">
        <v>54</v>
      </c>
      <c r="G227" s="97">
        <v>0.22802158569208042</v>
      </c>
      <c r="H227" s="34">
        <v>26</v>
      </c>
    </row>
    <row r="228" spans="1:8" x14ac:dyDescent="0.3">
      <c r="A228" s="34">
        <v>227</v>
      </c>
      <c r="B228" s="34">
        <v>901</v>
      </c>
      <c r="C228" s="34">
        <v>16</v>
      </c>
      <c r="D228" s="34">
        <v>2625</v>
      </c>
      <c r="E228" s="34">
        <v>43</v>
      </c>
      <c r="F228" s="34" t="s">
        <v>55</v>
      </c>
      <c r="G228" s="97">
        <v>0.22844877963254417</v>
      </c>
      <c r="H228" s="34">
        <v>27</v>
      </c>
    </row>
    <row r="229" spans="1:8" x14ac:dyDescent="0.3">
      <c r="A229" s="34">
        <v>228</v>
      </c>
      <c r="B229" s="34">
        <v>538</v>
      </c>
      <c r="C229" s="34">
        <v>18</v>
      </c>
      <c r="D229" s="34">
        <v>3612</v>
      </c>
      <c r="E229" s="34">
        <v>37</v>
      </c>
      <c r="F229" s="34" t="s">
        <v>56</v>
      </c>
      <c r="G229" s="97">
        <v>0.22979780833418995</v>
      </c>
      <c r="H229" s="34">
        <v>28</v>
      </c>
    </row>
    <row r="230" spans="1:8" x14ac:dyDescent="0.3">
      <c r="A230" s="34">
        <v>229</v>
      </c>
      <c r="B230" s="34">
        <v>86</v>
      </c>
      <c r="C230" s="34">
        <v>12</v>
      </c>
      <c r="D230" s="34">
        <v>1412</v>
      </c>
      <c r="E230" s="34">
        <v>29</v>
      </c>
      <c r="F230" s="34" t="s">
        <v>56</v>
      </c>
      <c r="G230" s="97">
        <v>0.23204746384579977</v>
      </c>
      <c r="H230" s="34">
        <v>29</v>
      </c>
    </row>
    <row r="231" spans="1:8" x14ac:dyDescent="0.3">
      <c r="A231" s="34">
        <v>230</v>
      </c>
      <c r="B231" s="34">
        <v>505</v>
      </c>
      <c r="C231" s="34">
        <v>24</v>
      </c>
      <c r="D231" s="34">
        <v>1207</v>
      </c>
      <c r="E231" s="34">
        <v>24</v>
      </c>
      <c r="F231" s="34" t="s">
        <v>57</v>
      </c>
      <c r="G231" s="97">
        <v>0.2353308289285998</v>
      </c>
      <c r="H231" s="34">
        <v>30</v>
      </c>
    </row>
    <row r="232" spans="1:8" x14ac:dyDescent="0.3">
      <c r="A232" s="34">
        <v>231</v>
      </c>
      <c r="B232" s="34">
        <v>468</v>
      </c>
      <c r="C232" s="34">
        <v>48</v>
      </c>
      <c r="D232" s="34">
        <v>7238</v>
      </c>
      <c r="E232" s="34">
        <v>32</v>
      </c>
      <c r="F232" s="34" t="s">
        <v>54</v>
      </c>
      <c r="G232" s="97">
        <v>0.23579479453869368</v>
      </c>
      <c r="H232" s="34">
        <v>31</v>
      </c>
    </row>
    <row r="233" spans="1:8" x14ac:dyDescent="0.3">
      <c r="A233" s="34">
        <v>232</v>
      </c>
      <c r="B233" s="34">
        <v>480</v>
      </c>
      <c r="C233" s="34">
        <v>15</v>
      </c>
      <c r="D233" s="34">
        <v>1478</v>
      </c>
      <c r="E233" s="34">
        <v>44</v>
      </c>
      <c r="F233" s="34" t="s">
        <v>54</v>
      </c>
      <c r="G233" s="97">
        <v>0.23604710422677988</v>
      </c>
      <c r="H233" s="34">
        <v>32</v>
      </c>
    </row>
    <row r="234" spans="1:8" x14ac:dyDescent="0.3">
      <c r="A234" s="34">
        <v>233</v>
      </c>
      <c r="B234" s="34">
        <v>701</v>
      </c>
      <c r="C234" s="34">
        <v>12</v>
      </c>
      <c r="D234" s="34">
        <v>1123</v>
      </c>
      <c r="E234" s="34">
        <v>29</v>
      </c>
      <c r="F234" s="34" t="s">
        <v>57</v>
      </c>
      <c r="G234" s="97">
        <v>0.2396735343722719</v>
      </c>
      <c r="H234" s="34">
        <v>33</v>
      </c>
    </row>
    <row r="235" spans="1:8" x14ac:dyDescent="0.3">
      <c r="A235" s="34">
        <v>234</v>
      </c>
      <c r="B235" s="34">
        <v>367</v>
      </c>
      <c r="C235" s="34">
        <v>18</v>
      </c>
      <c r="D235" s="34">
        <v>3850</v>
      </c>
      <c r="E235" s="34">
        <v>27</v>
      </c>
      <c r="F235" s="34" t="s">
        <v>54</v>
      </c>
      <c r="G235" s="97">
        <v>0.23977164914747739</v>
      </c>
      <c r="H235" s="34">
        <v>34</v>
      </c>
    </row>
    <row r="236" spans="1:8" x14ac:dyDescent="0.3">
      <c r="A236" s="34">
        <v>235</v>
      </c>
      <c r="B236" s="34">
        <v>924</v>
      </c>
      <c r="C236" s="34">
        <v>12</v>
      </c>
      <c r="D236" s="34">
        <v>2002</v>
      </c>
      <c r="E236" s="34">
        <v>30</v>
      </c>
      <c r="F236" s="34" t="s">
        <v>54</v>
      </c>
      <c r="G236" s="97">
        <v>0.24098240959710593</v>
      </c>
      <c r="H236" s="34">
        <v>35</v>
      </c>
    </row>
    <row r="237" spans="1:8" x14ac:dyDescent="0.3">
      <c r="A237" s="34">
        <v>236</v>
      </c>
      <c r="B237" s="34">
        <v>241</v>
      </c>
      <c r="C237" s="34">
        <v>24</v>
      </c>
      <c r="D237" s="34">
        <v>915</v>
      </c>
      <c r="E237" s="34">
        <v>29</v>
      </c>
      <c r="F237" s="34" t="s">
        <v>57</v>
      </c>
      <c r="G237" s="97">
        <v>0.2411033908379181</v>
      </c>
      <c r="H237" s="34">
        <v>36</v>
      </c>
    </row>
    <row r="238" spans="1:8" x14ac:dyDescent="0.3">
      <c r="A238" s="34">
        <v>237</v>
      </c>
      <c r="B238" s="34">
        <v>498</v>
      </c>
      <c r="C238" s="34">
        <v>24</v>
      </c>
      <c r="D238" s="34">
        <v>1585</v>
      </c>
      <c r="E238" s="34">
        <v>40</v>
      </c>
      <c r="F238" s="34" t="s">
        <v>54</v>
      </c>
      <c r="G238" s="97">
        <v>0.24188584957034998</v>
      </c>
      <c r="H238" s="34">
        <v>37</v>
      </c>
    </row>
    <row r="239" spans="1:8" x14ac:dyDescent="0.3">
      <c r="A239" s="34">
        <v>238</v>
      </c>
      <c r="B239" s="34">
        <v>578</v>
      </c>
      <c r="C239" s="34">
        <v>24</v>
      </c>
      <c r="D239" s="34">
        <v>1927</v>
      </c>
      <c r="E239" s="34">
        <v>33</v>
      </c>
      <c r="F239" s="34" t="s">
        <v>56</v>
      </c>
      <c r="G239" s="97">
        <v>0.24220547058876418</v>
      </c>
      <c r="H239" s="34">
        <v>38</v>
      </c>
    </row>
    <row r="240" spans="1:8" x14ac:dyDescent="0.3">
      <c r="A240" s="34">
        <v>239</v>
      </c>
      <c r="B240" s="34">
        <v>534</v>
      </c>
      <c r="C240" s="34">
        <v>24</v>
      </c>
      <c r="D240" s="34">
        <v>1311</v>
      </c>
      <c r="E240" s="34">
        <v>26</v>
      </c>
      <c r="F240" s="34" t="s">
        <v>54</v>
      </c>
      <c r="G240" s="97">
        <v>0.2428826636874688</v>
      </c>
      <c r="H240" s="34">
        <v>39</v>
      </c>
    </row>
    <row r="241" spans="1:8" x14ac:dyDescent="0.3">
      <c r="A241" s="34">
        <v>240</v>
      </c>
      <c r="B241" s="34">
        <v>943</v>
      </c>
      <c r="C241" s="34">
        <v>24</v>
      </c>
      <c r="D241" s="34">
        <v>929</v>
      </c>
      <c r="E241" s="34">
        <v>31</v>
      </c>
      <c r="F241" s="34" t="s">
        <v>54</v>
      </c>
      <c r="G241" s="97">
        <v>0.24301830035100713</v>
      </c>
      <c r="H241" s="34">
        <v>40</v>
      </c>
    </row>
    <row r="242" spans="1:8" x14ac:dyDescent="0.3">
      <c r="A242" s="34">
        <v>241</v>
      </c>
      <c r="B242" s="34">
        <v>635</v>
      </c>
      <c r="C242" s="34">
        <v>24</v>
      </c>
      <c r="D242" s="34">
        <v>1355</v>
      </c>
      <c r="E242" s="34">
        <v>25</v>
      </c>
      <c r="F242" s="34" t="s">
        <v>57</v>
      </c>
      <c r="G242" s="97">
        <v>0.24356408437344157</v>
      </c>
      <c r="H242" s="34">
        <v>41</v>
      </c>
    </row>
    <row r="243" spans="1:8" x14ac:dyDescent="0.3">
      <c r="A243" s="34">
        <v>242</v>
      </c>
      <c r="B243" s="34">
        <v>634</v>
      </c>
      <c r="C243" s="34">
        <v>9</v>
      </c>
      <c r="D243" s="34">
        <v>1980</v>
      </c>
      <c r="E243" s="34">
        <v>19</v>
      </c>
      <c r="F243" s="34" t="s">
        <v>57</v>
      </c>
      <c r="G243" s="97">
        <v>0.24453007164694607</v>
      </c>
      <c r="H243" s="34">
        <v>42</v>
      </c>
    </row>
    <row r="244" spans="1:8" x14ac:dyDescent="0.3">
      <c r="A244" s="34">
        <v>243</v>
      </c>
      <c r="B244" s="34">
        <v>517</v>
      </c>
      <c r="C244" s="34">
        <v>6</v>
      </c>
      <c r="D244" s="34">
        <v>1361</v>
      </c>
      <c r="E244" s="34">
        <v>40</v>
      </c>
      <c r="F244" s="34" t="s">
        <v>54</v>
      </c>
      <c r="G244" s="97">
        <v>0.24455550501188561</v>
      </c>
      <c r="H244" s="34">
        <v>43</v>
      </c>
    </row>
    <row r="245" spans="1:8" x14ac:dyDescent="0.3">
      <c r="A245" s="34">
        <v>244</v>
      </c>
      <c r="B245" s="34">
        <v>766</v>
      </c>
      <c r="C245" s="34">
        <v>12</v>
      </c>
      <c r="D245" s="34">
        <v>1155</v>
      </c>
      <c r="E245" s="34">
        <v>40</v>
      </c>
      <c r="F245" s="34" t="s">
        <v>54</v>
      </c>
      <c r="G245" s="97">
        <v>0.24540589499504484</v>
      </c>
      <c r="H245" s="34">
        <v>44</v>
      </c>
    </row>
    <row r="246" spans="1:8" x14ac:dyDescent="0.3">
      <c r="A246" s="34">
        <v>245</v>
      </c>
      <c r="B246" s="34">
        <v>712</v>
      </c>
      <c r="C246" s="34">
        <v>6</v>
      </c>
      <c r="D246" s="34">
        <v>1198</v>
      </c>
      <c r="E246" s="34">
        <v>35</v>
      </c>
      <c r="F246" s="34" t="s">
        <v>57</v>
      </c>
      <c r="G246" s="97">
        <v>0.24896613660783506</v>
      </c>
      <c r="H246" s="34">
        <v>45</v>
      </c>
    </row>
    <row r="247" spans="1:8" x14ac:dyDescent="0.3">
      <c r="A247" s="34">
        <v>246</v>
      </c>
      <c r="B247" s="34">
        <v>148</v>
      </c>
      <c r="C247" s="34">
        <v>12</v>
      </c>
      <c r="D247" s="34">
        <v>682</v>
      </c>
      <c r="E247" s="34">
        <v>51</v>
      </c>
      <c r="F247" s="34" t="s">
        <v>56</v>
      </c>
      <c r="G247" s="97">
        <v>0.25126762267234015</v>
      </c>
      <c r="H247" s="34">
        <v>46</v>
      </c>
    </row>
    <row r="248" spans="1:8" x14ac:dyDescent="0.3">
      <c r="A248" s="34">
        <v>247</v>
      </c>
      <c r="B248" s="34">
        <v>374</v>
      </c>
      <c r="C248" s="34">
        <v>60</v>
      </c>
      <c r="D248" s="34">
        <v>13756</v>
      </c>
      <c r="E248" s="34">
        <v>63</v>
      </c>
      <c r="F248" s="34" t="s">
        <v>54</v>
      </c>
      <c r="G248" s="97">
        <v>0.25197244063545854</v>
      </c>
      <c r="H248" s="34">
        <v>47</v>
      </c>
    </row>
    <row r="249" spans="1:8" x14ac:dyDescent="0.3">
      <c r="A249" s="34">
        <v>248</v>
      </c>
      <c r="B249" s="34">
        <v>603</v>
      </c>
      <c r="C249" s="34">
        <v>24</v>
      </c>
      <c r="D249" s="34">
        <v>1837</v>
      </c>
      <c r="E249" s="34">
        <v>34</v>
      </c>
      <c r="F249" s="34" t="s">
        <v>57</v>
      </c>
      <c r="G249" s="97">
        <v>0.25319914113395903</v>
      </c>
      <c r="H249" s="34">
        <v>48</v>
      </c>
    </row>
    <row r="250" spans="1:8" x14ac:dyDescent="0.3">
      <c r="A250" s="34">
        <v>249</v>
      </c>
      <c r="B250" s="34">
        <v>306</v>
      </c>
      <c r="C250" s="34">
        <v>6</v>
      </c>
      <c r="D250" s="34">
        <v>1543</v>
      </c>
      <c r="E250" s="34">
        <v>33</v>
      </c>
      <c r="F250" s="34" t="s">
        <v>54</v>
      </c>
      <c r="G250" s="97">
        <v>0.25357876412178904</v>
      </c>
      <c r="H250" s="34">
        <v>49</v>
      </c>
    </row>
    <row r="251" spans="1:8" x14ac:dyDescent="0.3">
      <c r="A251" s="34">
        <v>250</v>
      </c>
      <c r="B251" s="34">
        <v>470</v>
      </c>
      <c r="C251" s="34">
        <v>24</v>
      </c>
      <c r="D251" s="34">
        <v>4679</v>
      </c>
      <c r="E251" s="34">
        <v>35</v>
      </c>
      <c r="F251" s="34" t="s">
        <v>54</v>
      </c>
      <c r="G251" s="97">
        <v>0.25370814071678316</v>
      </c>
      <c r="H251" s="34">
        <v>50</v>
      </c>
    </row>
    <row r="252" spans="1:8" x14ac:dyDescent="0.3">
      <c r="A252" s="34">
        <v>251</v>
      </c>
      <c r="B252" s="34">
        <v>721</v>
      </c>
      <c r="C252" s="34">
        <v>9</v>
      </c>
      <c r="D252" s="34">
        <v>1337</v>
      </c>
      <c r="E252" s="34">
        <v>34</v>
      </c>
      <c r="F252" s="34" t="s">
        <v>55</v>
      </c>
      <c r="G252" s="97">
        <v>0.25434511536687265</v>
      </c>
      <c r="H252" s="34">
        <v>1</v>
      </c>
    </row>
    <row r="253" spans="1:8" x14ac:dyDescent="0.3">
      <c r="A253" s="34">
        <v>252</v>
      </c>
      <c r="B253" s="34">
        <v>175</v>
      </c>
      <c r="C253" s="34">
        <v>21</v>
      </c>
      <c r="D253" s="34">
        <v>3414</v>
      </c>
      <c r="E253" s="34">
        <v>26</v>
      </c>
      <c r="F253" s="34" t="s">
        <v>55</v>
      </c>
      <c r="G253" s="97">
        <v>0.25469603327958212</v>
      </c>
      <c r="H253" s="34">
        <v>2</v>
      </c>
    </row>
    <row r="254" spans="1:8" x14ac:dyDescent="0.3">
      <c r="A254" s="34">
        <v>253</v>
      </c>
      <c r="B254" s="34">
        <v>84</v>
      </c>
      <c r="C254" s="34">
        <v>24</v>
      </c>
      <c r="D254" s="34">
        <v>1755</v>
      </c>
      <c r="E254" s="34">
        <v>58</v>
      </c>
      <c r="F254" s="34" t="s">
        <v>56</v>
      </c>
      <c r="G254" s="97">
        <v>0.25837662525886218</v>
      </c>
      <c r="H254" s="34">
        <v>3</v>
      </c>
    </row>
    <row r="255" spans="1:8" x14ac:dyDescent="0.3">
      <c r="A255" s="34">
        <v>254</v>
      </c>
      <c r="B255" s="34">
        <v>237</v>
      </c>
      <c r="C255" s="34">
        <v>6</v>
      </c>
      <c r="D255" s="34">
        <v>14555</v>
      </c>
      <c r="E255" s="34">
        <v>23</v>
      </c>
      <c r="F255" s="34" t="s">
        <v>55</v>
      </c>
      <c r="G255" s="97">
        <v>0.26120788507188897</v>
      </c>
      <c r="H255" s="34">
        <v>4</v>
      </c>
    </row>
    <row r="256" spans="1:8" x14ac:dyDescent="0.3">
      <c r="A256" s="34">
        <v>255</v>
      </c>
      <c r="B256" s="34">
        <v>533</v>
      </c>
      <c r="C256" s="34">
        <v>12</v>
      </c>
      <c r="D256" s="34">
        <v>1503</v>
      </c>
      <c r="E256" s="34">
        <v>41</v>
      </c>
      <c r="F256" s="34" t="s">
        <v>54</v>
      </c>
      <c r="G256" s="97">
        <v>0.26433299949789946</v>
      </c>
      <c r="H256" s="34">
        <v>5</v>
      </c>
    </row>
    <row r="257" spans="1:8" x14ac:dyDescent="0.3">
      <c r="A257" s="34">
        <v>256</v>
      </c>
      <c r="B257" s="34">
        <v>138</v>
      </c>
      <c r="C257" s="34">
        <v>12</v>
      </c>
      <c r="D257" s="34">
        <v>766</v>
      </c>
      <c r="E257" s="34">
        <v>66</v>
      </c>
      <c r="F257" s="34" t="s">
        <v>55</v>
      </c>
      <c r="G257" s="97">
        <v>0.26445998550264904</v>
      </c>
      <c r="H257" s="34">
        <v>6</v>
      </c>
    </row>
    <row r="258" spans="1:8" x14ac:dyDescent="0.3">
      <c r="A258" s="34">
        <v>257</v>
      </c>
      <c r="B258" s="34">
        <v>502</v>
      </c>
      <c r="C258" s="34">
        <v>36</v>
      </c>
      <c r="D258" s="34">
        <v>5493</v>
      </c>
      <c r="E258" s="34">
        <v>42</v>
      </c>
      <c r="F258" s="34" t="s">
        <v>54</v>
      </c>
      <c r="G258" s="97">
        <v>0.2662823734496077</v>
      </c>
      <c r="H258" s="34">
        <v>7</v>
      </c>
    </row>
    <row r="259" spans="1:8" x14ac:dyDescent="0.3">
      <c r="A259" s="34">
        <v>258</v>
      </c>
      <c r="B259" s="34">
        <v>814</v>
      </c>
      <c r="C259" s="34">
        <v>48</v>
      </c>
      <c r="D259" s="34">
        <v>3051</v>
      </c>
      <c r="E259" s="34">
        <v>54</v>
      </c>
      <c r="F259" s="34" t="s">
        <v>55</v>
      </c>
      <c r="G259" s="97">
        <v>0.26686791698433721</v>
      </c>
      <c r="H259" s="34">
        <v>8</v>
      </c>
    </row>
    <row r="260" spans="1:8" x14ac:dyDescent="0.3">
      <c r="A260" s="34">
        <v>259</v>
      </c>
      <c r="B260" s="34">
        <v>147</v>
      </c>
      <c r="C260" s="34">
        <v>6</v>
      </c>
      <c r="D260" s="34">
        <v>860</v>
      </c>
      <c r="E260" s="34">
        <v>39</v>
      </c>
      <c r="F260" s="34" t="s">
        <v>56</v>
      </c>
      <c r="G260" s="97">
        <v>0.26717255380355809</v>
      </c>
      <c r="H260" s="34">
        <v>9</v>
      </c>
    </row>
    <row r="261" spans="1:8" x14ac:dyDescent="0.3">
      <c r="A261" s="34">
        <v>260</v>
      </c>
      <c r="B261" s="34">
        <v>547</v>
      </c>
      <c r="C261" s="34">
        <v>24</v>
      </c>
      <c r="D261" s="34">
        <v>2022</v>
      </c>
      <c r="E261" s="34">
        <v>37</v>
      </c>
      <c r="F261" s="34" t="s">
        <v>56</v>
      </c>
      <c r="G261" s="97">
        <v>0.26845081105613844</v>
      </c>
      <c r="H261" s="34">
        <v>10</v>
      </c>
    </row>
    <row r="262" spans="1:8" x14ac:dyDescent="0.3">
      <c r="A262" s="34">
        <v>261</v>
      </c>
      <c r="B262" s="34">
        <v>871</v>
      </c>
      <c r="C262" s="34">
        <v>36</v>
      </c>
      <c r="D262" s="34">
        <v>7678</v>
      </c>
      <c r="E262" s="34">
        <v>40</v>
      </c>
      <c r="F262" s="34" t="s">
        <v>56</v>
      </c>
      <c r="G262" s="97">
        <v>0.27129301625286661</v>
      </c>
      <c r="H262" s="34">
        <v>11</v>
      </c>
    </row>
    <row r="263" spans="1:8" x14ac:dyDescent="0.3">
      <c r="A263" s="34">
        <v>262</v>
      </c>
      <c r="B263" s="34">
        <v>756</v>
      </c>
      <c r="C263" s="34">
        <v>24</v>
      </c>
      <c r="D263" s="34">
        <v>1285</v>
      </c>
      <c r="E263" s="34">
        <v>32</v>
      </c>
      <c r="F263" s="34" t="s">
        <v>57</v>
      </c>
      <c r="G263" s="97">
        <v>0.27131106278674133</v>
      </c>
      <c r="H263" s="34">
        <v>12</v>
      </c>
    </row>
    <row r="264" spans="1:8" x14ac:dyDescent="0.3">
      <c r="A264" s="34">
        <v>263</v>
      </c>
      <c r="B264" s="34">
        <v>229</v>
      </c>
      <c r="C264" s="34">
        <v>9</v>
      </c>
      <c r="D264" s="34">
        <v>1478</v>
      </c>
      <c r="E264" s="34">
        <v>22</v>
      </c>
      <c r="F264" s="34" t="s">
        <v>55</v>
      </c>
      <c r="G264" s="97">
        <v>0.27167137205342717</v>
      </c>
      <c r="H264" s="34">
        <v>13</v>
      </c>
    </row>
    <row r="265" spans="1:8" x14ac:dyDescent="0.3">
      <c r="A265" s="34">
        <v>264</v>
      </c>
      <c r="B265" s="34">
        <v>507</v>
      </c>
      <c r="C265" s="34">
        <v>15</v>
      </c>
      <c r="D265" s="34">
        <v>2360</v>
      </c>
      <c r="E265" s="34">
        <v>36</v>
      </c>
      <c r="F265" s="34" t="s">
        <v>54</v>
      </c>
      <c r="G265" s="97">
        <v>0.27208499115366303</v>
      </c>
      <c r="H265" s="34">
        <v>14</v>
      </c>
    </row>
    <row r="266" spans="1:8" x14ac:dyDescent="0.3">
      <c r="A266" s="34">
        <v>265</v>
      </c>
      <c r="B266" s="34">
        <v>404</v>
      </c>
      <c r="C266" s="34">
        <v>14</v>
      </c>
      <c r="D266" s="34">
        <v>802</v>
      </c>
      <c r="E266" s="34">
        <v>27</v>
      </c>
      <c r="F266" s="34" t="s">
        <v>54</v>
      </c>
      <c r="G266" s="97">
        <v>0.27239269452878456</v>
      </c>
      <c r="H266" s="34">
        <v>15</v>
      </c>
    </row>
    <row r="267" spans="1:8" x14ac:dyDescent="0.3">
      <c r="A267" s="34">
        <v>266</v>
      </c>
      <c r="B267" s="34">
        <v>127</v>
      </c>
      <c r="C267" s="34">
        <v>12</v>
      </c>
      <c r="D267" s="34">
        <v>701</v>
      </c>
      <c r="E267" s="34">
        <v>40</v>
      </c>
      <c r="F267" s="34" t="s">
        <v>54</v>
      </c>
      <c r="G267" s="97">
        <v>0.27272483335655184</v>
      </c>
      <c r="H267" s="34">
        <v>16</v>
      </c>
    </row>
    <row r="268" spans="1:8" x14ac:dyDescent="0.3">
      <c r="A268" s="34">
        <v>267</v>
      </c>
      <c r="B268" s="34">
        <v>16</v>
      </c>
      <c r="C268" s="34">
        <v>24</v>
      </c>
      <c r="D268" s="34">
        <v>1282</v>
      </c>
      <c r="E268" s="34">
        <v>32</v>
      </c>
      <c r="F268" s="34" t="s">
        <v>57</v>
      </c>
      <c r="G268" s="97">
        <v>0.27292080122184925</v>
      </c>
      <c r="H268" s="34">
        <v>17</v>
      </c>
    </row>
    <row r="269" spans="1:8" x14ac:dyDescent="0.3">
      <c r="A269" s="34">
        <v>268</v>
      </c>
      <c r="B269" s="34">
        <v>164</v>
      </c>
      <c r="C269" s="34">
        <v>10</v>
      </c>
      <c r="D269" s="34">
        <v>7308</v>
      </c>
      <c r="E269" s="34">
        <v>70</v>
      </c>
      <c r="F269" s="34" t="s">
        <v>54</v>
      </c>
      <c r="G269" s="97">
        <v>0.27295015754942731</v>
      </c>
      <c r="H269" s="34">
        <v>18</v>
      </c>
    </row>
    <row r="270" spans="1:8" x14ac:dyDescent="0.3">
      <c r="A270" s="34">
        <v>269</v>
      </c>
      <c r="B270" s="34">
        <v>370</v>
      </c>
      <c r="C270" s="34">
        <v>18</v>
      </c>
      <c r="D270" s="34">
        <v>3001</v>
      </c>
      <c r="E270" s="34">
        <v>40</v>
      </c>
      <c r="F270" s="34" t="s">
        <v>56</v>
      </c>
      <c r="G270" s="97">
        <v>0.27332119741751593</v>
      </c>
      <c r="H270" s="34">
        <v>19</v>
      </c>
    </row>
    <row r="271" spans="1:8" x14ac:dyDescent="0.3">
      <c r="A271" s="34">
        <v>270</v>
      </c>
      <c r="B271" s="34">
        <v>583</v>
      </c>
      <c r="C271" s="34">
        <v>9</v>
      </c>
      <c r="D271" s="34">
        <v>1388</v>
      </c>
      <c r="E271" s="34">
        <v>26</v>
      </c>
      <c r="F271" s="34" t="s">
        <v>56</v>
      </c>
      <c r="G271" s="97">
        <v>0.27448215965846134</v>
      </c>
      <c r="H271" s="34">
        <v>20</v>
      </c>
    </row>
    <row r="272" spans="1:8" x14ac:dyDescent="0.3">
      <c r="A272" s="34">
        <v>271</v>
      </c>
      <c r="B272" s="34">
        <v>70</v>
      </c>
      <c r="C272" s="34">
        <v>36</v>
      </c>
      <c r="D272" s="34">
        <v>2394</v>
      </c>
      <c r="E272" s="34">
        <v>25</v>
      </c>
      <c r="F272" s="34" t="s">
        <v>56</v>
      </c>
      <c r="G272" s="97">
        <v>0.27849689301951264</v>
      </c>
      <c r="H272" s="34">
        <v>21</v>
      </c>
    </row>
    <row r="273" spans="1:8" x14ac:dyDescent="0.3">
      <c r="A273" s="34">
        <v>272</v>
      </c>
      <c r="B273" s="34">
        <v>806</v>
      </c>
      <c r="C273" s="34">
        <v>36</v>
      </c>
      <c r="D273" s="34">
        <v>9271</v>
      </c>
      <c r="E273" s="34">
        <v>24</v>
      </c>
      <c r="F273" s="34" t="s">
        <v>55</v>
      </c>
      <c r="G273" s="97">
        <v>0.28247053371333741</v>
      </c>
      <c r="H273" s="34">
        <v>22</v>
      </c>
    </row>
    <row r="274" spans="1:8" x14ac:dyDescent="0.3">
      <c r="A274" s="34">
        <v>273</v>
      </c>
      <c r="B274" s="34">
        <v>354</v>
      </c>
      <c r="C274" s="34">
        <v>12</v>
      </c>
      <c r="D274" s="34">
        <v>6199</v>
      </c>
      <c r="E274" s="34">
        <v>28</v>
      </c>
      <c r="F274" s="34" t="s">
        <v>55</v>
      </c>
      <c r="G274" s="97">
        <v>0.28315746812162301</v>
      </c>
      <c r="H274" s="34">
        <v>23</v>
      </c>
    </row>
    <row r="275" spans="1:8" x14ac:dyDescent="0.3">
      <c r="A275" s="34">
        <v>274</v>
      </c>
      <c r="B275" s="34">
        <v>513</v>
      </c>
      <c r="C275" s="34">
        <v>15</v>
      </c>
      <c r="D275" s="34">
        <v>2687</v>
      </c>
      <c r="E275" s="34">
        <v>26</v>
      </c>
      <c r="F275" s="34" t="s">
        <v>54</v>
      </c>
      <c r="G275" s="97">
        <v>0.28459521342995997</v>
      </c>
      <c r="H275" s="34">
        <v>24</v>
      </c>
    </row>
    <row r="276" spans="1:8" x14ac:dyDescent="0.3">
      <c r="A276" s="34">
        <v>275</v>
      </c>
      <c r="B276" s="34">
        <v>748</v>
      </c>
      <c r="C276" s="34">
        <v>12</v>
      </c>
      <c r="D276" s="34">
        <v>1274</v>
      </c>
      <c r="E276" s="34">
        <v>37</v>
      </c>
      <c r="F276" s="34" t="s">
        <v>57</v>
      </c>
      <c r="G276" s="97">
        <v>0.28524836096079353</v>
      </c>
      <c r="H276" s="34">
        <v>25</v>
      </c>
    </row>
    <row r="277" spans="1:8" x14ac:dyDescent="0.3">
      <c r="A277" s="34">
        <v>276</v>
      </c>
      <c r="B277" s="34">
        <v>852</v>
      </c>
      <c r="C277" s="34">
        <v>24</v>
      </c>
      <c r="D277" s="34">
        <v>4042</v>
      </c>
      <c r="E277" s="34">
        <v>43</v>
      </c>
      <c r="F277" s="34" t="s">
        <v>54</v>
      </c>
      <c r="G277" s="97">
        <v>0.2854158501533387</v>
      </c>
      <c r="H277" s="34">
        <v>26</v>
      </c>
    </row>
    <row r="278" spans="1:8" x14ac:dyDescent="0.3">
      <c r="A278" s="34">
        <v>277</v>
      </c>
      <c r="B278" s="34">
        <v>243</v>
      </c>
      <c r="C278" s="34">
        <v>48</v>
      </c>
      <c r="D278" s="34">
        <v>4605</v>
      </c>
      <c r="E278" s="34">
        <v>24</v>
      </c>
      <c r="F278" s="34" t="s">
        <v>55</v>
      </c>
      <c r="G278" s="97">
        <v>0.28549362114808452</v>
      </c>
      <c r="H278" s="34">
        <v>27</v>
      </c>
    </row>
    <row r="279" spans="1:8" x14ac:dyDescent="0.3">
      <c r="A279" s="34">
        <v>278</v>
      </c>
      <c r="B279" s="34">
        <v>110</v>
      </c>
      <c r="C279" s="34">
        <v>14</v>
      </c>
      <c r="D279" s="34">
        <v>1410</v>
      </c>
      <c r="E279" s="34">
        <v>35</v>
      </c>
      <c r="F279" s="34" t="s">
        <v>54</v>
      </c>
      <c r="G279" s="97">
        <v>0.28626141193552956</v>
      </c>
      <c r="H279" s="34">
        <v>28</v>
      </c>
    </row>
    <row r="280" spans="1:8" x14ac:dyDescent="0.3">
      <c r="A280" s="34">
        <v>279</v>
      </c>
      <c r="B280" s="34">
        <v>264</v>
      </c>
      <c r="C280" s="34">
        <v>12</v>
      </c>
      <c r="D280" s="34">
        <v>2748</v>
      </c>
      <c r="E280" s="34">
        <v>57</v>
      </c>
      <c r="F280" s="34" t="s">
        <v>56</v>
      </c>
      <c r="G280" s="97">
        <v>0.2890534236937109</v>
      </c>
      <c r="H280" s="34">
        <v>29</v>
      </c>
    </row>
    <row r="281" spans="1:8" x14ac:dyDescent="0.3">
      <c r="A281" s="34">
        <v>280</v>
      </c>
      <c r="B281" s="34">
        <v>419</v>
      </c>
      <c r="C281" s="34">
        <v>21</v>
      </c>
      <c r="D281" s="34">
        <v>2782</v>
      </c>
      <c r="E281" s="34">
        <v>31</v>
      </c>
      <c r="F281" s="34" t="s">
        <v>56</v>
      </c>
      <c r="G281" s="97">
        <v>0.28929894795360855</v>
      </c>
      <c r="H281" s="34">
        <v>30</v>
      </c>
    </row>
    <row r="282" spans="1:8" x14ac:dyDescent="0.3">
      <c r="A282" s="34">
        <v>281</v>
      </c>
      <c r="B282" s="34">
        <v>445</v>
      </c>
      <c r="C282" s="34">
        <v>48</v>
      </c>
      <c r="D282" s="34">
        <v>5096</v>
      </c>
      <c r="E282" s="34">
        <v>30</v>
      </c>
      <c r="F282" s="34" t="s">
        <v>57</v>
      </c>
      <c r="G282" s="97">
        <v>0.28980891136874554</v>
      </c>
      <c r="H282" s="34">
        <v>31</v>
      </c>
    </row>
    <row r="283" spans="1:8" x14ac:dyDescent="0.3">
      <c r="A283" s="34">
        <v>282</v>
      </c>
      <c r="B283" s="34">
        <v>527</v>
      </c>
      <c r="C283" s="34">
        <v>15</v>
      </c>
      <c r="D283" s="34">
        <v>1532</v>
      </c>
      <c r="E283" s="34">
        <v>31</v>
      </c>
      <c r="F283" s="34" t="s">
        <v>56</v>
      </c>
      <c r="G283" s="97">
        <v>0.29065656829400632</v>
      </c>
      <c r="H283" s="34">
        <v>32</v>
      </c>
    </row>
    <row r="284" spans="1:8" x14ac:dyDescent="0.3">
      <c r="A284" s="34">
        <v>283</v>
      </c>
      <c r="B284" s="34">
        <v>250</v>
      </c>
      <c r="C284" s="34">
        <v>18</v>
      </c>
      <c r="D284" s="34">
        <v>433</v>
      </c>
      <c r="E284" s="34">
        <v>22</v>
      </c>
      <c r="F284" s="34" t="s">
        <v>57</v>
      </c>
      <c r="G284" s="97">
        <v>0.29262833602836169</v>
      </c>
      <c r="H284" s="34">
        <v>33</v>
      </c>
    </row>
    <row r="285" spans="1:8" x14ac:dyDescent="0.3">
      <c r="A285" s="34">
        <v>284</v>
      </c>
      <c r="B285" s="34">
        <v>567</v>
      </c>
      <c r="C285" s="34">
        <v>12</v>
      </c>
      <c r="D285" s="34">
        <v>1372</v>
      </c>
      <c r="E285" s="34">
        <v>36</v>
      </c>
      <c r="F285" s="34" t="s">
        <v>55</v>
      </c>
      <c r="G285" s="97">
        <v>0.29285421115186216</v>
      </c>
      <c r="H285" s="34">
        <v>34</v>
      </c>
    </row>
    <row r="286" spans="1:8" x14ac:dyDescent="0.3">
      <c r="A286" s="34">
        <v>285</v>
      </c>
      <c r="B286" s="34">
        <v>320</v>
      </c>
      <c r="C286" s="34">
        <v>15</v>
      </c>
      <c r="D286" s="34">
        <v>3643</v>
      </c>
      <c r="E286" s="34">
        <v>27</v>
      </c>
      <c r="F286" s="34" t="s">
        <v>56</v>
      </c>
      <c r="G286" s="97">
        <v>0.29476225769344877</v>
      </c>
      <c r="H286" s="34">
        <v>35</v>
      </c>
    </row>
    <row r="287" spans="1:8" x14ac:dyDescent="0.3">
      <c r="A287" s="34">
        <v>286</v>
      </c>
      <c r="B287" s="34">
        <v>893</v>
      </c>
      <c r="C287" s="34">
        <v>12</v>
      </c>
      <c r="D287" s="34">
        <v>2171</v>
      </c>
      <c r="E287" s="34">
        <v>38</v>
      </c>
      <c r="F287" s="34" t="s">
        <v>54</v>
      </c>
      <c r="G287" s="97">
        <v>0.29544659741981638</v>
      </c>
      <c r="H287" s="34">
        <v>36</v>
      </c>
    </row>
    <row r="288" spans="1:8" x14ac:dyDescent="0.3">
      <c r="A288" s="34">
        <v>287</v>
      </c>
      <c r="B288" s="34">
        <v>843</v>
      </c>
      <c r="C288" s="34">
        <v>18</v>
      </c>
      <c r="D288" s="34">
        <v>1943</v>
      </c>
      <c r="E288" s="34">
        <v>23</v>
      </c>
      <c r="F288" s="34" t="s">
        <v>57</v>
      </c>
      <c r="G288" s="97">
        <v>0.29619644298992809</v>
      </c>
      <c r="H288" s="34">
        <v>37</v>
      </c>
    </row>
    <row r="289" spans="1:8" x14ac:dyDescent="0.3">
      <c r="A289" s="34">
        <v>288</v>
      </c>
      <c r="B289" s="34">
        <v>639</v>
      </c>
      <c r="C289" s="34">
        <v>12</v>
      </c>
      <c r="D289" s="34">
        <v>1493</v>
      </c>
      <c r="E289" s="34">
        <v>34</v>
      </c>
      <c r="F289" s="34" t="s">
        <v>56</v>
      </c>
      <c r="G289" s="97">
        <v>0.29712980001499734</v>
      </c>
      <c r="H289" s="34">
        <v>38</v>
      </c>
    </row>
    <row r="290" spans="1:8" x14ac:dyDescent="0.3">
      <c r="A290" s="34">
        <v>289</v>
      </c>
      <c r="B290" s="34">
        <v>376</v>
      </c>
      <c r="C290" s="34">
        <v>48</v>
      </c>
      <c r="D290" s="34">
        <v>7685</v>
      </c>
      <c r="E290" s="34">
        <v>37</v>
      </c>
      <c r="F290" s="34" t="s">
        <v>57</v>
      </c>
      <c r="G290" s="97">
        <v>0.29775926244209772</v>
      </c>
      <c r="H290" s="34">
        <v>39</v>
      </c>
    </row>
    <row r="291" spans="1:8" x14ac:dyDescent="0.3">
      <c r="A291" s="34">
        <v>290</v>
      </c>
      <c r="B291" s="34">
        <v>112</v>
      </c>
      <c r="C291" s="34">
        <v>15</v>
      </c>
      <c r="D291" s="34">
        <v>392</v>
      </c>
      <c r="E291" s="34">
        <v>23</v>
      </c>
      <c r="F291" s="34" t="s">
        <v>56</v>
      </c>
      <c r="G291" s="97">
        <v>0.2978011082443921</v>
      </c>
      <c r="H291" s="34">
        <v>40</v>
      </c>
    </row>
    <row r="292" spans="1:8" x14ac:dyDescent="0.3">
      <c r="A292" s="34">
        <v>291</v>
      </c>
      <c r="B292" s="34">
        <v>625</v>
      </c>
      <c r="C292" s="34">
        <v>18</v>
      </c>
      <c r="D292" s="34">
        <v>2600</v>
      </c>
      <c r="E292" s="34">
        <v>65</v>
      </c>
      <c r="F292" s="34" t="s">
        <v>55</v>
      </c>
      <c r="G292" s="97">
        <v>0.29787385341145611</v>
      </c>
      <c r="H292" s="34">
        <v>41</v>
      </c>
    </row>
    <row r="293" spans="1:8" x14ac:dyDescent="0.3">
      <c r="A293" s="34">
        <v>292</v>
      </c>
      <c r="B293" s="34">
        <v>705</v>
      </c>
      <c r="C293" s="34">
        <v>27</v>
      </c>
      <c r="D293" s="34">
        <v>2528</v>
      </c>
      <c r="E293" s="34">
        <v>32</v>
      </c>
      <c r="F293" s="34" t="s">
        <v>56</v>
      </c>
      <c r="G293" s="97">
        <v>0.29825373982888548</v>
      </c>
      <c r="H293" s="34">
        <v>42</v>
      </c>
    </row>
    <row r="294" spans="1:8" x14ac:dyDescent="0.3">
      <c r="A294" s="34">
        <v>293</v>
      </c>
      <c r="B294" s="34">
        <v>908</v>
      </c>
      <c r="C294" s="34">
        <v>36</v>
      </c>
      <c r="D294" s="34">
        <v>3711</v>
      </c>
      <c r="E294" s="34">
        <v>27</v>
      </c>
      <c r="F294" s="34" t="s">
        <v>54</v>
      </c>
      <c r="G294" s="97">
        <v>0.29881323985360297</v>
      </c>
      <c r="H294" s="34">
        <v>43</v>
      </c>
    </row>
    <row r="295" spans="1:8" x14ac:dyDescent="0.3">
      <c r="A295" s="34">
        <v>294</v>
      </c>
      <c r="B295" s="34">
        <v>487</v>
      </c>
      <c r="C295" s="34">
        <v>12</v>
      </c>
      <c r="D295" s="34">
        <v>3077</v>
      </c>
      <c r="E295" s="34">
        <v>52</v>
      </c>
      <c r="F295" s="34" t="s">
        <v>54</v>
      </c>
      <c r="G295" s="97">
        <v>0.29983837212901354</v>
      </c>
      <c r="H295" s="34">
        <v>44</v>
      </c>
    </row>
    <row r="296" spans="1:8" x14ac:dyDescent="0.3">
      <c r="A296" s="34">
        <v>295</v>
      </c>
      <c r="B296" s="34">
        <v>771</v>
      </c>
      <c r="C296" s="34">
        <v>24</v>
      </c>
      <c r="D296" s="34">
        <v>2812</v>
      </c>
      <c r="E296" s="34">
        <v>26</v>
      </c>
      <c r="F296" s="34" t="s">
        <v>56</v>
      </c>
      <c r="G296" s="97">
        <v>0.30025766049538394</v>
      </c>
      <c r="H296" s="34">
        <v>45</v>
      </c>
    </row>
    <row r="297" spans="1:8" x14ac:dyDescent="0.3">
      <c r="A297" s="34">
        <v>296</v>
      </c>
      <c r="B297" s="34">
        <v>281</v>
      </c>
      <c r="C297" s="34">
        <v>15</v>
      </c>
      <c r="D297" s="34">
        <v>3368</v>
      </c>
      <c r="E297" s="34">
        <v>23</v>
      </c>
      <c r="F297" s="34" t="s">
        <v>54</v>
      </c>
      <c r="G297" s="97">
        <v>0.30068634413892248</v>
      </c>
      <c r="H297" s="34">
        <v>46</v>
      </c>
    </row>
    <row r="298" spans="1:8" x14ac:dyDescent="0.3">
      <c r="A298" s="34">
        <v>297</v>
      </c>
      <c r="B298" s="34">
        <v>867</v>
      </c>
      <c r="C298" s="34">
        <v>18</v>
      </c>
      <c r="D298" s="34">
        <v>2389</v>
      </c>
      <c r="E298" s="34">
        <v>27</v>
      </c>
      <c r="F298" s="34" t="s">
        <v>56</v>
      </c>
      <c r="G298" s="97">
        <v>0.30158292394523645</v>
      </c>
      <c r="H298" s="34">
        <v>47</v>
      </c>
    </row>
    <row r="299" spans="1:8" x14ac:dyDescent="0.3">
      <c r="A299" s="34">
        <v>298</v>
      </c>
      <c r="B299" s="34">
        <v>485</v>
      </c>
      <c r="C299" s="34">
        <v>12</v>
      </c>
      <c r="D299" s="34">
        <v>1163</v>
      </c>
      <c r="E299" s="34">
        <v>44</v>
      </c>
      <c r="F299" s="34" t="s">
        <v>54</v>
      </c>
      <c r="G299" s="97">
        <v>0.30285072558899051</v>
      </c>
      <c r="H299" s="34">
        <v>48</v>
      </c>
    </row>
    <row r="300" spans="1:8" x14ac:dyDescent="0.3">
      <c r="A300" s="34">
        <v>299</v>
      </c>
      <c r="B300" s="34">
        <v>326</v>
      </c>
      <c r="C300" s="34">
        <v>8</v>
      </c>
      <c r="D300" s="34">
        <v>3398</v>
      </c>
      <c r="E300" s="34">
        <v>39</v>
      </c>
      <c r="F300" s="34" t="s">
        <v>54</v>
      </c>
      <c r="G300" s="97">
        <v>0.30327427814173846</v>
      </c>
      <c r="H300" s="34">
        <v>49</v>
      </c>
    </row>
    <row r="301" spans="1:8" x14ac:dyDescent="0.3">
      <c r="A301" s="34">
        <v>300</v>
      </c>
      <c r="B301" s="34">
        <v>782</v>
      </c>
      <c r="C301" s="34">
        <v>24</v>
      </c>
      <c r="D301" s="34">
        <v>1940</v>
      </c>
      <c r="E301" s="34">
        <v>60</v>
      </c>
      <c r="F301" s="34" t="s">
        <v>54</v>
      </c>
      <c r="G301" s="97">
        <v>0.30461008770829145</v>
      </c>
      <c r="H301" s="34">
        <v>50</v>
      </c>
    </row>
    <row r="302" spans="1:8" x14ac:dyDescent="0.3">
      <c r="A302" s="34">
        <v>301</v>
      </c>
      <c r="B302" s="34">
        <v>429</v>
      </c>
      <c r="C302" s="34">
        <v>9</v>
      </c>
      <c r="D302" s="34">
        <v>1313</v>
      </c>
      <c r="E302" s="34">
        <v>20</v>
      </c>
      <c r="F302" s="34" t="s">
        <v>54</v>
      </c>
      <c r="G302" s="97">
        <v>0.30467242652333804</v>
      </c>
      <c r="H302" s="34">
        <v>1</v>
      </c>
    </row>
    <row r="303" spans="1:8" x14ac:dyDescent="0.3">
      <c r="A303" s="34">
        <v>302</v>
      </c>
      <c r="B303" s="34">
        <v>50</v>
      </c>
      <c r="C303" s="34">
        <v>12</v>
      </c>
      <c r="D303" s="34">
        <v>2073</v>
      </c>
      <c r="E303" s="34">
        <v>28</v>
      </c>
      <c r="F303" s="34" t="s">
        <v>56</v>
      </c>
      <c r="G303" s="97">
        <v>0.3064732968907079</v>
      </c>
      <c r="H303" s="34">
        <v>2</v>
      </c>
    </row>
    <row r="304" spans="1:8" x14ac:dyDescent="0.3">
      <c r="A304" s="34">
        <v>303</v>
      </c>
      <c r="B304" s="34">
        <v>491</v>
      </c>
      <c r="C304" s="34">
        <v>12</v>
      </c>
      <c r="D304" s="34">
        <v>1934</v>
      </c>
      <c r="E304" s="34">
        <v>26</v>
      </c>
      <c r="F304" s="34" t="s">
        <v>54</v>
      </c>
      <c r="G304" s="97">
        <v>0.30657610999470331</v>
      </c>
      <c r="H304" s="34">
        <v>3</v>
      </c>
    </row>
    <row r="305" spans="1:8" x14ac:dyDescent="0.3">
      <c r="A305" s="34">
        <v>304</v>
      </c>
      <c r="B305" s="34">
        <v>211</v>
      </c>
      <c r="C305" s="34">
        <v>9</v>
      </c>
      <c r="D305" s="34">
        <v>3074</v>
      </c>
      <c r="E305" s="34">
        <v>33</v>
      </c>
      <c r="F305" s="34" t="s">
        <v>54</v>
      </c>
      <c r="G305" s="97">
        <v>0.3075555199382487</v>
      </c>
      <c r="H305" s="34">
        <v>4</v>
      </c>
    </row>
    <row r="306" spans="1:8" x14ac:dyDescent="0.3">
      <c r="A306" s="34">
        <v>305</v>
      </c>
      <c r="B306" s="34">
        <v>488</v>
      </c>
      <c r="C306" s="34">
        <v>24</v>
      </c>
      <c r="D306" s="34">
        <v>3757</v>
      </c>
      <c r="E306" s="34">
        <v>62</v>
      </c>
      <c r="F306" s="34" t="s">
        <v>56</v>
      </c>
      <c r="G306" s="97">
        <v>0.308965534097707</v>
      </c>
      <c r="H306" s="34">
        <v>5</v>
      </c>
    </row>
    <row r="307" spans="1:8" x14ac:dyDescent="0.3">
      <c r="A307" s="34">
        <v>306</v>
      </c>
      <c r="B307" s="34">
        <v>362</v>
      </c>
      <c r="C307" s="34">
        <v>12</v>
      </c>
      <c r="D307" s="34">
        <v>3399</v>
      </c>
      <c r="E307" s="34">
        <v>37</v>
      </c>
      <c r="F307" s="34" t="s">
        <v>54</v>
      </c>
      <c r="G307" s="97">
        <v>0.31040698552787716</v>
      </c>
      <c r="H307" s="34">
        <v>6</v>
      </c>
    </row>
    <row r="308" spans="1:8" x14ac:dyDescent="0.3">
      <c r="A308" s="34">
        <v>307</v>
      </c>
      <c r="B308" s="34">
        <v>186</v>
      </c>
      <c r="C308" s="34">
        <v>15</v>
      </c>
      <c r="D308" s="34">
        <v>1360</v>
      </c>
      <c r="E308" s="34">
        <v>31</v>
      </c>
      <c r="F308" s="34" t="s">
        <v>54</v>
      </c>
      <c r="G308" s="97">
        <v>0.31060549348184374</v>
      </c>
      <c r="H308" s="34">
        <v>7</v>
      </c>
    </row>
    <row r="309" spans="1:8" x14ac:dyDescent="0.3">
      <c r="A309" s="34">
        <v>308</v>
      </c>
      <c r="B309" s="34">
        <v>816</v>
      </c>
      <c r="C309" s="34">
        <v>36</v>
      </c>
      <c r="D309" s="34">
        <v>7432</v>
      </c>
      <c r="E309" s="34">
        <v>54</v>
      </c>
      <c r="F309" s="34" t="s">
        <v>56</v>
      </c>
      <c r="G309" s="97">
        <v>0.31074899764563568</v>
      </c>
      <c r="H309" s="34">
        <v>8</v>
      </c>
    </row>
    <row r="310" spans="1:8" x14ac:dyDescent="0.3">
      <c r="A310" s="34">
        <v>309</v>
      </c>
      <c r="B310" s="34">
        <v>475</v>
      </c>
      <c r="C310" s="34">
        <v>18</v>
      </c>
      <c r="D310" s="34">
        <v>1245</v>
      </c>
      <c r="E310" s="34">
        <v>33</v>
      </c>
      <c r="F310" s="34" t="s">
        <v>55</v>
      </c>
      <c r="G310" s="97">
        <v>0.31486475012729265</v>
      </c>
      <c r="H310" s="34">
        <v>9</v>
      </c>
    </row>
    <row r="311" spans="1:8" x14ac:dyDescent="0.3">
      <c r="A311" s="34">
        <v>310</v>
      </c>
      <c r="B311" s="34">
        <v>489</v>
      </c>
      <c r="C311" s="34">
        <v>10</v>
      </c>
      <c r="D311" s="34">
        <v>1418</v>
      </c>
      <c r="E311" s="34">
        <v>35</v>
      </c>
      <c r="F311" s="34" t="s">
        <v>54</v>
      </c>
      <c r="G311" s="97">
        <v>0.31513517603740682</v>
      </c>
      <c r="H311" s="34">
        <v>10</v>
      </c>
    </row>
    <row r="312" spans="1:8" x14ac:dyDescent="0.3">
      <c r="A312" s="34">
        <v>311</v>
      </c>
      <c r="B312" s="34">
        <v>511</v>
      </c>
      <c r="C312" s="34">
        <v>12</v>
      </c>
      <c r="D312" s="34">
        <v>759</v>
      </c>
      <c r="E312" s="34">
        <v>26</v>
      </c>
      <c r="F312" s="34" t="s">
        <v>55</v>
      </c>
      <c r="G312" s="97">
        <v>0.3162596173183313</v>
      </c>
      <c r="H312" s="34">
        <v>11</v>
      </c>
    </row>
    <row r="313" spans="1:8" x14ac:dyDescent="0.3">
      <c r="A313" s="34">
        <v>312</v>
      </c>
      <c r="B313" s="34">
        <v>230</v>
      </c>
      <c r="C313" s="34">
        <v>24</v>
      </c>
      <c r="D313" s="34">
        <v>3149</v>
      </c>
      <c r="E313" s="34">
        <v>22</v>
      </c>
      <c r="F313" s="34" t="s">
        <v>54</v>
      </c>
      <c r="G313" s="97">
        <v>0.31803843476886295</v>
      </c>
      <c r="H313" s="34">
        <v>12</v>
      </c>
    </row>
    <row r="314" spans="1:8" x14ac:dyDescent="0.3">
      <c r="A314" s="34">
        <v>313</v>
      </c>
      <c r="B314" s="34">
        <v>289</v>
      </c>
      <c r="C314" s="34">
        <v>12</v>
      </c>
      <c r="D314" s="34">
        <v>1092</v>
      </c>
      <c r="E314" s="34">
        <v>49</v>
      </c>
      <c r="F314" s="34" t="s">
        <v>56</v>
      </c>
      <c r="G314" s="97">
        <v>0.31841183317807809</v>
      </c>
      <c r="H314" s="34">
        <v>13</v>
      </c>
    </row>
    <row r="315" spans="1:8" x14ac:dyDescent="0.3">
      <c r="A315" s="34">
        <v>314</v>
      </c>
      <c r="B315" s="34">
        <v>257</v>
      </c>
      <c r="C315" s="34">
        <v>24</v>
      </c>
      <c r="D315" s="34">
        <v>2684</v>
      </c>
      <c r="E315" s="34">
        <v>35</v>
      </c>
      <c r="F315" s="34" t="s">
        <v>54</v>
      </c>
      <c r="G315" s="97">
        <v>0.31970784065814062</v>
      </c>
      <c r="H315" s="34">
        <v>14</v>
      </c>
    </row>
    <row r="316" spans="1:8" x14ac:dyDescent="0.3">
      <c r="A316" s="34">
        <v>315</v>
      </c>
      <c r="B316" s="34">
        <v>614</v>
      </c>
      <c r="C316" s="34">
        <v>24</v>
      </c>
      <c r="D316" s="34">
        <v>3632</v>
      </c>
      <c r="E316" s="34">
        <v>22</v>
      </c>
      <c r="F316" s="34" t="s">
        <v>56</v>
      </c>
      <c r="G316" s="97">
        <v>0.3207386906995946</v>
      </c>
      <c r="H316" s="34">
        <v>15</v>
      </c>
    </row>
    <row r="317" spans="1:8" x14ac:dyDescent="0.3">
      <c r="A317" s="34">
        <v>316</v>
      </c>
      <c r="B317" s="34">
        <v>469</v>
      </c>
      <c r="C317" s="34">
        <v>33</v>
      </c>
      <c r="D317" s="34">
        <v>2764</v>
      </c>
      <c r="E317" s="34">
        <v>26</v>
      </c>
      <c r="F317" s="34" t="s">
        <v>56</v>
      </c>
      <c r="G317" s="97">
        <v>0.32131834683363847</v>
      </c>
      <c r="H317" s="34">
        <v>16</v>
      </c>
    </row>
    <row r="318" spans="1:8" x14ac:dyDescent="0.3">
      <c r="A318" s="34">
        <v>317</v>
      </c>
      <c r="B318" s="34">
        <v>212</v>
      </c>
      <c r="C318" s="34">
        <v>36</v>
      </c>
      <c r="D318" s="34">
        <v>3835</v>
      </c>
      <c r="E318" s="34">
        <v>45</v>
      </c>
      <c r="F318" s="34" t="s">
        <v>56</v>
      </c>
      <c r="G318" s="97">
        <v>0.3222074004815294</v>
      </c>
      <c r="H318" s="34">
        <v>17</v>
      </c>
    </row>
    <row r="319" spans="1:8" x14ac:dyDescent="0.3">
      <c r="A319" s="34">
        <v>318</v>
      </c>
      <c r="B319" s="34">
        <v>636</v>
      </c>
      <c r="C319" s="34">
        <v>12</v>
      </c>
      <c r="D319" s="34">
        <v>1393</v>
      </c>
      <c r="E319" s="34">
        <v>47</v>
      </c>
      <c r="F319" s="34" t="s">
        <v>54</v>
      </c>
      <c r="G319" s="97">
        <v>0.3223812966724533</v>
      </c>
      <c r="H319" s="34">
        <v>18</v>
      </c>
    </row>
    <row r="320" spans="1:8" x14ac:dyDescent="0.3">
      <c r="A320" s="34">
        <v>319</v>
      </c>
      <c r="B320" s="34">
        <v>389</v>
      </c>
      <c r="C320" s="34">
        <v>15</v>
      </c>
      <c r="D320" s="34">
        <v>2326</v>
      </c>
      <c r="E320" s="34">
        <v>27</v>
      </c>
      <c r="F320" s="34" t="s">
        <v>54</v>
      </c>
      <c r="G320" s="97">
        <v>0.32289233060428224</v>
      </c>
      <c r="H320" s="34">
        <v>19</v>
      </c>
    </row>
    <row r="321" spans="1:8" x14ac:dyDescent="0.3">
      <c r="A321" s="34">
        <v>320</v>
      </c>
      <c r="B321" s="34">
        <v>509</v>
      </c>
      <c r="C321" s="34">
        <v>24</v>
      </c>
      <c r="D321" s="34">
        <v>1413</v>
      </c>
      <c r="E321" s="34">
        <v>28</v>
      </c>
      <c r="F321" s="34" t="s">
        <v>54</v>
      </c>
      <c r="G321" s="97">
        <v>0.32400631701099403</v>
      </c>
      <c r="H321" s="34">
        <v>20</v>
      </c>
    </row>
    <row r="322" spans="1:8" x14ac:dyDescent="0.3">
      <c r="A322" s="34">
        <v>321</v>
      </c>
      <c r="B322" s="34">
        <v>933</v>
      </c>
      <c r="C322" s="34">
        <v>9</v>
      </c>
      <c r="D322" s="34">
        <v>1224</v>
      </c>
      <c r="E322" s="34">
        <v>30</v>
      </c>
      <c r="F322" s="34" t="s">
        <v>54</v>
      </c>
      <c r="G322" s="97">
        <v>0.32406640843574319</v>
      </c>
      <c r="H322" s="34">
        <v>21</v>
      </c>
    </row>
    <row r="323" spans="1:8" x14ac:dyDescent="0.3">
      <c r="A323" s="34">
        <v>322</v>
      </c>
      <c r="B323" s="34">
        <v>29</v>
      </c>
      <c r="C323" s="34">
        <v>7</v>
      </c>
      <c r="D323" s="34">
        <v>2415</v>
      </c>
      <c r="E323" s="34">
        <v>34</v>
      </c>
      <c r="F323" s="34" t="s">
        <v>54</v>
      </c>
      <c r="G323" s="97">
        <v>0.32695810815374049</v>
      </c>
      <c r="H323" s="34">
        <v>22</v>
      </c>
    </row>
    <row r="324" spans="1:8" x14ac:dyDescent="0.3">
      <c r="A324" s="34">
        <v>323</v>
      </c>
      <c r="B324" s="34">
        <v>873</v>
      </c>
      <c r="C324" s="34">
        <v>24</v>
      </c>
      <c r="D324" s="34">
        <v>1382</v>
      </c>
      <c r="E324" s="34">
        <v>26</v>
      </c>
      <c r="F324" s="34" t="s">
        <v>54</v>
      </c>
      <c r="G324" s="97">
        <v>0.32704967543088692</v>
      </c>
      <c r="H324" s="34">
        <v>23</v>
      </c>
    </row>
    <row r="325" spans="1:8" x14ac:dyDescent="0.3">
      <c r="A325" s="34">
        <v>324</v>
      </c>
      <c r="B325" s="34">
        <v>902</v>
      </c>
      <c r="C325" s="34">
        <v>20</v>
      </c>
      <c r="D325" s="34">
        <v>3485</v>
      </c>
      <c r="E325" s="34">
        <v>44</v>
      </c>
      <c r="F325" s="34" t="s">
        <v>54</v>
      </c>
      <c r="G325" s="97">
        <v>0.3272996230188423</v>
      </c>
      <c r="H325" s="34">
        <v>24</v>
      </c>
    </row>
    <row r="326" spans="1:8" x14ac:dyDescent="0.3">
      <c r="A326" s="34">
        <v>325</v>
      </c>
      <c r="B326" s="34">
        <v>992</v>
      </c>
      <c r="C326" s="34">
        <v>15</v>
      </c>
      <c r="D326" s="34">
        <v>1569</v>
      </c>
      <c r="E326" s="34">
        <v>34</v>
      </c>
      <c r="F326" s="34" t="s">
        <v>54</v>
      </c>
      <c r="G326" s="97">
        <v>0.32777984380798075</v>
      </c>
      <c r="H326" s="34">
        <v>25</v>
      </c>
    </row>
    <row r="327" spans="1:8" x14ac:dyDescent="0.3">
      <c r="A327" s="34">
        <v>326</v>
      </c>
      <c r="B327" s="34">
        <v>133</v>
      </c>
      <c r="C327" s="34">
        <v>15</v>
      </c>
      <c r="D327" s="34">
        <v>2708</v>
      </c>
      <c r="E327" s="34">
        <v>27</v>
      </c>
      <c r="F327" s="34" t="s">
        <v>54</v>
      </c>
      <c r="G327" s="97">
        <v>0.32787955848631456</v>
      </c>
      <c r="H327" s="34">
        <v>26</v>
      </c>
    </row>
    <row r="328" spans="1:8" x14ac:dyDescent="0.3">
      <c r="A328" s="34">
        <v>327</v>
      </c>
      <c r="B328" s="34">
        <v>624</v>
      </c>
      <c r="C328" s="34">
        <v>12</v>
      </c>
      <c r="D328" s="34">
        <v>1858</v>
      </c>
      <c r="E328" s="34">
        <v>22</v>
      </c>
      <c r="F328" s="34" t="s">
        <v>56</v>
      </c>
      <c r="G328" s="97">
        <v>0.3283310248420046</v>
      </c>
      <c r="H328" s="34">
        <v>27</v>
      </c>
    </row>
    <row r="329" spans="1:8" x14ac:dyDescent="0.3">
      <c r="A329" s="34">
        <v>328</v>
      </c>
      <c r="B329" s="34">
        <v>193</v>
      </c>
      <c r="C329" s="34">
        <v>27</v>
      </c>
      <c r="D329" s="34">
        <v>3915</v>
      </c>
      <c r="E329" s="34">
        <v>36</v>
      </c>
      <c r="F329" s="34" t="s">
        <v>55</v>
      </c>
      <c r="G329" s="97">
        <v>0.32880331741133972</v>
      </c>
      <c r="H329" s="34">
        <v>28</v>
      </c>
    </row>
    <row r="330" spans="1:8" x14ac:dyDescent="0.3">
      <c r="A330" s="34">
        <v>329</v>
      </c>
      <c r="B330" s="34">
        <v>394</v>
      </c>
      <c r="C330" s="34">
        <v>6</v>
      </c>
      <c r="D330" s="34">
        <v>1957</v>
      </c>
      <c r="E330" s="34">
        <v>31</v>
      </c>
      <c r="F330" s="34" t="s">
        <v>56</v>
      </c>
      <c r="G330" s="97">
        <v>0.32912994050815669</v>
      </c>
      <c r="H330" s="34">
        <v>29</v>
      </c>
    </row>
    <row r="331" spans="1:8" x14ac:dyDescent="0.3">
      <c r="A331" s="34">
        <v>330</v>
      </c>
      <c r="B331" s="34">
        <v>413</v>
      </c>
      <c r="C331" s="34">
        <v>12</v>
      </c>
      <c r="D331" s="34">
        <v>2292</v>
      </c>
      <c r="E331" s="34">
        <v>42</v>
      </c>
      <c r="F331" s="34" t="s">
        <v>55</v>
      </c>
      <c r="G331" s="97">
        <v>0.32945295797305774</v>
      </c>
      <c r="H331" s="34">
        <v>30</v>
      </c>
    </row>
    <row r="332" spans="1:8" x14ac:dyDescent="0.3">
      <c r="A332" s="34">
        <v>331</v>
      </c>
      <c r="B332" s="34">
        <v>344</v>
      </c>
      <c r="C332" s="34">
        <v>18</v>
      </c>
      <c r="D332" s="34">
        <v>4439</v>
      </c>
      <c r="E332" s="34">
        <v>33</v>
      </c>
      <c r="F332" s="34" t="s">
        <v>54</v>
      </c>
      <c r="G332" s="97">
        <v>0.32980515326415705</v>
      </c>
      <c r="H332" s="34">
        <v>31</v>
      </c>
    </row>
    <row r="333" spans="1:8" x14ac:dyDescent="0.3">
      <c r="A333" s="34">
        <v>332</v>
      </c>
      <c r="B333" s="34">
        <v>678</v>
      </c>
      <c r="C333" s="34">
        <v>72</v>
      </c>
      <c r="D333" s="34">
        <v>5595</v>
      </c>
      <c r="E333" s="34">
        <v>24</v>
      </c>
      <c r="F333" s="34" t="s">
        <v>55</v>
      </c>
      <c r="G333" s="97">
        <v>0.33052243029595174</v>
      </c>
      <c r="H333" s="34">
        <v>32</v>
      </c>
    </row>
    <row r="334" spans="1:8" x14ac:dyDescent="0.3">
      <c r="A334" s="34">
        <v>333</v>
      </c>
      <c r="B334" s="34">
        <v>733</v>
      </c>
      <c r="C334" s="34">
        <v>8</v>
      </c>
      <c r="D334" s="34">
        <v>760</v>
      </c>
      <c r="E334" s="34">
        <v>44</v>
      </c>
      <c r="F334" s="34" t="s">
        <v>56</v>
      </c>
      <c r="G334" s="97">
        <v>0.33071391661021721</v>
      </c>
      <c r="H334" s="34">
        <v>33</v>
      </c>
    </row>
    <row r="335" spans="1:8" x14ac:dyDescent="0.3">
      <c r="A335" s="34">
        <v>334</v>
      </c>
      <c r="B335" s="34">
        <v>283</v>
      </c>
      <c r="C335" s="34">
        <v>18</v>
      </c>
      <c r="D335" s="34">
        <v>1445</v>
      </c>
      <c r="E335" s="34">
        <v>49</v>
      </c>
      <c r="F335" s="34" t="s">
        <v>54</v>
      </c>
      <c r="G335" s="97">
        <v>0.33071621610224167</v>
      </c>
      <c r="H335" s="34">
        <v>34</v>
      </c>
    </row>
    <row r="336" spans="1:8" x14ac:dyDescent="0.3">
      <c r="A336" s="34">
        <v>335</v>
      </c>
      <c r="B336" s="34">
        <v>830</v>
      </c>
      <c r="C336" s="34">
        <v>48</v>
      </c>
      <c r="D336" s="34">
        <v>6681</v>
      </c>
      <c r="E336" s="34">
        <v>38</v>
      </c>
      <c r="F336" s="34" t="s">
        <v>54</v>
      </c>
      <c r="G336" s="97">
        <v>0.33190591735886699</v>
      </c>
      <c r="H336" s="34">
        <v>35</v>
      </c>
    </row>
    <row r="337" spans="1:8" x14ac:dyDescent="0.3">
      <c r="A337" s="34">
        <v>336</v>
      </c>
      <c r="B337" s="34">
        <v>426</v>
      </c>
      <c r="C337" s="34">
        <v>18</v>
      </c>
      <c r="D337" s="34">
        <v>2779</v>
      </c>
      <c r="E337" s="34">
        <v>21</v>
      </c>
      <c r="F337" s="34" t="s">
        <v>54</v>
      </c>
      <c r="G337" s="97">
        <v>0.33291821636777497</v>
      </c>
      <c r="H337" s="34">
        <v>36</v>
      </c>
    </row>
    <row r="338" spans="1:8" x14ac:dyDescent="0.3">
      <c r="A338" s="34">
        <v>337</v>
      </c>
      <c r="B338" s="34">
        <v>665</v>
      </c>
      <c r="C338" s="34">
        <v>6</v>
      </c>
      <c r="D338" s="34">
        <v>1047</v>
      </c>
      <c r="E338" s="34">
        <v>50</v>
      </c>
      <c r="F338" s="34" t="s">
        <v>56</v>
      </c>
      <c r="G338" s="97">
        <v>0.3333603970252027</v>
      </c>
      <c r="H338" s="34">
        <v>37</v>
      </c>
    </row>
    <row r="339" spans="1:8" x14ac:dyDescent="0.3">
      <c r="A339" s="34">
        <v>338</v>
      </c>
      <c r="B339" s="34">
        <v>141</v>
      </c>
      <c r="C339" s="34">
        <v>6</v>
      </c>
      <c r="D339" s="34">
        <v>709</v>
      </c>
      <c r="E339" s="34">
        <v>27</v>
      </c>
      <c r="F339" s="34" t="s">
        <v>54</v>
      </c>
      <c r="G339" s="97">
        <v>0.33359225244573631</v>
      </c>
      <c r="H339" s="34">
        <v>38</v>
      </c>
    </row>
    <row r="340" spans="1:8" x14ac:dyDescent="0.3">
      <c r="A340" s="34">
        <v>339</v>
      </c>
      <c r="B340" s="34">
        <v>809</v>
      </c>
      <c r="C340" s="34">
        <v>42</v>
      </c>
      <c r="D340" s="34">
        <v>9283</v>
      </c>
      <c r="E340" s="34">
        <v>55</v>
      </c>
      <c r="F340" s="34" t="s">
        <v>54</v>
      </c>
      <c r="G340" s="97">
        <v>0.33431528982032488</v>
      </c>
      <c r="H340" s="34">
        <v>39</v>
      </c>
    </row>
    <row r="341" spans="1:8" x14ac:dyDescent="0.3">
      <c r="A341" s="34">
        <v>340</v>
      </c>
      <c r="B341" s="34">
        <v>589</v>
      </c>
      <c r="C341" s="34">
        <v>18</v>
      </c>
      <c r="D341" s="34">
        <v>1217</v>
      </c>
      <c r="E341" s="34">
        <v>47</v>
      </c>
      <c r="F341" s="34" t="s">
        <v>55</v>
      </c>
      <c r="G341" s="97">
        <v>0.33541078051879647</v>
      </c>
      <c r="H341" s="34">
        <v>40</v>
      </c>
    </row>
    <row r="342" spans="1:8" x14ac:dyDescent="0.3">
      <c r="A342" s="34">
        <v>341</v>
      </c>
      <c r="B342" s="34">
        <v>297</v>
      </c>
      <c r="C342" s="34">
        <v>12</v>
      </c>
      <c r="D342" s="34">
        <v>4675</v>
      </c>
      <c r="E342" s="34">
        <v>20</v>
      </c>
      <c r="F342" s="34" t="s">
        <v>56</v>
      </c>
      <c r="G342" s="97">
        <v>0.33662725901752855</v>
      </c>
      <c r="H342" s="34">
        <v>41</v>
      </c>
    </row>
    <row r="343" spans="1:8" x14ac:dyDescent="0.3">
      <c r="A343" s="34">
        <v>342</v>
      </c>
      <c r="B343" s="34">
        <v>448</v>
      </c>
      <c r="C343" s="34">
        <v>7</v>
      </c>
      <c r="D343" s="34">
        <v>2576</v>
      </c>
      <c r="E343" s="34">
        <v>35</v>
      </c>
      <c r="F343" s="34" t="s">
        <v>54</v>
      </c>
      <c r="G343" s="97">
        <v>0.33783991500271926</v>
      </c>
      <c r="H343" s="34">
        <v>42</v>
      </c>
    </row>
    <row r="344" spans="1:8" x14ac:dyDescent="0.3">
      <c r="A344" s="34">
        <v>343</v>
      </c>
      <c r="B344" s="34">
        <v>557</v>
      </c>
      <c r="C344" s="34">
        <v>18</v>
      </c>
      <c r="D344" s="34">
        <v>2278</v>
      </c>
      <c r="E344" s="34">
        <v>28</v>
      </c>
      <c r="F344" s="34" t="s">
        <v>57</v>
      </c>
      <c r="G344" s="97">
        <v>0.33899896315765832</v>
      </c>
      <c r="H344" s="34">
        <v>43</v>
      </c>
    </row>
    <row r="345" spans="1:8" x14ac:dyDescent="0.3">
      <c r="A345" s="34">
        <v>344</v>
      </c>
      <c r="B345" s="34">
        <v>345</v>
      </c>
      <c r="C345" s="34">
        <v>10</v>
      </c>
      <c r="D345" s="34">
        <v>3949</v>
      </c>
      <c r="E345" s="34">
        <v>37</v>
      </c>
      <c r="F345" s="34" t="s">
        <v>54</v>
      </c>
      <c r="G345" s="97">
        <v>0.33964211782685572</v>
      </c>
      <c r="H345" s="34">
        <v>44</v>
      </c>
    </row>
    <row r="346" spans="1:8" x14ac:dyDescent="0.3">
      <c r="A346" s="34">
        <v>345</v>
      </c>
      <c r="B346" s="34">
        <v>615</v>
      </c>
      <c r="C346" s="34">
        <v>18</v>
      </c>
      <c r="D346" s="34">
        <v>1808</v>
      </c>
      <c r="E346" s="34">
        <v>22</v>
      </c>
      <c r="F346" s="34" t="s">
        <v>57</v>
      </c>
      <c r="G346" s="97">
        <v>0.34116612358289389</v>
      </c>
      <c r="H346" s="34">
        <v>45</v>
      </c>
    </row>
    <row r="347" spans="1:8" x14ac:dyDescent="0.3">
      <c r="A347" s="34">
        <v>346</v>
      </c>
      <c r="B347" s="34">
        <v>773</v>
      </c>
      <c r="C347" s="34">
        <v>21</v>
      </c>
      <c r="D347" s="34">
        <v>3275</v>
      </c>
      <c r="E347" s="34">
        <v>36</v>
      </c>
      <c r="F347" s="34" t="s">
        <v>54</v>
      </c>
      <c r="G347" s="97">
        <v>0.34153312690216342</v>
      </c>
      <c r="H347" s="34">
        <v>46</v>
      </c>
    </row>
    <row r="348" spans="1:8" x14ac:dyDescent="0.3">
      <c r="A348" s="34">
        <v>347</v>
      </c>
      <c r="B348" s="34">
        <v>645</v>
      </c>
      <c r="C348" s="34">
        <v>18</v>
      </c>
      <c r="D348" s="34">
        <v>1880</v>
      </c>
      <c r="E348" s="34">
        <v>32</v>
      </c>
      <c r="F348" s="34" t="s">
        <v>54</v>
      </c>
      <c r="G348" s="97">
        <v>0.3432332519910174</v>
      </c>
      <c r="H348" s="34">
        <v>47</v>
      </c>
    </row>
    <row r="349" spans="1:8" x14ac:dyDescent="0.3">
      <c r="A349" s="34">
        <v>348</v>
      </c>
      <c r="B349" s="34">
        <v>632</v>
      </c>
      <c r="C349" s="34">
        <v>18</v>
      </c>
      <c r="D349" s="34">
        <v>1553</v>
      </c>
      <c r="E349" s="34">
        <v>44</v>
      </c>
      <c r="F349" s="34" t="s">
        <v>55</v>
      </c>
      <c r="G349" s="97">
        <v>0.34439629667451932</v>
      </c>
      <c r="H349" s="34">
        <v>48</v>
      </c>
    </row>
    <row r="350" spans="1:8" x14ac:dyDescent="0.3">
      <c r="A350" s="34">
        <v>349</v>
      </c>
      <c r="B350" s="34">
        <v>422</v>
      </c>
      <c r="C350" s="34">
        <v>12</v>
      </c>
      <c r="D350" s="34">
        <v>2028</v>
      </c>
      <c r="E350" s="34">
        <v>30</v>
      </c>
      <c r="F350" s="34" t="s">
        <v>54</v>
      </c>
      <c r="G350" s="97">
        <v>0.34537884595763857</v>
      </c>
      <c r="H350" s="34">
        <v>49</v>
      </c>
    </row>
    <row r="351" spans="1:8" x14ac:dyDescent="0.3">
      <c r="A351" s="34">
        <v>350</v>
      </c>
      <c r="B351" s="34">
        <v>860</v>
      </c>
      <c r="C351" s="34">
        <v>9</v>
      </c>
      <c r="D351" s="34">
        <v>3577</v>
      </c>
      <c r="E351" s="34">
        <v>26</v>
      </c>
      <c r="F351" s="34" t="s">
        <v>54</v>
      </c>
      <c r="G351" s="97">
        <v>0.34632600387728651</v>
      </c>
      <c r="H351" s="34">
        <v>50</v>
      </c>
    </row>
    <row r="352" spans="1:8" x14ac:dyDescent="0.3">
      <c r="A352" s="34">
        <v>351</v>
      </c>
      <c r="B352" s="34">
        <v>970</v>
      </c>
      <c r="C352" s="34">
        <v>11</v>
      </c>
      <c r="D352" s="34">
        <v>3939</v>
      </c>
      <c r="E352" s="34">
        <v>40</v>
      </c>
      <c r="F352" s="34" t="s">
        <v>54</v>
      </c>
      <c r="G352" s="97">
        <v>0.34939025358942954</v>
      </c>
      <c r="H352" s="34">
        <v>1</v>
      </c>
    </row>
    <row r="353" spans="1:8" x14ac:dyDescent="0.3">
      <c r="A353" s="34">
        <v>352</v>
      </c>
      <c r="B353" s="34">
        <v>83</v>
      </c>
      <c r="C353" s="34">
        <v>18</v>
      </c>
      <c r="D353" s="34">
        <v>1568</v>
      </c>
      <c r="E353" s="34">
        <v>24</v>
      </c>
      <c r="F353" s="34" t="s">
        <v>56</v>
      </c>
      <c r="G353" s="97">
        <v>0.34983256630726867</v>
      </c>
      <c r="H353" s="34">
        <v>2</v>
      </c>
    </row>
    <row r="354" spans="1:8" x14ac:dyDescent="0.3">
      <c r="A354" s="34">
        <v>353</v>
      </c>
      <c r="B354" s="34">
        <v>280</v>
      </c>
      <c r="C354" s="34">
        <v>24</v>
      </c>
      <c r="D354" s="34">
        <v>1901</v>
      </c>
      <c r="E354" s="34">
        <v>29</v>
      </c>
      <c r="F354" s="34" t="s">
        <v>54</v>
      </c>
      <c r="G354" s="97">
        <v>0.35156746309999243</v>
      </c>
      <c r="H354" s="34">
        <v>3</v>
      </c>
    </row>
    <row r="355" spans="1:8" x14ac:dyDescent="0.3">
      <c r="A355" s="34">
        <v>354</v>
      </c>
      <c r="B355" s="34">
        <v>775</v>
      </c>
      <c r="C355" s="34">
        <v>12</v>
      </c>
      <c r="D355" s="34">
        <v>1480</v>
      </c>
      <c r="E355" s="34">
        <v>66</v>
      </c>
      <c r="F355" s="34" t="s">
        <v>54</v>
      </c>
      <c r="G355" s="97">
        <v>0.35369231748407592</v>
      </c>
      <c r="H355" s="34">
        <v>4</v>
      </c>
    </row>
    <row r="356" spans="1:8" x14ac:dyDescent="0.3">
      <c r="A356" s="34">
        <v>355</v>
      </c>
      <c r="B356" s="34">
        <v>795</v>
      </c>
      <c r="C356" s="34">
        <v>24</v>
      </c>
      <c r="D356" s="34">
        <v>3062</v>
      </c>
      <c r="E356" s="34">
        <v>32</v>
      </c>
      <c r="F356" s="34" t="s">
        <v>54</v>
      </c>
      <c r="G356" s="97">
        <v>0.35666824992997037</v>
      </c>
      <c r="H356" s="34">
        <v>5</v>
      </c>
    </row>
    <row r="357" spans="1:8" x14ac:dyDescent="0.3">
      <c r="A357" s="34">
        <v>356</v>
      </c>
      <c r="B357" s="34">
        <v>769</v>
      </c>
      <c r="C357" s="34">
        <v>12</v>
      </c>
      <c r="D357" s="34">
        <v>3617</v>
      </c>
      <c r="E357" s="34">
        <v>28</v>
      </c>
      <c r="F357" s="34" t="s">
        <v>54</v>
      </c>
      <c r="G357" s="97">
        <v>0.3566749026745113</v>
      </c>
      <c r="H357" s="34">
        <v>6</v>
      </c>
    </row>
    <row r="358" spans="1:8" x14ac:dyDescent="0.3">
      <c r="A358" s="34">
        <v>357</v>
      </c>
      <c r="B358" s="34">
        <v>736</v>
      </c>
      <c r="C358" s="34">
        <v>36</v>
      </c>
      <c r="D358" s="34">
        <v>3990</v>
      </c>
      <c r="E358" s="34">
        <v>29</v>
      </c>
      <c r="F358" s="34" t="s">
        <v>56</v>
      </c>
      <c r="G358" s="97">
        <v>0.35731073078128817</v>
      </c>
      <c r="H358" s="34">
        <v>7</v>
      </c>
    </row>
    <row r="359" spans="1:8" x14ac:dyDescent="0.3">
      <c r="A359" s="34">
        <v>358</v>
      </c>
      <c r="B359" s="34">
        <v>182</v>
      </c>
      <c r="C359" s="34">
        <v>36</v>
      </c>
      <c r="D359" s="34">
        <v>4455</v>
      </c>
      <c r="E359" s="34">
        <v>30</v>
      </c>
      <c r="F359" s="34" t="s">
        <v>55</v>
      </c>
      <c r="G359" s="97">
        <v>0.35976281237235808</v>
      </c>
      <c r="H359" s="34">
        <v>8</v>
      </c>
    </row>
    <row r="360" spans="1:8" x14ac:dyDescent="0.3">
      <c r="A360" s="34">
        <v>359</v>
      </c>
      <c r="B360" s="34">
        <v>478</v>
      </c>
      <c r="C360" s="34">
        <v>24</v>
      </c>
      <c r="D360" s="34">
        <v>5152</v>
      </c>
      <c r="E360" s="34">
        <v>25</v>
      </c>
      <c r="F360" s="34" t="s">
        <v>54</v>
      </c>
      <c r="G360" s="97">
        <v>0.36070867793059636</v>
      </c>
      <c r="H360" s="34">
        <v>9</v>
      </c>
    </row>
    <row r="361" spans="1:8" x14ac:dyDescent="0.3">
      <c r="A361" s="34">
        <v>360</v>
      </c>
      <c r="B361" s="34">
        <v>556</v>
      </c>
      <c r="C361" s="34">
        <v>12</v>
      </c>
      <c r="D361" s="34">
        <v>1331</v>
      </c>
      <c r="E361" s="34">
        <v>22</v>
      </c>
      <c r="F361" s="34" t="s">
        <v>55</v>
      </c>
      <c r="G361" s="97">
        <v>0.36081079104500424</v>
      </c>
      <c r="H361" s="34">
        <v>10</v>
      </c>
    </row>
    <row r="362" spans="1:8" x14ac:dyDescent="0.3">
      <c r="A362" s="34">
        <v>361</v>
      </c>
      <c r="B362" s="34">
        <v>393</v>
      </c>
      <c r="C362" s="34">
        <v>36</v>
      </c>
      <c r="D362" s="34">
        <v>3249</v>
      </c>
      <c r="E362" s="34">
        <v>39</v>
      </c>
      <c r="F362" s="34" t="s">
        <v>54</v>
      </c>
      <c r="G362" s="97">
        <v>0.36099598575849601</v>
      </c>
      <c r="H362" s="34">
        <v>11</v>
      </c>
    </row>
    <row r="363" spans="1:8" x14ac:dyDescent="0.3">
      <c r="A363" s="34">
        <v>362</v>
      </c>
      <c r="B363" s="34">
        <v>447</v>
      </c>
      <c r="C363" s="34">
        <v>36</v>
      </c>
      <c r="D363" s="34">
        <v>1842</v>
      </c>
      <c r="E363" s="34">
        <v>34</v>
      </c>
      <c r="F363" s="34" t="s">
        <v>57</v>
      </c>
      <c r="G363" s="97">
        <v>0.36167129840971934</v>
      </c>
      <c r="H363" s="34">
        <v>12</v>
      </c>
    </row>
    <row r="364" spans="1:8" x14ac:dyDescent="0.3">
      <c r="A364" s="34">
        <v>363</v>
      </c>
      <c r="B364" s="34">
        <v>910</v>
      </c>
      <c r="C364" s="34">
        <v>9</v>
      </c>
      <c r="D364" s="34">
        <v>3195</v>
      </c>
      <c r="E364" s="34">
        <v>33</v>
      </c>
      <c r="F364" s="34" t="s">
        <v>56</v>
      </c>
      <c r="G364" s="97">
        <v>0.36253633076296954</v>
      </c>
      <c r="H364" s="34">
        <v>13</v>
      </c>
    </row>
    <row r="365" spans="1:8" x14ac:dyDescent="0.3">
      <c r="A365" s="34">
        <v>364</v>
      </c>
      <c r="B365" s="34">
        <v>135</v>
      </c>
      <c r="C365" s="34">
        <v>60</v>
      </c>
      <c r="D365" s="34">
        <v>10144</v>
      </c>
      <c r="E365" s="34">
        <v>21</v>
      </c>
      <c r="F365" s="34" t="s">
        <v>56</v>
      </c>
      <c r="G365" s="97">
        <v>0.36360966731154321</v>
      </c>
      <c r="H365" s="34">
        <v>14</v>
      </c>
    </row>
    <row r="366" spans="1:8" x14ac:dyDescent="0.3">
      <c r="A366" s="34">
        <v>365</v>
      </c>
      <c r="B366" s="34">
        <v>903</v>
      </c>
      <c r="C366" s="34">
        <v>36</v>
      </c>
      <c r="D366" s="34">
        <v>10477</v>
      </c>
      <c r="E366" s="34">
        <v>42</v>
      </c>
      <c r="F366" s="34" t="s">
        <v>54</v>
      </c>
      <c r="G366" s="97">
        <v>0.36441320202427963</v>
      </c>
      <c r="H366" s="34">
        <v>15</v>
      </c>
    </row>
    <row r="367" spans="1:8" x14ac:dyDescent="0.3">
      <c r="A367" s="34">
        <v>366</v>
      </c>
      <c r="B367" s="34">
        <v>542</v>
      </c>
      <c r="C367" s="34">
        <v>24</v>
      </c>
      <c r="D367" s="34">
        <v>2032</v>
      </c>
      <c r="E367" s="34">
        <v>60</v>
      </c>
      <c r="F367" s="34" t="s">
        <v>54</v>
      </c>
      <c r="G367" s="97">
        <v>0.36450032964518908</v>
      </c>
      <c r="H367" s="34">
        <v>16</v>
      </c>
    </row>
    <row r="368" spans="1:8" x14ac:dyDescent="0.3">
      <c r="A368" s="34">
        <v>367</v>
      </c>
      <c r="B368" s="34">
        <v>586</v>
      </c>
      <c r="C368" s="34">
        <v>18</v>
      </c>
      <c r="D368" s="34">
        <v>2039</v>
      </c>
      <c r="E368" s="34">
        <v>20</v>
      </c>
      <c r="F368" s="34" t="s">
        <v>57</v>
      </c>
      <c r="G368" s="97">
        <v>0.36471523488283808</v>
      </c>
      <c r="H368" s="34">
        <v>17</v>
      </c>
    </row>
    <row r="369" spans="1:8" x14ac:dyDescent="0.3">
      <c r="A369" s="34">
        <v>368</v>
      </c>
      <c r="B369" s="34">
        <v>235</v>
      </c>
      <c r="C369" s="34">
        <v>4</v>
      </c>
      <c r="D369" s="34">
        <v>1544</v>
      </c>
      <c r="E369" s="34">
        <v>42</v>
      </c>
      <c r="F369" s="34" t="s">
        <v>54</v>
      </c>
      <c r="G369" s="97">
        <v>0.36754530886917669</v>
      </c>
      <c r="H369" s="34">
        <v>18</v>
      </c>
    </row>
    <row r="370" spans="1:8" x14ac:dyDescent="0.3">
      <c r="A370" s="34">
        <v>369</v>
      </c>
      <c r="B370" s="34">
        <v>213</v>
      </c>
      <c r="C370" s="34">
        <v>27</v>
      </c>
      <c r="D370" s="34">
        <v>5293</v>
      </c>
      <c r="E370" s="34">
        <v>50</v>
      </c>
      <c r="F370" s="34" t="s">
        <v>55</v>
      </c>
      <c r="G370" s="97">
        <v>0.37006546494122472</v>
      </c>
      <c r="H370" s="34">
        <v>19</v>
      </c>
    </row>
    <row r="371" spans="1:8" x14ac:dyDescent="0.3">
      <c r="A371" s="34">
        <v>370</v>
      </c>
      <c r="B371" s="34">
        <v>33</v>
      </c>
      <c r="C371" s="34">
        <v>18</v>
      </c>
      <c r="D371" s="34">
        <v>5866</v>
      </c>
      <c r="E371" s="34">
        <v>30</v>
      </c>
      <c r="F371" s="34" t="s">
        <v>54</v>
      </c>
      <c r="G371" s="97">
        <v>0.37124717489022829</v>
      </c>
      <c r="H371" s="34">
        <v>20</v>
      </c>
    </row>
    <row r="372" spans="1:8" x14ac:dyDescent="0.3">
      <c r="A372" s="34">
        <v>371</v>
      </c>
      <c r="B372" s="34">
        <v>128</v>
      </c>
      <c r="C372" s="34">
        <v>12</v>
      </c>
      <c r="D372" s="34">
        <v>639</v>
      </c>
      <c r="E372" s="34">
        <v>30</v>
      </c>
      <c r="F372" s="34" t="s">
        <v>55</v>
      </c>
      <c r="G372" s="97">
        <v>0.37250731635933243</v>
      </c>
      <c r="H372" s="34">
        <v>21</v>
      </c>
    </row>
    <row r="373" spans="1:8" x14ac:dyDescent="0.3">
      <c r="A373" s="34">
        <v>372</v>
      </c>
      <c r="B373" s="34">
        <v>397</v>
      </c>
      <c r="C373" s="34">
        <v>12</v>
      </c>
      <c r="D373" s="34">
        <v>2578</v>
      </c>
      <c r="E373" s="34">
        <v>55</v>
      </c>
      <c r="F373" s="34" t="s">
        <v>56</v>
      </c>
      <c r="G373" s="97">
        <v>0.37335071742996673</v>
      </c>
      <c r="H373" s="34">
        <v>22</v>
      </c>
    </row>
    <row r="374" spans="1:8" x14ac:dyDescent="0.3">
      <c r="A374" s="34">
        <v>373</v>
      </c>
      <c r="B374" s="34">
        <v>543</v>
      </c>
      <c r="C374" s="34">
        <v>30</v>
      </c>
      <c r="D374" s="34">
        <v>6350</v>
      </c>
      <c r="E374" s="34">
        <v>31</v>
      </c>
      <c r="F374" s="34" t="s">
        <v>55</v>
      </c>
      <c r="G374" s="97">
        <v>0.37351426726947867</v>
      </c>
      <c r="H374" s="34">
        <v>23</v>
      </c>
    </row>
    <row r="375" spans="1:8" x14ac:dyDescent="0.3">
      <c r="A375" s="34">
        <v>374</v>
      </c>
      <c r="B375" s="34">
        <v>60</v>
      </c>
      <c r="C375" s="34">
        <v>36</v>
      </c>
      <c r="D375" s="34">
        <v>6229</v>
      </c>
      <c r="E375" s="34">
        <v>23</v>
      </c>
      <c r="F375" s="34" t="s">
        <v>57</v>
      </c>
      <c r="G375" s="97">
        <v>0.37363836830496622</v>
      </c>
      <c r="H375" s="34">
        <v>24</v>
      </c>
    </row>
    <row r="376" spans="1:8" x14ac:dyDescent="0.3">
      <c r="A376" s="34">
        <v>375</v>
      </c>
      <c r="B376" s="34">
        <v>92</v>
      </c>
      <c r="C376" s="34">
        <v>12</v>
      </c>
      <c r="D376" s="34">
        <v>1409</v>
      </c>
      <c r="E376" s="34">
        <v>54</v>
      </c>
      <c r="F376" s="34" t="s">
        <v>54</v>
      </c>
      <c r="G376" s="97">
        <v>0.37388050659190897</v>
      </c>
      <c r="H376" s="34">
        <v>25</v>
      </c>
    </row>
    <row r="377" spans="1:8" x14ac:dyDescent="0.3">
      <c r="A377" s="34">
        <v>376</v>
      </c>
      <c r="B377" s="34">
        <v>285</v>
      </c>
      <c r="C377" s="34">
        <v>24</v>
      </c>
      <c r="D377" s="34">
        <v>3878</v>
      </c>
      <c r="E377" s="34">
        <v>37</v>
      </c>
      <c r="F377" s="34" t="s">
        <v>54</v>
      </c>
      <c r="G377" s="97">
        <v>0.37435728291907511</v>
      </c>
      <c r="H377" s="34">
        <v>26</v>
      </c>
    </row>
    <row r="378" spans="1:8" x14ac:dyDescent="0.3">
      <c r="A378" s="34">
        <v>377</v>
      </c>
      <c r="B378" s="34">
        <v>79</v>
      </c>
      <c r="C378" s="34">
        <v>54</v>
      </c>
      <c r="D378" s="34">
        <v>9436</v>
      </c>
      <c r="E378" s="34">
        <v>39</v>
      </c>
      <c r="F378" s="34" t="s">
        <v>54</v>
      </c>
      <c r="G378" s="97">
        <v>0.37795438753756605</v>
      </c>
      <c r="H378" s="34">
        <v>27</v>
      </c>
    </row>
    <row r="379" spans="1:8" x14ac:dyDescent="0.3">
      <c r="A379" s="34">
        <v>378</v>
      </c>
      <c r="B379" s="34">
        <v>993</v>
      </c>
      <c r="C379" s="34">
        <v>18</v>
      </c>
      <c r="D379" s="34">
        <v>1936</v>
      </c>
      <c r="E379" s="34">
        <v>23</v>
      </c>
      <c r="F379" s="34" t="s">
        <v>54</v>
      </c>
      <c r="G379" s="97">
        <v>0.378233503108377</v>
      </c>
      <c r="H379" s="34">
        <v>28</v>
      </c>
    </row>
    <row r="380" spans="1:8" x14ac:dyDescent="0.3">
      <c r="A380" s="34">
        <v>379</v>
      </c>
      <c r="B380" s="34">
        <v>550</v>
      </c>
      <c r="C380" s="34">
        <v>48</v>
      </c>
      <c r="D380" s="34">
        <v>8858</v>
      </c>
      <c r="E380" s="34">
        <v>35</v>
      </c>
      <c r="F380" s="34" t="s">
        <v>54</v>
      </c>
      <c r="G380" s="97">
        <v>0.37839717850940346</v>
      </c>
      <c r="H380" s="34">
        <v>29</v>
      </c>
    </row>
    <row r="381" spans="1:8" x14ac:dyDescent="0.3">
      <c r="A381" s="34">
        <v>380</v>
      </c>
      <c r="B381" s="34">
        <v>96</v>
      </c>
      <c r="C381" s="34">
        <v>54</v>
      </c>
      <c r="D381" s="34">
        <v>15945</v>
      </c>
      <c r="E381" s="34">
        <v>58</v>
      </c>
      <c r="F381" s="34" t="s">
        <v>55</v>
      </c>
      <c r="G381" s="97">
        <v>0.37859559743503335</v>
      </c>
      <c r="H381" s="34">
        <v>30</v>
      </c>
    </row>
    <row r="382" spans="1:8" x14ac:dyDescent="0.3">
      <c r="A382" s="34">
        <v>381</v>
      </c>
      <c r="B382" s="34">
        <v>612</v>
      </c>
      <c r="C382" s="34">
        <v>10</v>
      </c>
      <c r="D382" s="34">
        <v>1240</v>
      </c>
      <c r="E382" s="34">
        <v>48</v>
      </c>
      <c r="F382" s="34" t="s">
        <v>57</v>
      </c>
      <c r="G382" s="97">
        <v>0.37874566577831692</v>
      </c>
      <c r="H382" s="34">
        <v>31</v>
      </c>
    </row>
    <row r="383" spans="1:8" x14ac:dyDescent="0.3">
      <c r="A383" s="34">
        <v>382</v>
      </c>
      <c r="B383" s="34">
        <v>116</v>
      </c>
      <c r="C383" s="34">
        <v>48</v>
      </c>
      <c r="D383" s="34">
        <v>3578</v>
      </c>
      <c r="E383" s="34">
        <v>47</v>
      </c>
      <c r="F383" s="34" t="s">
        <v>54</v>
      </c>
      <c r="G383" s="97">
        <v>0.37897485840147627</v>
      </c>
      <c r="H383" s="34">
        <v>32</v>
      </c>
    </row>
    <row r="384" spans="1:8" x14ac:dyDescent="0.3">
      <c r="A384" s="34">
        <v>383</v>
      </c>
      <c r="B384" s="34">
        <v>432</v>
      </c>
      <c r="C384" s="34">
        <v>24</v>
      </c>
      <c r="D384" s="34">
        <v>11328</v>
      </c>
      <c r="E384" s="34">
        <v>29</v>
      </c>
      <c r="F384" s="34" t="s">
        <v>55</v>
      </c>
      <c r="G384" s="97">
        <v>0.37950497440977304</v>
      </c>
      <c r="H384" s="34">
        <v>33</v>
      </c>
    </row>
    <row r="385" spans="1:8" x14ac:dyDescent="0.3">
      <c r="A385" s="34">
        <v>384</v>
      </c>
      <c r="B385" s="34">
        <v>441</v>
      </c>
      <c r="C385" s="34">
        <v>12</v>
      </c>
      <c r="D385" s="34">
        <v>1884</v>
      </c>
      <c r="E385" s="34">
        <v>39</v>
      </c>
      <c r="F385" s="34" t="s">
        <v>54</v>
      </c>
      <c r="G385" s="97">
        <v>0.37960464309332653</v>
      </c>
      <c r="H385" s="34">
        <v>34</v>
      </c>
    </row>
    <row r="386" spans="1:8" x14ac:dyDescent="0.3">
      <c r="A386" s="34">
        <v>385</v>
      </c>
      <c r="B386" s="34">
        <v>239</v>
      </c>
      <c r="C386" s="34">
        <v>12</v>
      </c>
      <c r="D386" s="34">
        <v>1291</v>
      </c>
      <c r="E386" s="34">
        <v>35</v>
      </c>
      <c r="F386" s="34" t="s">
        <v>56</v>
      </c>
      <c r="G386" s="97">
        <v>0.38014740413415293</v>
      </c>
      <c r="H386" s="34">
        <v>35</v>
      </c>
    </row>
    <row r="387" spans="1:8" x14ac:dyDescent="0.3">
      <c r="A387" s="34">
        <v>386</v>
      </c>
      <c r="B387" s="34">
        <v>720</v>
      </c>
      <c r="C387" s="34">
        <v>20</v>
      </c>
      <c r="D387" s="34">
        <v>6148</v>
      </c>
      <c r="E387" s="34">
        <v>31</v>
      </c>
      <c r="F387" s="34" t="s">
        <v>54</v>
      </c>
      <c r="G387" s="97">
        <v>0.38537406549677888</v>
      </c>
      <c r="H387" s="34">
        <v>36</v>
      </c>
    </row>
    <row r="388" spans="1:8" x14ac:dyDescent="0.3">
      <c r="A388" s="34">
        <v>387</v>
      </c>
      <c r="B388" s="34">
        <v>866</v>
      </c>
      <c r="C388" s="34">
        <v>15</v>
      </c>
      <c r="D388" s="34">
        <v>2221</v>
      </c>
      <c r="E388" s="34">
        <v>20</v>
      </c>
      <c r="F388" s="34" t="s">
        <v>56</v>
      </c>
      <c r="G388" s="97">
        <v>0.38627713465574032</v>
      </c>
      <c r="H388" s="34">
        <v>37</v>
      </c>
    </row>
    <row r="389" spans="1:8" x14ac:dyDescent="0.3">
      <c r="A389" s="34">
        <v>388</v>
      </c>
      <c r="B389" s="34">
        <v>129</v>
      </c>
      <c r="C389" s="34">
        <v>12</v>
      </c>
      <c r="D389" s="34">
        <v>1860</v>
      </c>
      <c r="E389" s="34">
        <v>34</v>
      </c>
      <c r="F389" s="34" t="s">
        <v>54</v>
      </c>
      <c r="G389" s="97">
        <v>0.38840175140268851</v>
      </c>
      <c r="H389" s="34">
        <v>38</v>
      </c>
    </row>
    <row r="390" spans="1:8" x14ac:dyDescent="0.3">
      <c r="A390" s="34">
        <v>389</v>
      </c>
      <c r="B390" s="34">
        <v>97</v>
      </c>
      <c r="C390" s="34">
        <v>12</v>
      </c>
      <c r="D390" s="34">
        <v>2012</v>
      </c>
      <c r="E390" s="34">
        <v>61</v>
      </c>
      <c r="F390" s="34" t="s">
        <v>56</v>
      </c>
      <c r="G390" s="97">
        <v>0.38865220014272517</v>
      </c>
      <c r="H390" s="34">
        <v>39</v>
      </c>
    </row>
    <row r="391" spans="1:8" x14ac:dyDescent="0.3">
      <c r="A391" s="34">
        <v>390</v>
      </c>
      <c r="B391" s="34">
        <v>761</v>
      </c>
      <c r="C391" s="34">
        <v>15</v>
      </c>
      <c r="D391" s="34">
        <v>5045</v>
      </c>
      <c r="E391" s="34">
        <v>59</v>
      </c>
      <c r="F391" s="34" t="s">
        <v>56</v>
      </c>
      <c r="G391" s="97">
        <v>0.38872725930818486</v>
      </c>
      <c r="H391" s="34">
        <v>40</v>
      </c>
    </row>
    <row r="392" spans="1:8" x14ac:dyDescent="0.3">
      <c r="A392" s="34">
        <v>391</v>
      </c>
      <c r="B392" s="34">
        <v>526</v>
      </c>
      <c r="C392" s="34">
        <v>26</v>
      </c>
      <c r="D392" s="34">
        <v>7966</v>
      </c>
      <c r="E392" s="34">
        <v>30</v>
      </c>
      <c r="F392" s="34" t="s">
        <v>54</v>
      </c>
      <c r="G392" s="97">
        <v>0.38899936356178133</v>
      </c>
      <c r="H392" s="34">
        <v>41</v>
      </c>
    </row>
    <row r="393" spans="1:8" x14ac:dyDescent="0.3">
      <c r="A393" s="34">
        <v>392</v>
      </c>
      <c r="B393" s="34">
        <v>660</v>
      </c>
      <c r="C393" s="34">
        <v>18</v>
      </c>
      <c r="D393" s="34">
        <v>6361</v>
      </c>
      <c r="E393" s="34">
        <v>41</v>
      </c>
      <c r="F393" s="34" t="s">
        <v>54</v>
      </c>
      <c r="G393" s="97">
        <v>0.38908015114308325</v>
      </c>
      <c r="H393" s="34">
        <v>42</v>
      </c>
    </row>
    <row r="394" spans="1:8" x14ac:dyDescent="0.3">
      <c r="A394" s="34">
        <v>393</v>
      </c>
      <c r="B394" s="34">
        <v>630</v>
      </c>
      <c r="C394" s="34">
        <v>9</v>
      </c>
      <c r="D394" s="34">
        <v>3832</v>
      </c>
      <c r="E394" s="34">
        <v>64</v>
      </c>
      <c r="F394" s="34" t="s">
        <v>54</v>
      </c>
      <c r="G394" s="97">
        <v>0.3922302476715771</v>
      </c>
      <c r="H394" s="34">
        <v>43</v>
      </c>
    </row>
    <row r="395" spans="1:8" x14ac:dyDescent="0.3">
      <c r="A395" s="34">
        <v>394</v>
      </c>
      <c r="B395" s="34">
        <v>618</v>
      </c>
      <c r="C395" s="34">
        <v>6</v>
      </c>
      <c r="D395" s="34">
        <v>3676</v>
      </c>
      <c r="E395" s="34">
        <v>37</v>
      </c>
      <c r="F395" s="34" t="s">
        <v>54</v>
      </c>
      <c r="G395" s="97">
        <v>0.39228952064680567</v>
      </c>
      <c r="H395" s="34">
        <v>44</v>
      </c>
    </row>
    <row r="396" spans="1:8" x14ac:dyDescent="0.3">
      <c r="A396" s="34">
        <v>395</v>
      </c>
      <c r="B396" s="34">
        <v>894</v>
      </c>
      <c r="C396" s="34">
        <v>36</v>
      </c>
      <c r="D396" s="34">
        <v>5800</v>
      </c>
      <c r="E396" s="34">
        <v>34</v>
      </c>
      <c r="F396" s="34" t="s">
        <v>54</v>
      </c>
      <c r="G396" s="97">
        <v>0.39247107292809724</v>
      </c>
      <c r="H396" s="34">
        <v>45</v>
      </c>
    </row>
    <row r="397" spans="1:8" x14ac:dyDescent="0.3">
      <c r="A397" s="34">
        <v>396</v>
      </c>
      <c r="B397" s="34">
        <v>753</v>
      </c>
      <c r="C397" s="34">
        <v>12</v>
      </c>
      <c r="D397" s="34">
        <v>841</v>
      </c>
      <c r="E397" s="34">
        <v>23</v>
      </c>
      <c r="F397" s="34" t="s">
        <v>56</v>
      </c>
      <c r="G397" s="97">
        <v>0.3961955085190717</v>
      </c>
      <c r="H397" s="34">
        <v>46</v>
      </c>
    </row>
    <row r="398" spans="1:8" x14ac:dyDescent="0.3">
      <c r="A398" s="34">
        <v>397</v>
      </c>
      <c r="B398" s="34">
        <v>482</v>
      </c>
      <c r="C398" s="34">
        <v>24</v>
      </c>
      <c r="D398" s="34">
        <v>1201</v>
      </c>
      <c r="E398" s="34">
        <v>26</v>
      </c>
      <c r="F398" s="34" t="s">
        <v>54</v>
      </c>
      <c r="G398" s="97">
        <v>0.39635250321694504</v>
      </c>
      <c r="H398" s="34">
        <v>47</v>
      </c>
    </row>
    <row r="399" spans="1:8" x14ac:dyDescent="0.3">
      <c r="A399" s="34">
        <v>398</v>
      </c>
      <c r="B399" s="34">
        <v>113</v>
      </c>
      <c r="C399" s="34">
        <v>18</v>
      </c>
      <c r="D399" s="34">
        <v>6260</v>
      </c>
      <c r="E399" s="34">
        <v>28</v>
      </c>
      <c r="F399" s="34" t="s">
        <v>54</v>
      </c>
      <c r="G399" s="97">
        <v>0.39753817120319868</v>
      </c>
      <c r="H399" s="34">
        <v>48</v>
      </c>
    </row>
    <row r="400" spans="1:8" x14ac:dyDescent="0.3">
      <c r="A400" s="34">
        <v>399</v>
      </c>
      <c r="B400" s="34">
        <v>739</v>
      </c>
      <c r="C400" s="34">
        <v>6</v>
      </c>
      <c r="D400" s="34">
        <v>6761</v>
      </c>
      <c r="E400" s="34">
        <v>45</v>
      </c>
      <c r="F400" s="34" t="s">
        <v>54</v>
      </c>
      <c r="G400" s="97">
        <v>0.39817709792802203</v>
      </c>
      <c r="H400" s="34">
        <v>49</v>
      </c>
    </row>
    <row r="401" spans="1:8" x14ac:dyDescent="0.3">
      <c r="A401" s="34">
        <v>400</v>
      </c>
      <c r="B401" s="34">
        <v>892</v>
      </c>
      <c r="C401" s="34">
        <v>15</v>
      </c>
      <c r="D401" s="34">
        <v>1829</v>
      </c>
      <c r="E401" s="34">
        <v>46</v>
      </c>
      <c r="F401" s="34" t="s">
        <v>54</v>
      </c>
      <c r="G401" s="97">
        <v>0.39976545474229741</v>
      </c>
      <c r="H401" s="34">
        <v>50</v>
      </c>
    </row>
    <row r="402" spans="1:8" x14ac:dyDescent="0.3">
      <c r="A402" s="34">
        <v>401</v>
      </c>
      <c r="B402" s="34">
        <v>710</v>
      </c>
      <c r="C402" s="34">
        <v>9</v>
      </c>
      <c r="D402" s="34">
        <v>2118</v>
      </c>
      <c r="E402" s="34">
        <v>37</v>
      </c>
      <c r="F402" s="34" t="s">
        <v>54</v>
      </c>
      <c r="G402" s="97">
        <v>0.4002047534094042</v>
      </c>
      <c r="H402" s="34">
        <v>1</v>
      </c>
    </row>
    <row r="403" spans="1:8" x14ac:dyDescent="0.3">
      <c r="A403" s="34">
        <v>402</v>
      </c>
      <c r="B403" s="34">
        <v>458</v>
      </c>
      <c r="C403" s="34">
        <v>12</v>
      </c>
      <c r="D403" s="34">
        <v>3386</v>
      </c>
      <c r="E403" s="34">
        <v>35</v>
      </c>
      <c r="F403" s="34" t="s">
        <v>55</v>
      </c>
      <c r="G403" s="97">
        <v>0.40030310254410761</v>
      </c>
      <c r="H403" s="34">
        <v>2</v>
      </c>
    </row>
    <row r="404" spans="1:8" x14ac:dyDescent="0.3">
      <c r="A404" s="34">
        <v>403</v>
      </c>
      <c r="B404" s="34">
        <v>868</v>
      </c>
      <c r="C404" s="34">
        <v>12</v>
      </c>
      <c r="D404" s="34">
        <v>3331</v>
      </c>
      <c r="E404" s="34">
        <v>42</v>
      </c>
      <c r="F404" s="34" t="s">
        <v>54</v>
      </c>
      <c r="G404" s="97">
        <v>0.40066352412759187</v>
      </c>
      <c r="H404" s="34">
        <v>3</v>
      </c>
    </row>
    <row r="405" spans="1:8" x14ac:dyDescent="0.3">
      <c r="A405" s="34">
        <v>404</v>
      </c>
      <c r="B405" s="34">
        <v>251</v>
      </c>
      <c r="C405" s="34">
        <v>6</v>
      </c>
      <c r="D405" s="34">
        <v>666</v>
      </c>
      <c r="E405" s="34">
        <v>39</v>
      </c>
      <c r="F405" s="34" t="s">
        <v>56</v>
      </c>
      <c r="G405" s="97">
        <v>0.40171907808724328</v>
      </c>
      <c r="H405" s="34">
        <v>4</v>
      </c>
    </row>
    <row r="406" spans="1:8" x14ac:dyDescent="0.3">
      <c r="A406" s="34">
        <v>405</v>
      </c>
      <c r="B406" s="34">
        <v>399</v>
      </c>
      <c r="C406" s="34">
        <v>12</v>
      </c>
      <c r="D406" s="34">
        <v>1223</v>
      </c>
      <c r="E406" s="34">
        <v>46</v>
      </c>
      <c r="F406" s="34" t="s">
        <v>55</v>
      </c>
      <c r="G406" s="97">
        <v>0.40345006345110257</v>
      </c>
      <c r="H406" s="34">
        <v>5</v>
      </c>
    </row>
    <row r="407" spans="1:8" x14ac:dyDescent="0.3">
      <c r="A407" s="34">
        <v>406</v>
      </c>
      <c r="B407" s="34">
        <v>812</v>
      </c>
      <c r="C407" s="34">
        <v>6</v>
      </c>
      <c r="D407" s="34">
        <v>484</v>
      </c>
      <c r="E407" s="34">
        <v>28</v>
      </c>
      <c r="F407" s="34" t="s">
        <v>54</v>
      </c>
      <c r="G407" s="97">
        <v>0.40509661342184611</v>
      </c>
      <c r="H407" s="34">
        <v>6</v>
      </c>
    </row>
    <row r="408" spans="1:8" x14ac:dyDescent="0.3">
      <c r="A408" s="34">
        <v>407</v>
      </c>
      <c r="B408" s="34">
        <v>318</v>
      </c>
      <c r="C408" s="34">
        <v>24</v>
      </c>
      <c r="D408" s="34">
        <v>4351</v>
      </c>
      <c r="E408" s="34">
        <v>48</v>
      </c>
      <c r="F408" s="34" t="s">
        <v>56</v>
      </c>
      <c r="G408" s="97">
        <v>0.405413363586134</v>
      </c>
      <c r="H408" s="34">
        <v>7</v>
      </c>
    </row>
    <row r="409" spans="1:8" x14ac:dyDescent="0.3">
      <c r="A409" s="34">
        <v>408</v>
      </c>
      <c r="B409" s="34">
        <v>52</v>
      </c>
      <c r="C409" s="34">
        <v>27</v>
      </c>
      <c r="D409" s="34">
        <v>5965</v>
      </c>
      <c r="E409" s="34">
        <v>30</v>
      </c>
      <c r="F409" s="34" t="s">
        <v>54</v>
      </c>
      <c r="G409" s="97">
        <v>0.41056595204405666</v>
      </c>
      <c r="H409" s="34">
        <v>8</v>
      </c>
    </row>
    <row r="410" spans="1:8" x14ac:dyDescent="0.3">
      <c r="A410" s="34">
        <v>409</v>
      </c>
      <c r="B410" s="34">
        <v>346</v>
      </c>
      <c r="C410" s="34">
        <v>15</v>
      </c>
      <c r="D410" s="34">
        <v>1459</v>
      </c>
      <c r="E410" s="34">
        <v>43</v>
      </c>
      <c r="F410" s="34" t="s">
        <v>56</v>
      </c>
      <c r="G410" s="97">
        <v>0.41084597494856245</v>
      </c>
      <c r="H410" s="34">
        <v>9</v>
      </c>
    </row>
    <row r="411" spans="1:8" x14ac:dyDescent="0.3">
      <c r="A411" s="34">
        <v>410</v>
      </c>
      <c r="B411" s="34">
        <v>581</v>
      </c>
      <c r="C411" s="34">
        <v>18</v>
      </c>
      <c r="D411" s="34">
        <v>1056</v>
      </c>
      <c r="E411" s="34">
        <v>30</v>
      </c>
      <c r="F411" s="34" t="s">
        <v>55</v>
      </c>
      <c r="G411" s="97">
        <v>0.41226133539112664</v>
      </c>
      <c r="H411" s="34">
        <v>10</v>
      </c>
    </row>
    <row r="412" spans="1:8" x14ac:dyDescent="0.3">
      <c r="A412" s="34">
        <v>411</v>
      </c>
      <c r="B412" s="34">
        <v>880</v>
      </c>
      <c r="C412" s="34">
        <v>30</v>
      </c>
      <c r="D412" s="34">
        <v>6742</v>
      </c>
      <c r="E412" s="34">
        <v>36</v>
      </c>
      <c r="F412" s="34" t="s">
        <v>54</v>
      </c>
      <c r="G412" s="97">
        <v>0.41371590116108492</v>
      </c>
      <c r="H412" s="34">
        <v>11</v>
      </c>
    </row>
    <row r="413" spans="1:8" x14ac:dyDescent="0.3">
      <c r="A413" s="34">
        <v>412</v>
      </c>
      <c r="B413" s="34">
        <v>900</v>
      </c>
      <c r="C413" s="34">
        <v>18</v>
      </c>
      <c r="D413" s="34">
        <v>4153</v>
      </c>
      <c r="E413" s="34">
        <v>42</v>
      </c>
      <c r="F413" s="34" t="s">
        <v>55</v>
      </c>
      <c r="G413" s="97">
        <v>0.41443800207729553</v>
      </c>
      <c r="H413" s="34">
        <v>12</v>
      </c>
    </row>
    <row r="414" spans="1:8" x14ac:dyDescent="0.3">
      <c r="A414" s="34">
        <v>413</v>
      </c>
      <c r="B414" s="34">
        <v>601</v>
      </c>
      <c r="C414" s="34">
        <v>7</v>
      </c>
      <c r="D414" s="34">
        <v>2329</v>
      </c>
      <c r="E414" s="34">
        <v>45</v>
      </c>
      <c r="F414" s="34" t="s">
        <v>56</v>
      </c>
      <c r="G414" s="97">
        <v>0.41508151362718826</v>
      </c>
      <c r="H414" s="34">
        <v>13</v>
      </c>
    </row>
    <row r="415" spans="1:8" x14ac:dyDescent="0.3">
      <c r="A415" s="34">
        <v>414</v>
      </c>
      <c r="B415" s="34">
        <v>443</v>
      </c>
      <c r="C415" s="34">
        <v>20</v>
      </c>
      <c r="D415" s="34">
        <v>2629</v>
      </c>
      <c r="E415" s="34">
        <v>29</v>
      </c>
      <c r="F415" s="34" t="s">
        <v>54</v>
      </c>
      <c r="G415" s="97">
        <v>0.41534247224311527</v>
      </c>
      <c r="H415" s="34">
        <v>14</v>
      </c>
    </row>
    <row r="416" spans="1:8" x14ac:dyDescent="0.3">
      <c r="A416" s="34">
        <v>415</v>
      </c>
      <c r="B416" s="34">
        <v>105</v>
      </c>
      <c r="C416" s="34">
        <v>12</v>
      </c>
      <c r="D416" s="34">
        <v>2445</v>
      </c>
      <c r="E416" s="34">
        <v>26</v>
      </c>
      <c r="F416" s="34" t="s">
        <v>54</v>
      </c>
      <c r="G416" s="97">
        <v>0.41636323059702285</v>
      </c>
      <c r="H416" s="34">
        <v>15</v>
      </c>
    </row>
    <row r="417" spans="1:8" x14ac:dyDescent="0.3">
      <c r="A417" s="34">
        <v>416</v>
      </c>
      <c r="B417" s="34">
        <v>716</v>
      </c>
      <c r="C417" s="34">
        <v>30</v>
      </c>
      <c r="D417" s="34">
        <v>7596</v>
      </c>
      <c r="E417" s="34">
        <v>63</v>
      </c>
      <c r="F417" s="34" t="s">
        <v>54</v>
      </c>
      <c r="G417" s="97">
        <v>0.41736969824774084</v>
      </c>
      <c r="H417" s="34">
        <v>16</v>
      </c>
    </row>
    <row r="418" spans="1:8" x14ac:dyDescent="0.3">
      <c r="A418" s="34">
        <v>417</v>
      </c>
      <c r="B418" s="34">
        <v>167</v>
      </c>
      <c r="C418" s="34">
        <v>18</v>
      </c>
      <c r="D418" s="34">
        <v>1131</v>
      </c>
      <c r="E418" s="34">
        <v>33</v>
      </c>
      <c r="F418" s="34" t="s">
        <v>57</v>
      </c>
      <c r="G418" s="97">
        <v>0.41790482460131895</v>
      </c>
      <c r="H418" s="34">
        <v>17</v>
      </c>
    </row>
    <row r="419" spans="1:8" x14ac:dyDescent="0.3">
      <c r="A419" s="34">
        <v>418</v>
      </c>
      <c r="B419" s="34">
        <v>998</v>
      </c>
      <c r="C419" s="34">
        <v>12</v>
      </c>
      <c r="D419" s="34">
        <v>804</v>
      </c>
      <c r="E419" s="34">
        <v>38</v>
      </c>
      <c r="F419" s="34" t="s">
        <v>54</v>
      </c>
      <c r="G419" s="97">
        <v>0.41934866773817414</v>
      </c>
      <c r="H419" s="34">
        <v>18</v>
      </c>
    </row>
    <row r="420" spans="1:8" x14ac:dyDescent="0.3">
      <c r="A420" s="34">
        <v>419</v>
      </c>
      <c r="B420" s="34">
        <v>794</v>
      </c>
      <c r="C420" s="34">
        <v>24</v>
      </c>
      <c r="D420" s="34">
        <v>2892</v>
      </c>
      <c r="E420" s="34">
        <v>51</v>
      </c>
      <c r="F420" s="34" t="s">
        <v>54</v>
      </c>
      <c r="G420" s="97">
        <v>0.42005017155497104</v>
      </c>
      <c r="H420" s="34">
        <v>19</v>
      </c>
    </row>
    <row r="421" spans="1:8" x14ac:dyDescent="0.3">
      <c r="A421" s="34">
        <v>420</v>
      </c>
      <c r="B421" s="34">
        <v>700</v>
      </c>
      <c r="C421" s="34">
        <v>15</v>
      </c>
      <c r="D421" s="34">
        <v>1905</v>
      </c>
      <c r="E421" s="34">
        <v>40</v>
      </c>
      <c r="F421" s="34" t="s">
        <v>54</v>
      </c>
      <c r="G421" s="97">
        <v>0.42033237102755605</v>
      </c>
      <c r="H421" s="34">
        <v>20</v>
      </c>
    </row>
    <row r="422" spans="1:8" x14ac:dyDescent="0.3">
      <c r="A422" s="34">
        <v>421</v>
      </c>
      <c r="B422" s="34">
        <v>310</v>
      </c>
      <c r="C422" s="34">
        <v>9</v>
      </c>
      <c r="D422" s="34">
        <v>276</v>
      </c>
      <c r="E422" s="34">
        <v>22</v>
      </c>
      <c r="F422" s="34" t="s">
        <v>54</v>
      </c>
      <c r="G422" s="97">
        <v>0.42246606961290034</v>
      </c>
      <c r="H422" s="34">
        <v>21</v>
      </c>
    </row>
    <row r="423" spans="1:8" x14ac:dyDescent="0.3">
      <c r="A423" s="34">
        <v>422</v>
      </c>
      <c r="B423" s="34">
        <v>208</v>
      </c>
      <c r="C423" s="34">
        <v>12</v>
      </c>
      <c r="D423" s="34">
        <v>1424</v>
      </c>
      <c r="E423" s="34">
        <v>26</v>
      </c>
      <c r="F423" s="34" t="s">
        <v>54</v>
      </c>
      <c r="G423" s="97">
        <v>0.42279401986808263</v>
      </c>
      <c r="H423" s="34">
        <v>22</v>
      </c>
    </row>
    <row r="424" spans="1:8" x14ac:dyDescent="0.3">
      <c r="A424" s="34">
        <v>423</v>
      </c>
      <c r="B424" s="34">
        <v>522</v>
      </c>
      <c r="C424" s="34">
        <v>18</v>
      </c>
      <c r="D424" s="34">
        <v>3190</v>
      </c>
      <c r="E424" s="34">
        <v>24</v>
      </c>
      <c r="F424" s="34" t="s">
        <v>57</v>
      </c>
      <c r="G424" s="97">
        <v>0.42466345098183889</v>
      </c>
      <c r="H424" s="34">
        <v>23</v>
      </c>
    </row>
    <row r="425" spans="1:8" x14ac:dyDescent="0.3">
      <c r="A425" s="34">
        <v>424</v>
      </c>
      <c r="B425" s="34">
        <v>648</v>
      </c>
      <c r="C425" s="34">
        <v>12</v>
      </c>
      <c r="D425" s="34">
        <v>1386</v>
      </c>
      <c r="E425" s="34">
        <v>26</v>
      </c>
      <c r="F425" s="34" t="s">
        <v>57</v>
      </c>
      <c r="G425" s="97">
        <v>0.42595608545407715</v>
      </c>
      <c r="H425" s="34">
        <v>24</v>
      </c>
    </row>
    <row r="426" spans="1:8" x14ac:dyDescent="0.3">
      <c r="A426" s="34">
        <v>425</v>
      </c>
      <c r="B426" s="34">
        <v>63</v>
      </c>
      <c r="C426" s="34">
        <v>36</v>
      </c>
      <c r="D426" s="34">
        <v>1953</v>
      </c>
      <c r="E426" s="34">
        <v>61</v>
      </c>
      <c r="F426" s="34" t="s">
        <v>55</v>
      </c>
      <c r="G426" s="97">
        <v>0.42610713017875457</v>
      </c>
      <c r="H426" s="34">
        <v>25</v>
      </c>
    </row>
    <row r="427" spans="1:8" x14ac:dyDescent="0.3">
      <c r="A427" s="34">
        <v>426</v>
      </c>
      <c r="B427" s="34">
        <v>831</v>
      </c>
      <c r="C427" s="34">
        <v>24</v>
      </c>
      <c r="D427" s="34">
        <v>2375</v>
      </c>
      <c r="E427" s="34">
        <v>44</v>
      </c>
      <c r="F427" s="34" t="s">
        <v>54</v>
      </c>
      <c r="G427" s="97">
        <v>0.42656235874278181</v>
      </c>
      <c r="H427" s="34">
        <v>26</v>
      </c>
    </row>
    <row r="428" spans="1:8" x14ac:dyDescent="0.3">
      <c r="A428" s="34">
        <v>427</v>
      </c>
      <c r="B428" s="34">
        <v>896</v>
      </c>
      <c r="C428" s="34">
        <v>36</v>
      </c>
      <c r="D428" s="34">
        <v>8947</v>
      </c>
      <c r="E428" s="34">
        <v>31</v>
      </c>
      <c r="F428" s="34" t="s">
        <v>54</v>
      </c>
      <c r="G428" s="97">
        <v>0.42875244736199036</v>
      </c>
      <c r="H428" s="34">
        <v>27</v>
      </c>
    </row>
    <row r="429" spans="1:8" x14ac:dyDescent="0.3">
      <c r="A429" s="34">
        <v>428</v>
      </c>
      <c r="B429" s="34">
        <v>763</v>
      </c>
      <c r="C429" s="34">
        <v>12</v>
      </c>
      <c r="D429" s="34">
        <v>2214</v>
      </c>
      <c r="E429" s="34">
        <v>24</v>
      </c>
      <c r="F429" s="34" t="s">
        <v>54</v>
      </c>
      <c r="G429" s="97">
        <v>0.42932575897853764</v>
      </c>
      <c r="H429" s="34">
        <v>28</v>
      </c>
    </row>
    <row r="430" spans="1:8" x14ac:dyDescent="0.3">
      <c r="A430" s="34">
        <v>429</v>
      </c>
      <c r="B430" s="34">
        <v>54</v>
      </c>
      <c r="C430" s="34">
        <v>18</v>
      </c>
      <c r="D430" s="34">
        <v>3378</v>
      </c>
      <c r="E430" s="34">
        <v>31</v>
      </c>
      <c r="F430" s="34" t="s">
        <v>54</v>
      </c>
      <c r="G430" s="97">
        <v>0.43055805317349116</v>
      </c>
      <c r="H430" s="34">
        <v>29</v>
      </c>
    </row>
    <row r="431" spans="1:8" x14ac:dyDescent="0.3">
      <c r="A431" s="34">
        <v>430</v>
      </c>
      <c r="B431" s="34">
        <v>411</v>
      </c>
      <c r="C431" s="34">
        <v>24</v>
      </c>
      <c r="D431" s="34">
        <v>1967</v>
      </c>
      <c r="E431" s="34">
        <v>20</v>
      </c>
      <c r="F431" s="34" t="s">
        <v>56</v>
      </c>
      <c r="G431" s="97">
        <v>0.43179648035905727</v>
      </c>
      <c r="H431" s="34">
        <v>30</v>
      </c>
    </row>
    <row r="432" spans="1:8" x14ac:dyDescent="0.3">
      <c r="A432" s="34">
        <v>431</v>
      </c>
      <c r="B432" s="34">
        <v>562</v>
      </c>
      <c r="C432" s="34">
        <v>24</v>
      </c>
      <c r="D432" s="34">
        <v>1546</v>
      </c>
      <c r="E432" s="34">
        <v>24</v>
      </c>
      <c r="F432" s="34" t="s">
        <v>55</v>
      </c>
      <c r="G432" s="97">
        <v>0.43231592205656943</v>
      </c>
      <c r="H432" s="34">
        <v>31</v>
      </c>
    </row>
    <row r="433" spans="1:8" x14ac:dyDescent="0.3">
      <c r="A433" s="34">
        <v>432</v>
      </c>
      <c r="B433" s="34">
        <v>73</v>
      </c>
      <c r="C433" s="34">
        <v>8</v>
      </c>
      <c r="D433" s="34">
        <v>1164</v>
      </c>
      <c r="E433" s="34">
        <v>51</v>
      </c>
      <c r="F433" s="34" t="s">
        <v>54</v>
      </c>
      <c r="G433" s="97">
        <v>0.43248326238917889</v>
      </c>
      <c r="H433" s="34">
        <v>32</v>
      </c>
    </row>
    <row r="434" spans="1:8" x14ac:dyDescent="0.3">
      <c r="A434" s="34">
        <v>433</v>
      </c>
      <c r="B434" s="34">
        <v>847</v>
      </c>
      <c r="C434" s="34">
        <v>18</v>
      </c>
      <c r="D434" s="34">
        <v>6761</v>
      </c>
      <c r="E434" s="34">
        <v>68</v>
      </c>
      <c r="F434" s="34" t="s">
        <v>55</v>
      </c>
      <c r="G434" s="97">
        <v>0.43283578243515952</v>
      </c>
      <c r="H434" s="34">
        <v>33</v>
      </c>
    </row>
    <row r="435" spans="1:8" x14ac:dyDescent="0.3">
      <c r="A435" s="34">
        <v>434</v>
      </c>
      <c r="B435" s="34">
        <v>269</v>
      </c>
      <c r="C435" s="34">
        <v>14</v>
      </c>
      <c r="D435" s="34">
        <v>8978</v>
      </c>
      <c r="E435" s="34">
        <v>45</v>
      </c>
      <c r="F435" s="34" t="s">
        <v>55</v>
      </c>
      <c r="G435" s="97">
        <v>0.4350690342365241</v>
      </c>
      <c r="H435" s="34">
        <v>34</v>
      </c>
    </row>
    <row r="436" spans="1:8" x14ac:dyDescent="0.3">
      <c r="A436" s="34">
        <v>435</v>
      </c>
      <c r="B436" s="34">
        <v>390</v>
      </c>
      <c r="C436" s="34">
        <v>9</v>
      </c>
      <c r="D436" s="34">
        <v>1449</v>
      </c>
      <c r="E436" s="34">
        <v>27</v>
      </c>
      <c r="F436" s="34" t="s">
        <v>56</v>
      </c>
      <c r="G436" s="97">
        <v>0.43634098430612533</v>
      </c>
      <c r="H436" s="34">
        <v>35</v>
      </c>
    </row>
    <row r="437" spans="1:8" x14ac:dyDescent="0.3">
      <c r="A437" s="34">
        <v>436</v>
      </c>
      <c r="B437" s="34">
        <v>740</v>
      </c>
      <c r="C437" s="34">
        <v>30</v>
      </c>
      <c r="D437" s="34">
        <v>4280</v>
      </c>
      <c r="E437" s="34">
        <v>26</v>
      </c>
      <c r="F437" s="34" t="s">
        <v>57</v>
      </c>
      <c r="G437" s="97">
        <v>0.43684037660723618</v>
      </c>
      <c r="H437" s="34">
        <v>36</v>
      </c>
    </row>
    <row r="438" spans="1:8" x14ac:dyDescent="0.3">
      <c r="A438" s="34">
        <v>437</v>
      </c>
      <c r="B438" s="34">
        <v>621</v>
      </c>
      <c r="C438" s="34">
        <v>21</v>
      </c>
      <c r="D438" s="34">
        <v>3652</v>
      </c>
      <c r="E438" s="34">
        <v>27</v>
      </c>
      <c r="F438" s="34" t="s">
        <v>54</v>
      </c>
      <c r="G438" s="97">
        <v>0.43763784107178938</v>
      </c>
      <c r="H438" s="34">
        <v>37</v>
      </c>
    </row>
    <row r="439" spans="1:8" x14ac:dyDescent="0.3">
      <c r="A439" s="34">
        <v>438</v>
      </c>
      <c r="B439" s="34">
        <v>163</v>
      </c>
      <c r="C439" s="34">
        <v>15</v>
      </c>
      <c r="D439" s="34">
        <v>1262</v>
      </c>
      <c r="E439" s="34">
        <v>36</v>
      </c>
      <c r="F439" s="34" t="s">
        <v>54</v>
      </c>
      <c r="G439" s="97">
        <v>0.43775328518660195</v>
      </c>
      <c r="H439" s="34">
        <v>38</v>
      </c>
    </row>
    <row r="440" spans="1:8" x14ac:dyDescent="0.3">
      <c r="A440" s="34">
        <v>439</v>
      </c>
      <c r="B440" s="34">
        <v>767</v>
      </c>
      <c r="C440" s="34">
        <v>30</v>
      </c>
      <c r="D440" s="34">
        <v>3108</v>
      </c>
      <c r="E440" s="34">
        <v>31</v>
      </c>
      <c r="F440" s="34" t="s">
        <v>55</v>
      </c>
      <c r="G440" s="97">
        <v>0.43979344336867521</v>
      </c>
      <c r="H440" s="34">
        <v>39</v>
      </c>
    </row>
    <row r="441" spans="1:8" x14ac:dyDescent="0.3">
      <c r="A441" s="34">
        <v>440</v>
      </c>
      <c r="B441" s="34">
        <v>298</v>
      </c>
      <c r="C441" s="34">
        <v>10</v>
      </c>
      <c r="D441" s="34">
        <v>1287</v>
      </c>
      <c r="E441" s="34">
        <v>45</v>
      </c>
      <c r="F441" s="34" t="s">
        <v>54</v>
      </c>
      <c r="G441" s="97">
        <v>0.44081607947403934</v>
      </c>
      <c r="H441" s="34">
        <v>40</v>
      </c>
    </row>
    <row r="442" spans="1:8" x14ac:dyDescent="0.3">
      <c r="A442" s="34">
        <v>441</v>
      </c>
      <c r="B442" s="34">
        <v>919</v>
      </c>
      <c r="C442" s="34">
        <v>24</v>
      </c>
      <c r="D442" s="34">
        <v>2359</v>
      </c>
      <c r="E442" s="34">
        <v>33</v>
      </c>
      <c r="F442" s="34" t="s">
        <v>55</v>
      </c>
      <c r="G442" s="97">
        <v>0.44084254539595291</v>
      </c>
      <c r="H442" s="34">
        <v>41</v>
      </c>
    </row>
    <row r="443" spans="1:8" x14ac:dyDescent="0.3">
      <c r="A443" s="34">
        <v>442</v>
      </c>
      <c r="B443" s="34">
        <v>307</v>
      </c>
      <c r="C443" s="34">
        <v>30</v>
      </c>
      <c r="D443" s="34">
        <v>4811</v>
      </c>
      <c r="E443" s="34">
        <v>24</v>
      </c>
      <c r="F443" s="34" t="s">
        <v>56</v>
      </c>
      <c r="G443" s="97">
        <v>0.44324766651426395</v>
      </c>
      <c r="H443" s="34">
        <v>42</v>
      </c>
    </row>
    <row r="444" spans="1:8" x14ac:dyDescent="0.3">
      <c r="A444" s="34">
        <v>443</v>
      </c>
      <c r="B444" s="34">
        <v>853</v>
      </c>
      <c r="C444" s="34">
        <v>15</v>
      </c>
      <c r="D444" s="34">
        <v>1471</v>
      </c>
      <c r="E444" s="34">
        <v>35</v>
      </c>
      <c r="F444" s="34" t="s">
        <v>54</v>
      </c>
      <c r="G444" s="97">
        <v>0.44413503013298405</v>
      </c>
      <c r="H444" s="34">
        <v>43</v>
      </c>
    </row>
    <row r="445" spans="1:8" x14ac:dyDescent="0.3">
      <c r="A445" s="34">
        <v>444</v>
      </c>
      <c r="B445" s="34">
        <v>143</v>
      </c>
      <c r="C445" s="34">
        <v>27</v>
      </c>
      <c r="D445" s="34">
        <v>3416</v>
      </c>
      <c r="E445" s="34">
        <v>27</v>
      </c>
      <c r="F445" s="34" t="s">
        <v>54</v>
      </c>
      <c r="G445" s="97">
        <v>0.44671011981251652</v>
      </c>
      <c r="H445" s="34">
        <v>44</v>
      </c>
    </row>
    <row r="446" spans="1:8" x14ac:dyDescent="0.3">
      <c r="A446" s="34">
        <v>445</v>
      </c>
      <c r="B446" s="34">
        <v>984</v>
      </c>
      <c r="C446" s="34">
        <v>36</v>
      </c>
      <c r="D446" s="34">
        <v>8229</v>
      </c>
      <c r="E446" s="34">
        <v>26</v>
      </c>
      <c r="F446" s="34" t="s">
        <v>55</v>
      </c>
      <c r="G446" s="97">
        <v>0.44692623386436192</v>
      </c>
      <c r="H446" s="34">
        <v>45</v>
      </c>
    </row>
    <row r="447" spans="1:8" x14ac:dyDescent="0.3">
      <c r="A447" s="34">
        <v>446</v>
      </c>
      <c r="B447" s="34">
        <v>323</v>
      </c>
      <c r="C447" s="34">
        <v>24</v>
      </c>
      <c r="D447" s="34">
        <v>2910</v>
      </c>
      <c r="E447" s="34">
        <v>34</v>
      </c>
      <c r="F447" s="34" t="s">
        <v>54</v>
      </c>
      <c r="G447" s="97">
        <v>0.44914127488434863</v>
      </c>
      <c r="H447" s="34">
        <v>46</v>
      </c>
    </row>
    <row r="448" spans="1:8" x14ac:dyDescent="0.3">
      <c r="A448" s="34">
        <v>447</v>
      </c>
      <c r="B448" s="34">
        <v>126</v>
      </c>
      <c r="C448" s="34">
        <v>12</v>
      </c>
      <c r="D448" s="34">
        <v>2121</v>
      </c>
      <c r="E448" s="34">
        <v>30</v>
      </c>
      <c r="F448" s="34" t="s">
        <v>54</v>
      </c>
      <c r="G448" s="97">
        <v>0.45061435654835191</v>
      </c>
      <c r="H448" s="34">
        <v>47</v>
      </c>
    </row>
    <row r="449" spans="1:8" x14ac:dyDescent="0.3">
      <c r="A449" s="34">
        <v>448</v>
      </c>
      <c r="B449" s="34">
        <v>655</v>
      </c>
      <c r="C449" s="34">
        <v>24</v>
      </c>
      <c r="D449" s="34">
        <v>2346</v>
      </c>
      <c r="E449" s="34">
        <v>35</v>
      </c>
      <c r="F449" s="34" t="s">
        <v>54</v>
      </c>
      <c r="G449" s="97">
        <v>0.45112281764832773</v>
      </c>
      <c r="H449" s="34">
        <v>48</v>
      </c>
    </row>
    <row r="450" spans="1:8" x14ac:dyDescent="0.3">
      <c r="A450" s="34">
        <v>449</v>
      </c>
      <c r="B450" s="34">
        <v>727</v>
      </c>
      <c r="C450" s="34">
        <v>15</v>
      </c>
      <c r="D450" s="34">
        <v>1316</v>
      </c>
      <c r="E450" s="34">
        <v>47</v>
      </c>
      <c r="F450" s="34" t="s">
        <v>54</v>
      </c>
      <c r="G450" s="97">
        <v>0.45134922306865755</v>
      </c>
      <c r="H450" s="34">
        <v>49</v>
      </c>
    </row>
    <row r="451" spans="1:8" x14ac:dyDescent="0.3">
      <c r="A451" s="34">
        <v>450</v>
      </c>
      <c r="B451" s="34">
        <v>28</v>
      </c>
      <c r="C451" s="34">
        <v>12</v>
      </c>
      <c r="D451" s="34">
        <v>409</v>
      </c>
      <c r="E451" s="34">
        <v>42</v>
      </c>
      <c r="F451" s="34" t="s">
        <v>56</v>
      </c>
      <c r="G451" s="97">
        <v>0.45159049715741795</v>
      </c>
      <c r="H451" s="34">
        <v>50</v>
      </c>
    </row>
    <row r="452" spans="1:8" x14ac:dyDescent="0.3">
      <c r="A452" s="34">
        <v>451</v>
      </c>
      <c r="B452" s="34">
        <v>358</v>
      </c>
      <c r="C452" s="34">
        <v>36</v>
      </c>
      <c r="D452" s="34">
        <v>4463</v>
      </c>
      <c r="E452" s="34">
        <v>26</v>
      </c>
      <c r="F452" s="34" t="s">
        <v>55</v>
      </c>
      <c r="G452" s="97">
        <v>0.46060259413451354</v>
      </c>
      <c r="H452" s="34">
        <v>1</v>
      </c>
    </row>
    <row r="453" spans="1:8" x14ac:dyDescent="0.3">
      <c r="A453" s="34">
        <v>452</v>
      </c>
      <c r="B453" s="34">
        <v>101</v>
      </c>
      <c r="C453" s="34">
        <v>24</v>
      </c>
      <c r="D453" s="34">
        <v>1469</v>
      </c>
      <c r="E453" s="34">
        <v>41</v>
      </c>
      <c r="F453" s="34" t="s">
        <v>54</v>
      </c>
      <c r="G453" s="97">
        <v>0.46129197486175255</v>
      </c>
      <c r="H453" s="34">
        <v>2</v>
      </c>
    </row>
    <row r="454" spans="1:8" x14ac:dyDescent="0.3">
      <c r="A454" s="34">
        <v>453</v>
      </c>
      <c r="B454" s="34">
        <v>549</v>
      </c>
      <c r="C454" s="34">
        <v>12</v>
      </c>
      <c r="D454" s="34">
        <v>626</v>
      </c>
      <c r="E454" s="34">
        <v>24</v>
      </c>
      <c r="F454" s="34" t="s">
        <v>57</v>
      </c>
      <c r="G454" s="97">
        <v>0.46153198327962885</v>
      </c>
      <c r="H454" s="34">
        <v>3</v>
      </c>
    </row>
    <row r="455" spans="1:8" x14ac:dyDescent="0.3">
      <c r="A455" s="34">
        <v>454</v>
      </c>
      <c r="B455" s="34">
        <v>331</v>
      </c>
      <c r="C455" s="34">
        <v>24</v>
      </c>
      <c r="D455" s="34">
        <v>6615</v>
      </c>
      <c r="E455" s="34">
        <v>75</v>
      </c>
      <c r="F455" s="34" t="s">
        <v>54</v>
      </c>
      <c r="G455" s="97">
        <v>0.46647850728458662</v>
      </c>
      <c r="H455" s="34">
        <v>4</v>
      </c>
    </row>
    <row r="456" spans="1:8" x14ac:dyDescent="0.3">
      <c r="A456" s="34">
        <v>455</v>
      </c>
      <c r="B456" s="34">
        <v>433</v>
      </c>
      <c r="C456" s="34">
        <v>6</v>
      </c>
      <c r="D456" s="34">
        <v>1872</v>
      </c>
      <c r="E456" s="34">
        <v>36</v>
      </c>
      <c r="F456" s="34" t="s">
        <v>54</v>
      </c>
      <c r="G456" s="97">
        <v>0.46746962202119779</v>
      </c>
      <c r="H456" s="34">
        <v>5</v>
      </c>
    </row>
    <row r="457" spans="1:8" x14ac:dyDescent="0.3">
      <c r="A457" s="34">
        <v>456</v>
      </c>
      <c r="B457" s="34">
        <v>560</v>
      </c>
      <c r="C457" s="34">
        <v>18</v>
      </c>
      <c r="D457" s="34">
        <v>1928</v>
      </c>
      <c r="E457" s="34">
        <v>31</v>
      </c>
      <c r="F457" s="34" t="s">
        <v>55</v>
      </c>
      <c r="G457" s="97">
        <v>0.46784864557248684</v>
      </c>
      <c r="H457" s="34">
        <v>6</v>
      </c>
    </row>
    <row r="458" spans="1:8" x14ac:dyDescent="0.3">
      <c r="A458" s="34">
        <v>457</v>
      </c>
      <c r="B458" s="34">
        <v>279</v>
      </c>
      <c r="C458" s="34">
        <v>6</v>
      </c>
      <c r="D458" s="34">
        <v>4611</v>
      </c>
      <c r="E458" s="34">
        <v>32</v>
      </c>
      <c r="F458" s="34" t="s">
        <v>57</v>
      </c>
      <c r="G458" s="97">
        <v>0.46846201837879242</v>
      </c>
      <c r="H458" s="34">
        <v>7</v>
      </c>
    </row>
    <row r="459" spans="1:8" x14ac:dyDescent="0.3">
      <c r="A459" s="34">
        <v>458</v>
      </c>
      <c r="B459" s="34">
        <v>666</v>
      </c>
      <c r="C459" s="34">
        <v>24</v>
      </c>
      <c r="D459" s="34">
        <v>6314</v>
      </c>
      <c r="E459" s="34">
        <v>27</v>
      </c>
      <c r="F459" s="34" t="s">
        <v>54</v>
      </c>
      <c r="G459" s="97">
        <v>0.46885621366597652</v>
      </c>
      <c r="H459" s="34">
        <v>8</v>
      </c>
    </row>
    <row r="460" spans="1:8" x14ac:dyDescent="0.3">
      <c r="A460" s="34">
        <v>459</v>
      </c>
      <c r="B460" s="34">
        <v>539</v>
      </c>
      <c r="C460" s="34">
        <v>48</v>
      </c>
      <c r="D460" s="34">
        <v>7763</v>
      </c>
      <c r="E460" s="34">
        <v>42</v>
      </c>
      <c r="F460" s="34" t="s">
        <v>55</v>
      </c>
      <c r="G460" s="97">
        <v>0.47013726135231015</v>
      </c>
      <c r="H460" s="34">
        <v>9</v>
      </c>
    </row>
    <row r="461" spans="1:8" x14ac:dyDescent="0.3">
      <c r="A461" s="34">
        <v>460</v>
      </c>
      <c r="B461" s="34">
        <v>366</v>
      </c>
      <c r="C461" s="34">
        <v>12</v>
      </c>
      <c r="D461" s="34">
        <v>1542</v>
      </c>
      <c r="E461" s="34">
        <v>36</v>
      </c>
      <c r="F461" s="34" t="s">
        <v>54</v>
      </c>
      <c r="G461" s="97">
        <v>0.47032016595386972</v>
      </c>
      <c r="H461" s="34">
        <v>10</v>
      </c>
    </row>
    <row r="462" spans="1:8" x14ac:dyDescent="0.3">
      <c r="A462" s="34">
        <v>461</v>
      </c>
      <c r="B462" s="34">
        <v>714</v>
      </c>
      <c r="C462" s="34">
        <v>9</v>
      </c>
      <c r="D462" s="34">
        <v>1138</v>
      </c>
      <c r="E462" s="34">
        <v>25</v>
      </c>
      <c r="F462" s="34" t="s">
        <v>54</v>
      </c>
      <c r="G462" s="97">
        <v>0.47064009408955021</v>
      </c>
      <c r="H462" s="34">
        <v>11</v>
      </c>
    </row>
    <row r="463" spans="1:8" x14ac:dyDescent="0.3">
      <c r="A463" s="34">
        <v>462</v>
      </c>
      <c r="B463" s="34">
        <v>869</v>
      </c>
      <c r="C463" s="34">
        <v>36</v>
      </c>
      <c r="D463" s="34">
        <v>7409</v>
      </c>
      <c r="E463" s="34">
        <v>37</v>
      </c>
      <c r="F463" s="34" t="s">
        <v>54</v>
      </c>
      <c r="G463" s="97">
        <v>0.47291563316784679</v>
      </c>
      <c r="H463" s="34">
        <v>12</v>
      </c>
    </row>
    <row r="464" spans="1:8" x14ac:dyDescent="0.3">
      <c r="A464" s="34">
        <v>463</v>
      </c>
      <c r="B464" s="34">
        <v>521</v>
      </c>
      <c r="C464" s="34">
        <v>24</v>
      </c>
      <c r="D464" s="34">
        <v>5507</v>
      </c>
      <c r="E464" s="34">
        <v>44</v>
      </c>
      <c r="F464" s="34" t="s">
        <v>54</v>
      </c>
      <c r="G464" s="97">
        <v>0.47367544635838521</v>
      </c>
      <c r="H464" s="34">
        <v>13</v>
      </c>
    </row>
    <row r="465" spans="1:8" x14ac:dyDescent="0.3">
      <c r="A465" s="34">
        <v>464</v>
      </c>
      <c r="B465" s="34">
        <v>66</v>
      </c>
      <c r="C465" s="34">
        <v>27</v>
      </c>
      <c r="D465" s="34">
        <v>5190</v>
      </c>
      <c r="E465" s="34">
        <v>48</v>
      </c>
      <c r="F465" s="34" t="s">
        <v>54</v>
      </c>
      <c r="G465" s="97">
        <v>0.47376463134346469</v>
      </c>
      <c r="H465" s="34">
        <v>14</v>
      </c>
    </row>
    <row r="466" spans="1:8" x14ac:dyDescent="0.3">
      <c r="A466" s="34">
        <v>465</v>
      </c>
      <c r="B466" s="34">
        <v>313</v>
      </c>
      <c r="C466" s="34">
        <v>24</v>
      </c>
      <c r="D466" s="34">
        <v>3749</v>
      </c>
      <c r="E466" s="34">
        <v>26</v>
      </c>
      <c r="F466" s="34" t="s">
        <v>56</v>
      </c>
      <c r="G466" s="97">
        <v>0.47502849718472395</v>
      </c>
      <c r="H466" s="34">
        <v>15</v>
      </c>
    </row>
    <row r="467" spans="1:8" x14ac:dyDescent="0.3">
      <c r="A467" s="34">
        <v>466</v>
      </c>
      <c r="B467" s="34">
        <v>685</v>
      </c>
      <c r="C467" s="34">
        <v>36</v>
      </c>
      <c r="D467" s="34">
        <v>9857</v>
      </c>
      <c r="E467" s="34">
        <v>31</v>
      </c>
      <c r="F467" s="34" t="s">
        <v>54</v>
      </c>
      <c r="G467" s="97">
        <v>0.47574992231851088</v>
      </c>
      <c r="H467" s="34">
        <v>16</v>
      </c>
    </row>
    <row r="468" spans="1:8" x14ac:dyDescent="0.3">
      <c r="A468" s="34">
        <v>467</v>
      </c>
      <c r="B468" s="34">
        <v>14</v>
      </c>
      <c r="C468" s="34">
        <v>24</v>
      </c>
      <c r="D468" s="34">
        <v>1199</v>
      </c>
      <c r="E468" s="34">
        <v>60</v>
      </c>
      <c r="F468" s="34" t="s">
        <v>55</v>
      </c>
      <c r="G468" s="97">
        <v>0.47975470706225221</v>
      </c>
      <c r="H468" s="34">
        <v>17</v>
      </c>
    </row>
    <row r="469" spans="1:8" x14ac:dyDescent="0.3">
      <c r="A469" s="34">
        <v>468</v>
      </c>
      <c r="B469" s="34">
        <v>989</v>
      </c>
      <c r="C469" s="34">
        <v>24</v>
      </c>
      <c r="D469" s="34">
        <v>6579</v>
      </c>
      <c r="E469" s="34">
        <v>29</v>
      </c>
      <c r="F469" s="34" t="s">
        <v>54</v>
      </c>
      <c r="G469" s="97">
        <v>0.4820652781466247</v>
      </c>
      <c r="H469" s="34">
        <v>18</v>
      </c>
    </row>
    <row r="470" spans="1:8" x14ac:dyDescent="0.3">
      <c r="A470" s="34">
        <v>469</v>
      </c>
      <c r="B470" s="34">
        <v>859</v>
      </c>
      <c r="C470" s="34">
        <v>15</v>
      </c>
      <c r="D470" s="34">
        <v>3959</v>
      </c>
      <c r="E470" s="34">
        <v>29</v>
      </c>
      <c r="F470" s="34" t="s">
        <v>57</v>
      </c>
      <c r="G470" s="97">
        <v>0.48210052837337303</v>
      </c>
      <c r="H470" s="34">
        <v>19</v>
      </c>
    </row>
    <row r="471" spans="1:8" x14ac:dyDescent="0.3">
      <c r="A471" s="34">
        <v>470</v>
      </c>
      <c r="B471" s="34">
        <v>19</v>
      </c>
      <c r="C471" s="34">
        <v>24</v>
      </c>
      <c r="D471" s="34">
        <v>12579</v>
      </c>
      <c r="E471" s="34">
        <v>44</v>
      </c>
      <c r="F471" s="34" t="s">
        <v>57</v>
      </c>
      <c r="G471" s="97">
        <v>0.48262797817729919</v>
      </c>
      <c r="H471" s="34">
        <v>20</v>
      </c>
    </row>
    <row r="472" spans="1:8" x14ac:dyDescent="0.3">
      <c r="A472" s="34">
        <v>471</v>
      </c>
      <c r="B472" s="34">
        <v>57</v>
      </c>
      <c r="C472" s="34">
        <v>12</v>
      </c>
      <c r="D472" s="34">
        <v>6468</v>
      </c>
      <c r="E472" s="34">
        <v>52</v>
      </c>
      <c r="F472" s="34" t="s">
        <v>55</v>
      </c>
      <c r="G472" s="97">
        <v>0.48338568812975613</v>
      </c>
      <c r="H472" s="34">
        <v>21</v>
      </c>
    </row>
    <row r="473" spans="1:8" x14ac:dyDescent="0.3">
      <c r="A473" s="34">
        <v>472</v>
      </c>
      <c r="B473" s="34">
        <v>180</v>
      </c>
      <c r="C473" s="34">
        <v>21</v>
      </c>
      <c r="D473" s="34">
        <v>571</v>
      </c>
      <c r="E473" s="34">
        <v>65</v>
      </c>
      <c r="F473" s="34" t="s">
        <v>54</v>
      </c>
      <c r="G473" s="97">
        <v>0.48404731828292658</v>
      </c>
      <c r="H473" s="34">
        <v>22</v>
      </c>
    </row>
    <row r="474" spans="1:8" x14ac:dyDescent="0.3">
      <c r="A474" s="34">
        <v>473</v>
      </c>
      <c r="B474" s="34">
        <v>883</v>
      </c>
      <c r="C474" s="34">
        <v>30</v>
      </c>
      <c r="D474" s="34">
        <v>2181</v>
      </c>
      <c r="E474" s="34">
        <v>36</v>
      </c>
      <c r="F474" s="34" t="s">
        <v>54</v>
      </c>
      <c r="G474" s="97">
        <v>0.48593952073923519</v>
      </c>
      <c r="H474" s="34">
        <v>23</v>
      </c>
    </row>
    <row r="475" spans="1:8" x14ac:dyDescent="0.3">
      <c r="A475" s="34">
        <v>474</v>
      </c>
      <c r="B475" s="34">
        <v>32</v>
      </c>
      <c r="C475" s="34">
        <v>24</v>
      </c>
      <c r="D475" s="34">
        <v>4020</v>
      </c>
      <c r="E475" s="34">
        <v>27</v>
      </c>
      <c r="F475" s="34" t="s">
        <v>54</v>
      </c>
      <c r="G475" s="97">
        <v>0.48596296580794041</v>
      </c>
      <c r="H475" s="34">
        <v>24</v>
      </c>
    </row>
    <row r="476" spans="1:8" x14ac:dyDescent="0.3">
      <c r="A476" s="34">
        <v>475</v>
      </c>
      <c r="B476" s="34">
        <v>236</v>
      </c>
      <c r="C476" s="34">
        <v>24</v>
      </c>
      <c r="D476" s="34">
        <v>1823</v>
      </c>
      <c r="E476" s="34">
        <v>30</v>
      </c>
      <c r="F476" s="34" t="s">
        <v>55</v>
      </c>
      <c r="G476" s="97">
        <v>0.48844429682310408</v>
      </c>
      <c r="H476" s="34">
        <v>25</v>
      </c>
    </row>
    <row r="477" spans="1:8" x14ac:dyDescent="0.3">
      <c r="A477" s="34">
        <v>476</v>
      </c>
      <c r="B477" s="34">
        <v>967</v>
      </c>
      <c r="C477" s="34">
        <v>27</v>
      </c>
      <c r="D477" s="34">
        <v>2520</v>
      </c>
      <c r="E477" s="34">
        <v>23</v>
      </c>
      <c r="F477" s="34" t="s">
        <v>55</v>
      </c>
      <c r="G477" s="97">
        <v>0.48936094611851322</v>
      </c>
      <c r="H477" s="34">
        <v>26</v>
      </c>
    </row>
    <row r="478" spans="1:8" x14ac:dyDescent="0.3">
      <c r="A478" s="34">
        <v>477</v>
      </c>
      <c r="B478" s="34">
        <v>329</v>
      </c>
      <c r="C478" s="34">
        <v>36</v>
      </c>
      <c r="D478" s="34">
        <v>4473</v>
      </c>
      <c r="E478" s="34">
        <v>31</v>
      </c>
      <c r="F478" s="34" t="s">
        <v>54</v>
      </c>
      <c r="G478" s="97">
        <v>0.49054219346013139</v>
      </c>
      <c r="H478" s="34">
        <v>27</v>
      </c>
    </row>
    <row r="479" spans="1:8" x14ac:dyDescent="0.3">
      <c r="A479" s="34">
        <v>478</v>
      </c>
      <c r="B479" s="34">
        <v>598</v>
      </c>
      <c r="C479" s="34">
        <v>24</v>
      </c>
      <c r="D479" s="34">
        <v>4241</v>
      </c>
      <c r="E479" s="34">
        <v>36</v>
      </c>
      <c r="F479" s="34" t="s">
        <v>55</v>
      </c>
      <c r="G479" s="97">
        <v>0.49142003007488111</v>
      </c>
      <c r="H479" s="34">
        <v>28</v>
      </c>
    </row>
    <row r="480" spans="1:8" x14ac:dyDescent="0.3">
      <c r="A480" s="34">
        <v>479</v>
      </c>
      <c r="B480" s="34">
        <v>969</v>
      </c>
      <c r="C480" s="34">
        <v>42</v>
      </c>
      <c r="D480" s="34">
        <v>7166</v>
      </c>
      <c r="E480" s="34">
        <v>29</v>
      </c>
      <c r="F480" s="34" t="s">
        <v>54</v>
      </c>
      <c r="G480" s="97">
        <v>0.49231242613196102</v>
      </c>
      <c r="H480" s="34">
        <v>29</v>
      </c>
    </row>
    <row r="481" spans="1:8" x14ac:dyDescent="0.3">
      <c r="A481" s="34">
        <v>480</v>
      </c>
      <c r="B481" s="34">
        <v>587</v>
      </c>
      <c r="C481" s="34">
        <v>9</v>
      </c>
      <c r="D481" s="34">
        <v>2799</v>
      </c>
      <c r="E481" s="34">
        <v>36</v>
      </c>
      <c r="F481" s="34" t="s">
        <v>54</v>
      </c>
      <c r="G481" s="97">
        <v>0.49330433569090204</v>
      </c>
      <c r="H481" s="34">
        <v>30</v>
      </c>
    </row>
    <row r="482" spans="1:8" x14ac:dyDescent="0.3">
      <c r="A482" s="34">
        <v>481</v>
      </c>
      <c r="B482" s="34">
        <v>937</v>
      </c>
      <c r="C482" s="34">
        <v>9</v>
      </c>
      <c r="D482" s="34">
        <v>745</v>
      </c>
      <c r="E482" s="34">
        <v>28</v>
      </c>
      <c r="F482" s="34" t="s">
        <v>57</v>
      </c>
      <c r="G482" s="97">
        <v>0.4935212212605683</v>
      </c>
      <c r="H482" s="34">
        <v>31</v>
      </c>
    </row>
    <row r="483" spans="1:8" x14ac:dyDescent="0.3">
      <c r="A483" s="34">
        <v>482</v>
      </c>
      <c r="B483" s="34">
        <v>203</v>
      </c>
      <c r="C483" s="34">
        <v>27</v>
      </c>
      <c r="D483" s="34">
        <v>5117</v>
      </c>
      <c r="E483" s="34">
        <v>26</v>
      </c>
      <c r="F483" s="34" t="s">
        <v>54</v>
      </c>
      <c r="G483" s="97">
        <v>0.49401382205924094</v>
      </c>
      <c r="H483" s="34">
        <v>32</v>
      </c>
    </row>
    <row r="484" spans="1:8" x14ac:dyDescent="0.3">
      <c r="A484" s="34">
        <v>483</v>
      </c>
      <c r="B484" s="34">
        <v>731</v>
      </c>
      <c r="C484" s="34">
        <v>24</v>
      </c>
      <c r="D484" s="34">
        <v>6403</v>
      </c>
      <c r="E484" s="34">
        <v>33</v>
      </c>
      <c r="F484" s="34" t="s">
        <v>54</v>
      </c>
      <c r="G484" s="97">
        <v>0.49467169425308855</v>
      </c>
      <c r="H484" s="34">
        <v>33</v>
      </c>
    </row>
    <row r="485" spans="1:8" x14ac:dyDescent="0.3">
      <c r="A485" s="34">
        <v>484</v>
      </c>
      <c r="B485" s="34">
        <v>653</v>
      </c>
      <c r="C485" s="34">
        <v>24</v>
      </c>
      <c r="D485" s="34">
        <v>2303</v>
      </c>
      <c r="E485" s="34">
        <v>45</v>
      </c>
      <c r="F485" s="34" t="s">
        <v>55</v>
      </c>
      <c r="G485" s="97">
        <v>0.49518096015769442</v>
      </c>
      <c r="H485" s="34">
        <v>34</v>
      </c>
    </row>
    <row r="486" spans="1:8" x14ac:dyDescent="0.3">
      <c r="A486" s="34">
        <v>485</v>
      </c>
      <c r="B486" s="34">
        <v>541</v>
      </c>
      <c r="C486" s="34">
        <v>12</v>
      </c>
      <c r="D486" s="34">
        <v>1534</v>
      </c>
      <c r="E486" s="34">
        <v>23</v>
      </c>
      <c r="F486" s="34" t="s">
        <v>55</v>
      </c>
      <c r="G486" s="97">
        <v>0.49585504789229051</v>
      </c>
      <c r="H486" s="34">
        <v>35</v>
      </c>
    </row>
    <row r="487" spans="1:8" x14ac:dyDescent="0.3">
      <c r="A487" s="34">
        <v>486</v>
      </c>
      <c r="B487" s="34">
        <v>745</v>
      </c>
      <c r="C487" s="34">
        <v>39</v>
      </c>
      <c r="D487" s="34">
        <v>14179</v>
      </c>
      <c r="E487" s="34">
        <v>30</v>
      </c>
      <c r="F487" s="34" t="s">
        <v>54</v>
      </c>
      <c r="G487" s="97">
        <v>0.4995050145056471</v>
      </c>
      <c r="H487" s="34">
        <v>36</v>
      </c>
    </row>
    <row r="488" spans="1:8" x14ac:dyDescent="0.3">
      <c r="A488" s="34">
        <v>487</v>
      </c>
      <c r="B488" s="34">
        <v>548</v>
      </c>
      <c r="C488" s="34">
        <v>24</v>
      </c>
      <c r="D488" s="34">
        <v>1552</v>
      </c>
      <c r="E488" s="34">
        <v>32</v>
      </c>
      <c r="F488" s="34" t="s">
        <v>54</v>
      </c>
      <c r="G488" s="97">
        <v>0.49955910413586879</v>
      </c>
      <c r="H488" s="34">
        <v>37</v>
      </c>
    </row>
    <row r="489" spans="1:8" x14ac:dyDescent="0.3">
      <c r="A489" s="34">
        <v>488</v>
      </c>
      <c r="B489" s="34">
        <v>408</v>
      </c>
      <c r="C489" s="34">
        <v>15</v>
      </c>
      <c r="D489" s="34">
        <v>1053</v>
      </c>
      <c r="E489" s="34">
        <v>27</v>
      </c>
      <c r="F489" s="34" t="s">
        <v>54</v>
      </c>
      <c r="G489" s="97">
        <v>0.49956333750312631</v>
      </c>
      <c r="H489" s="34">
        <v>38</v>
      </c>
    </row>
    <row r="490" spans="1:8" x14ac:dyDescent="0.3">
      <c r="A490" s="34">
        <v>489</v>
      </c>
      <c r="B490" s="34">
        <v>455</v>
      </c>
      <c r="C490" s="34">
        <v>24</v>
      </c>
      <c r="D490" s="34">
        <v>4817</v>
      </c>
      <c r="E490" s="34">
        <v>31</v>
      </c>
      <c r="F490" s="34" t="s">
        <v>55</v>
      </c>
      <c r="G490" s="97">
        <v>0.5012706438778769</v>
      </c>
      <c r="H490" s="34">
        <v>39</v>
      </c>
    </row>
    <row r="491" spans="1:8" x14ac:dyDescent="0.3">
      <c r="A491" s="34">
        <v>490</v>
      </c>
      <c r="B491" s="34">
        <v>845</v>
      </c>
      <c r="C491" s="34">
        <v>18</v>
      </c>
      <c r="D491" s="34">
        <v>3422</v>
      </c>
      <c r="E491" s="34">
        <v>47</v>
      </c>
      <c r="F491" s="34" t="s">
        <v>54</v>
      </c>
      <c r="G491" s="97">
        <v>0.50136532059845362</v>
      </c>
      <c r="H491" s="34">
        <v>40</v>
      </c>
    </row>
    <row r="492" spans="1:8" x14ac:dyDescent="0.3">
      <c r="A492" s="34">
        <v>491</v>
      </c>
      <c r="B492" s="34">
        <v>64</v>
      </c>
      <c r="C492" s="34">
        <v>48</v>
      </c>
      <c r="D492" s="34">
        <v>14421</v>
      </c>
      <c r="E492" s="34">
        <v>25</v>
      </c>
      <c r="F492" s="34" t="s">
        <v>55</v>
      </c>
      <c r="G492" s="97">
        <v>0.50185865087321824</v>
      </c>
      <c r="H492" s="34">
        <v>41</v>
      </c>
    </row>
    <row r="493" spans="1:8" x14ac:dyDescent="0.3">
      <c r="A493" s="34">
        <v>492</v>
      </c>
      <c r="B493" s="34">
        <v>669</v>
      </c>
      <c r="C493" s="34">
        <v>12</v>
      </c>
      <c r="D493" s="34">
        <v>4843</v>
      </c>
      <c r="E493" s="34">
        <v>43</v>
      </c>
      <c r="F493" s="34" t="s">
        <v>55</v>
      </c>
      <c r="G493" s="97">
        <v>0.50194707355561285</v>
      </c>
      <c r="H493" s="34">
        <v>42</v>
      </c>
    </row>
    <row r="494" spans="1:8" x14ac:dyDescent="0.3">
      <c r="A494" s="34">
        <v>493</v>
      </c>
      <c r="B494" s="34">
        <v>12</v>
      </c>
      <c r="C494" s="34">
        <v>48</v>
      </c>
      <c r="D494" s="34">
        <v>4308</v>
      </c>
      <c r="E494" s="34">
        <v>24</v>
      </c>
      <c r="F494" s="34" t="s">
        <v>57</v>
      </c>
      <c r="G494" s="97">
        <v>0.50236272425382433</v>
      </c>
      <c r="H494" s="34">
        <v>43</v>
      </c>
    </row>
    <row r="495" spans="1:8" x14ac:dyDescent="0.3">
      <c r="A495" s="34">
        <v>494</v>
      </c>
      <c r="B495" s="34">
        <v>161</v>
      </c>
      <c r="C495" s="34">
        <v>24</v>
      </c>
      <c r="D495" s="34">
        <v>2872</v>
      </c>
      <c r="E495" s="34">
        <v>36</v>
      </c>
      <c r="F495" s="34" t="s">
        <v>54</v>
      </c>
      <c r="G495" s="97">
        <v>0.50753014037346578</v>
      </c>
      <c r="H495" s="34">
        <v>44</v>
      </c>
    </row>
    <row r="496" spans="1:8" x14ac:dyDescent="0.3">
      <c r="A496" s="34">
        <v>495</v>
      </c>
      <c r="B496" s="34">
        <v>146</v>
      </c>
      <c r="C496" s="34">
        <v>48</v>
      </c>
      <c r="D496" s="34">
        <v>3566</v>
      </c>
      <c r="E496" s="34">
        <v>30</v>
      </c>
      <c r="F496" s="34" t="s">
        <v>54</v>
      </c>
      <c r="G496" s="97">
        <v>0.50949970530422106</v>
      </c>
      <c r="H496" s="34">
        <v>45</v>
      </c>
    </row>
    <row r="497" spans="1:8" x14ac:dyDescent="0.3">
      <c r="A497" s="34">
        <v>496</v>
      </c>
      <c r="B497" s="34">
        <v>931</v>
      </c>
      <c r="C497" s="34">
        <v>24</v>
      </c>
      <c r="D497" s="34">
        <v>1747</v>
      </c>
      <c r="E497" s="34">
        <v>24</v>
      </c>
      <c r="F497" s="34" t="s">
        <v>54</v>
      </c>
      <c r="G497" s="97">
        <v>0.50961489557336148</v>
      </c>
      <c r="H497" s="34">
        <v>46</v>
      </c>
    </row>
    <row r="498" spans="1:8" x14ac:dyDescent="0.3">
      <c r="A498" s="34">
        <v>497</v>
      </c>
      <c r="B498" s="34">
        <v>108</v>
      </c>
      <c r="C498" s="34">
        <v>12</v>
      </c>
      <c r="D498" s="34">
        <v>6078</v>
      </c>
      <c r="E498" s="34">
        <v>32</v>
      </c>
      <c r="F498" s="34" t="s">
        <v>54</v>
      </c>
      <c r="G498" s="97">
        <v>0.51157011554575849</v>
      </c>
      <c r="H498" s="34">
        <v>47</v>
      </c>
    </row>
    <row r="499" spans="1:8" x14ac:dyDescent="0.3">
      <c r="A499" s="34">
        <v>498</v>
      </c>
      <c r="B499" s="34">
        <v>93</v>
      </c>
      <c r="C499" s="34">
        <v>12</v>
      </c>
      <c r="D499" s="34">
        <v>797</v>
      </c>
      <c r="E499" s="34">
        <v>33</v>
      </c>
      <c r="F499" s="34" t="s">
        <v>57</v>
      </c>
      <c r="G499" s="97">
        <v>0.5115814543085736</v>
      </c>
      <c r="H499" s="34">
        <v>48</v>
      </c>
    </row>
    <row r="500" spans="1:8" x14ac:dyDescent="0.3">
      <c r="A500" s="34">
        <v>499</v>
      </c>
      <c r="B500" s="34">
        <v>87</v>
      </c>
      <c r="C500" s="34">
        <v>18</v>
      </c>
      <c r="D500" s="34">
        <v>1295</v>
      </c>
      <c r="E500" s="34">
        <v>27</v>
      </c>
      <c r="F500" s="34" t="s">
        <v>56</v>
      </c>
      <c r="G500" s="97">
        <v>0.51171063402171935</v>
      </c>
      <c r="H500" s="34">
        <v>49</v>
      </c>
    </row>
    <row r="501" spans="1:8" x14ac:dyDescent="0.3">
      <c r="A501" s="34">
        <v>500</v>
      </c>
      <c r="B501" s="34">
        <v>683</v>
      </c>
      <c r="C501" s="34">
        <v>15</v>
      </c>
      <c r="D501" s="34">
        <v>1478</v>
      </c>
      <c r="E501" s="34">
        <v>33</v>
      </c>
      <c r="F501" s="34" t="s">
        <v>54</v>
      </c>
      <c r="G501" s="97">
        <v>0.51234129185133881</v>
      </c>
      <c r="H501" s="34">
        <v>50</v>
      </c>
    </row>
    <row r="502" spans="1:8" x14ac:dyDescent="0.3">
      <c r="A502" s="34">
        <v>501</v>
      </c>
      <c r="B502" s="34">
        <v>951</v>
      </c>
      <c r="C502" s="34">
        <v>18</v>
      </c>
      <c r="D502" s="34">
        <v>3590</v>
      </c>
      <c r="E502" s="34">
        <v>40</v>
      </c>
      <c r="F502" s="34" t="s">
        <v>54</v>
      </c>
      <c r="G502" s="97">
        <v>0.51338675358961394</v>
      </c>
      <c r="H502" s="34">
        <v>1</v>
      </c>
    </row>
    <row r="503" spans="1:8" x14ac:dyDescent="0.3">
      <c r="A503" s="34">
        <v>502</v>
      </c>
      <c r="B503" s="34">
        <v>821</v>
      </c>
      <c r="C503" s="34">
        <v>12</v>
      </c>
      <c r="D503" s="34">
        <v>1101</v>
      </c>
      <c r="E503" s="34">
        <v>27</v>
      </c>
      <c r="F503" s="34" t="s">
        <v>54</v>
      </c>
      <c r="G503" s="97">
        <v>0.51721605291569317</v>
      </c>
      <c r="H503" s="34">
        <v>2</v>
      </c>
    </row>
    <row r="504" spans="1:8" x14ac:dyDescent="0.3">
      <c r="A504" s="34">
        <v>503</v>
      </c>
      <c r="B504" s="34">
        <v>21</v>
      </c>
      <c r="C504" s="34">
        <v>9</v>
      </c>
      <c r="D504" s="34">
        <v>2134</v>
      </c>
      <c r="E504" s="34">
        <v>48</v>
      </c>
      <c r="F504" s="34" t="s">
        <v>54</v>
      </c>
      <c r="G504" s="97">
        <v>0.51780774008633224</v>
      </c>
      <c r="H504" s="34">
        <v>3</v>
      </c>
    </row>
    <row r="505" spans="1:8" x14ac:dyDescent="0.3">
      <c r="A505" s="34">
        <v>504</v>
      </c>
      <c r="B505" s="34">
        <v>416</v>
      </c>
      <c r="C505" s="34">
        <v>36</v>
      </c>
      <c r="D505" s="34">
        <v>5842</v>
      </c>
      <c r="E505" s="34">
        <v>35</v>
      </c>
      <c r="F505" s="34" t="s">
        <v>54</v>
      </c>
      <c r="G505" s="97">
        <v>0.51832332991246688</v>
      </c>
      <c r="H505" s="34">
        <v>4</v>
      </c>
    </row>
    <row r="506" spans="1:8" x14ac:dyDescent="0.3">
      <c r="A506" s="34">
        <v>505</v>
      </c>
      <c r="B506" s="34">
        <v>500</v>
      </c>
      <c r="C506" s="34">
        <v>6</v>
      </c>
      <c r="D506" s="34">
        <v>1323</v>
      </c>
      <c r="E506" s="34">
        <v>28</v>
      </c>
      <c r="F506" s="34" t="s">
        <v>54</v>
      </c>
      <c r="G506" s="97">
        <v>0.51913522189053041</v>
      </c>
      <c r="H506" s="34">
        <v>5</v>
      </c>
    </row>
    <row r="507" spans="1:8" x14ac:dyDescent="0.3">
      <c r="A507" s="34">
        <v>506</v>
      </c>
      <c r="B507" s="34">
        <v>987</v>
      </c>
      <c r="C507" s="34">
        <v>42</v>
      </c>
      <c r="D507" s="34">
        <v>6289</v>
      </c>
      <c r="E507" s="34">
        <v>33</v>
      </c>
      <c r="F507" s="34" t="s">
        <v>54</v>
      </c>
      <c r="G507" s="97">
        <v>0.5198141913672466</v>
      </c>
      <c r="H507" s="34">
        <v>6</v>
      </c>
    </row>
    <row r="508" spans="1:8" x14ac:dyDescent="0.3">
      <c r="A508" s="34">
        <v>507</v>
      </c>
      <c r="B508" s="34">
        <v>430</v>
      </c>
      <c r="C508" s="34">
        <v>18</v>
      </c>
      <c r="D508" s="34">
        <v>1190</v>
      </c>
      <c r="E508" s="34">
        <v>55</v>
      </c>
      <c r="F508" s="34" t="s">
        <v>57</v>
      </c>
      <c r="G508" s="97">
        <v>0.52065733385624324</v>
      </c>
      <c r="H508" s="34">
        <v>7</v>
      </c>
    </row>
    <row r="509" spans="1:8" x14ac:dyDescent="0.3">
      <c r="A509" s="34">
        <v>508</v>
      </c>
      <c r="B509" s="34">
        <v>395</v>
      </c>
      <c r="C509" s="34">
        <v>9</v>
      </c>
      <c r="D509" s="34">
        <v>2406</v>
      </c>
      <c r="E509" s="34">
        <v>31</v>
      </c>
      <c r="F509" s="34" t="s">
        <v>54</v>
      </c>
      <c r="G509" s="97">
        <v>0.52082672420594822</v>
      </c>
      <c r="H509" s="34">
        <v>8</v>
      </c>
    </row>
    <row r="510" spans="1:8" x14ac:dyDescent="0.3">
      <c r="A510" s="34">
        <v>509</v>
      </c>
      <c r="B510" s="34">
        <v>600</v>
      </c>
      <c r="C510" s="34">
        <v>24</v>
      </c>
      <c r="D510" s="34">
        <v>3863</v>
      </c>
      <c r="E510" s="34">
        <v>32</v>
      </c>
      <c r="F510" s="34" t="s">
        <v>54</v>
      </c>
      <c r="G510" s="97">
        <v>0.52167373713531728</v>
      </c>
      <c r="H510" s="34">
        <v>9</v>
      </c>
    </row>
    <row r="511" spans="1:8" x14ac:dyDescent="0.3">
      <c r="A511" s="34">
        <v>510</v>
      </c>
      <c r="B511" s="34">
        <v>68</v>
      </c>
      <c r="C511" s="34">
        <v>12</v>
      </c>
      <c r="D511" s="34">
        <v>1007</v>
      </c>
      <c r="E511" s="34">
        <v>22</v>
      </c>
      <c r="F511" s="34" t="s">
        <v>54</v>
      </c>
      <c r="G511" s="97">
        <v>0.52168325204970456</v>
      </c>
      <c r="H511" s="34">
        <v>10</v>
      </c>
    </row>
    <row r="512" spans="1:8" x14ac:dyDescent="0.3">
      <c r="A512" s="34">
        <v>511</v>
      </c>
      <c r="B512" s="34">
        <v>876</v>
      </c>
      <c r="C512" s="34">
        <v>11</v>
      </c>
      <c r="D512" s="34">
        <v>1322</v>
      </c>
      <c r="E512" s="34">
        <v>40</v>
      </c>
      <c r="F512" s="34" t="s">
        <v>56</v>
      </c>
      <c r="G512" s="97">
        <v>0.52342038947681413</v>
      </c>
      <c r="H512" s="34">
        <v>11</v>
      </c>
    </row>
    <row r="513" spans="1:8" x14ac:dyDescent="0.3">
      <c r="A513" s="34">
        <v>512</v>
      </c>
      <c r="B513" s="34">
        <v>647</v>
      </c>
      <c r="C513" s="34">
        <v>30</v>
      </c>
      <c r="D513" s="34">
        <v>4583</v>
      </c>
      <c r="E513" s="34">
        <v>32</v>
      </c>
      <c r="F513" s="34" t="s">
        <v>54</v>
      </c>
      <c r="G513" s="97">
        <v>0.52854223643875065</v>
      </c>
      <c r="H513" s="34">
        <v>12</v>
      </c>
    </row>
    <row r="514" spans="1:8" x14ac:dyDescent="0.3">
      <c r="A514" s="34">
        <v>513</v>
      </c>
      <c r="B514" s="34">
        <v>305</v>
      </c>
      <c r="C514" s="34">
        <v>48</v>
      </c>
      <c r="D514" s="34">
        <v>10127</v>
      </c>
      <c r="E514" s="34">
        <v>44</v>
      </c>
      <c r="F514" s="34" t="s">
        <v>55</v>
      </c>
      <c r="G514" s="97">
        <v>0.52905222882343406</v>
      </c>
      <c r="H514" s="34">
        <v>13</v>
      </c>
    </row>
    <row r="515" spans="1:8" x14ac:dyDescent="0.3">
      <c r="A515" s="34">
        <v>514</v>
      </c>
      <c r="B515" s="34">
        <v>810</v>
      </c>
      <c r="C515" s="34">
        <v>15</v>
      </c>
      <c r="D515" s="34">
        <v>1778</v>
      </c>
      <c r="E515" s="34">
        <v>26</v>
      </c>
      <c r="F515" s="34" t="s">
        <v>57</v>
      </c>
      <c r="G515" s="97">
        <v>0.52913058206402397</v>
      </c>
      <c r="H515" s="34">
        <v>14</v>
      </c>
    </row>
    <row r="516" spans="1:8" x14ac:dyDescent="0.3">
      <c r="A516" s="34">
        <v>515</v>
      </c>
      <c r="B516" s="34">
        <v>7</v>
      </c>
      <c r="C516" s="34">
        <v>24</v>
      </c>
      <c r="D516" s="34">
        <v>2835</v>
      </c>
      <c r="E516" s="34">
        <v>53</v>
      </c>
      <c r="F516" s="34" t="s">
        <v>54</v>
      </c>
      <c r="G516" s="97">
        <v>0.52913312492338604</v>
      </c>
      <c r="H516" s="34">
        <v>15</v>
      </c>
    </row>
    <row r="517" spans="1:8" x14ac:dyDescent="0.3">
      <c r="A517" s="34">
        <v>516</v>
      </c>
      <c r="B517" s="34">
        <v>58</v>
      </c>
      <c r="C517" s="34">
        <v>36</v>
      </c>
      <c r="D517" s="34">
        <v>9566</v>
      </c>
      <c r="E517" s="34">
        <v>31</v>
      </c>
      <c r="F517" s="34" t="s">
        <v>56</v>
      </c>
      <c r="G517" s="97">
        <v>0.53001885987970343</v>
      </c>
      <c r="H517" s="34">
        <v>16</v>
      </c>
    </row>
    <row r="518" spans="1:8" x14ac:dyDescent="0.3">
      <c r="A518" s="34">
        <v>517</v>
      </c>
      <c r="B518" s="34">
        <v>973</v>
      </c>
      <c r="C518" s="34">
        <v>24</v>
      </c>
      <c r="D518" s="34">
        <v>1193</v>
      </c>
      <c r="E518" s="34">
        <v>29</v>
      </c>
      <c r="F518" s="34" t="s">
        <v>57</v>
      </c>
      <c r="G518" s="97">
        <v>0.53029281891855051</v>
      </c>
      <c r="H518" s="34">
        <v>17</v>
      </c>
    </row>
    <row r="519" spans="1:8" x14ac:dyDescent="0.3">
      <c r="A519" s="34">
        <v>518</v>
      </c>
      <c r="B519" s="34">
        <v>823</v>
      </c>
      <c r="C519" s="34">
        <v>36</v>
      </c>
      <c r="D519" s="34">
        <v>2712</v>
      </c>
      <c r="E519" s="34">
        <v>41</v>
      </c>
      <c r="F519" s="34" t="s">
        <v>55</v>
      </c>
      <c r="G519" s="97">
        <v>0.53058679264948527</v>
      </c>
      <c r="H519" s="34">
        <v>18</v>
      </c>
    </row>
    <row r="520" spans="1:8" x14ac:dyDescent="0.3">
      <c r="A520" s="34">
        <v>519</v>
      </c>
      <c r="B520" s="34">
        <v>525</v>
      </c>
      <c r="C520" s="34">
        <v>18</v>
      </c>
      <c r="D520" s="34">
        <v>1113</v>
      </c>
      <c r="E520" s="34">
        <v>26</v>
      </c>
      <c r="F520" s="34" t="s">
        <v>56</v>
      </c>
      <c r="G520" s="97">
        <v>0.53356421609425109</v>
      </c>
      <c r="H520" s="34">
        <v>19</v>
      </c>
    </row>
    <row r="521" spans="1:8" x14ac:dyDescent="0.3">
      <c r="A521" s="34">
        <v>520</v>
      </c>
      <c r="B521" s="34">
        <v>332</v>
      </c>
      <c r="C521" s="34">
        <v>18</v>
      </c>
      <c r="D521" s="34">
        <v>1864</v>
      </c>
      <c r="E521" s="34">
        <v>30</v>
      </c>
      <c r="F521" s="34" t="s">
        <v>57</v>
      </c>
      <c r="G521" s="97">
        <v>0.53493451678360293</v>
      </c>
      <c r="H521" s="34">
        <v>20</v>
      </c>
    </row>
    <row r="522" spans="1:8" x14ac:dyDescent="0.3">
      <c r="A522" s="34">
        <v>521</v>
      </c>
      <c r="B522" s="34">
        <v>964</v>
      </c>
      <c r="C522" s="34">
        <v>24</v>
      </c>
      <c r="D522" s="34">
        <v>2397</v>
      </c>
      <c r="E522" s="34">
        <v>35</v>
      </c>
      <c r="F522" s="34" t="s">
        <v>55</v>
      </c>
      <c r="G522" s="97">
        <v>0.53535309507155771</v>
      </c>
      <c r="H522" s="34">
        <v>21</v>
      </c>
    </row>
    <row r="523" spans="1:8" x14ac:dyDescent="0.3">
      <c r="A523" s="34">
        <v>522</v>
      </c>
      <c r="B523" s="34">
        <v>566</v>
      </c>
      <c r="C523" s="34">
        <v>24</v>
      </c>
      <c r="D523" s="34">
        <v>1553</v>
      </c>
      <c r="E523" s="34">
        <v>23</v>
      </c>
      <c r="F523" s="34" t="s">
        <v>56</v>
      </c>
      <c r="G523" s="97">
        <v>0.53567390089735578</v>
      </c>
      <c r="H523" s="34">
        <v>22</v>
      </c>
    </row>
    <row r="524" spans="1:8" x14ac:dyDescent="0.3">
      <c r="A524" s="34">
        <v>523</v>
      </c>
      <c r="B524" s="34">
        <v>130</v>
      </c>
      <c r="C524" s="34">
        <v>12</v>
      </c>
      <c r="D524" s="34">
        <v>3499</v>
      </c>
      <c r="E524" s="34">
        <v>29</v>
      </c>
      <c r="F524" s="34" t="s">
        <v>57</v>
      </c>
      <c r="G524" s="97">
        <v>0.53646539986925301</v>
      </c>
      <c r="H524" s="34">
        <v>23</v>
      </c>
    </row>
    <row r="525" spans="1:8" x14ac:dyDescent="0.3">
      <c r="A525" s="34">
        <v>524</v>
      </c>
      <c r="B525" s="34">
        <v>72</v>
      </c>
      <c r="C525" s="34">
        <v>7</v>
      </c>
      <c r="D525" s="34">
        <v>730</v>
      </c>
      <c r="E525" s="34">
        <v>46</v>
      </c>
      <c r="F525" s="34" t="s">
        <v>54</v>
      </c>
      <c r="G525" s="97">
        <v>0.53648132603001264</v>
      </c>
      <c r="H525" s="34">
        <v>24</v>
      </c>
    </row>
    <row r="526" spans="1:8" x14ac:dyDescent="0.3">
      <c r="A526" s="34">
        <v>525</v>
      </c>
      <c r="B526" s="34">
        <v>1</v>
      </c>
      <c r="C526" s="34">
        <v>6</v>
      </c>
      <c r="D526" s="34">
        <v>1169</v>
      </c>
      <c r="E526" s="34">
        <v>67</v>
      </c>
      <c r="F526" s="34" t="s">
        <v>54</v>
      </c>
      <c r="G526" s="97">
        <v>0.53982165175639663</v>
      </c>
      <c r="H526" s="34">
        <v>25</v>
      </c>
    </row>
    <row r="527" spans="1:8" x14ac:dyDescent="0.3">
      <c r="A527" s="34">
        <v>526</v>
      </c>
      <c r="B527" s="34">
        <v>494</v>
      </c>
      <c r="C527" s="34">
        <v>6</v>
      </c>
      <c r="D527" s="34">
        <v>368</v>
      </c>
      <c r="E527" s="34">
        <v>38</v>
      </c>
      <c r="F527" s="34" t="s">
        <v>54</v>
      </c>
      <c r="G527" s="97">
        <v>0.54189504840738656</v>
      </c>
      <c r="H527" s="34">
        <v>26</v>
      </c>
    </row>
    <row r="528" spans="1:8" x14ac:dyDescent="0.3">
      <c r="A528" s="34">
        <v>527</v>
      </c>
      <c r="B528" s="34">
        <v>670</v>
      </c>
      <c r="C528" s="34">
        <v>30</v>
      </c>
      <c r="D528" s="34">
        <v>3017</v>
      </c>
      <c r="E528" s="34">
        <v>47</v>
      </c>
      <c r="F528" s="34" t="s">
        <v>54</v>
      </c>
      <c r="G528" s="97">
        <v>0.54238212326308211</v>
      </c>
      <c r="H528" s="34">
        <v>27</v>
      </c>
    </row>
    <row r="529" spans="1:8" x14ac:dyDescent="0.3">
      <c r="A529" s="34">
        <v>528</v>
      </c>
      <c r="B529" s="34">
        <v>827</v>
      </c>
      <c r="C529" s="34">
        <v>18</v>
      </c>
      <c r="D529" s="34">
        <v>3966</v>
      </c>
      <c r="E529" s="34">
        <v>33</v>
      </c>
      <c r="F529" s="34" t="s">
        <v>57</v>
      </c>
      <c r="G529" s="97">
        <v>0.54267352505173805</v>
      </c>
      <c r="H529" s="34">
        <v>28</v>
      </c>
    </row>
    <row r="530" spans="1:8" x14ac:dyDescent="0.3">
      <c r="A530" s="34">
        <v>529</v>
      </c>
      <c r="B530" s="34">
        <v>717</v>
      </c>
      <c r="C530" s="34">
        <v>30</v>
      </c>
      <c r="D530" s="34">
        <v>3077</v>
      </c>
      <c r="E530" s="34">
        <v>40</v>
      </c>
      <c r="F530" s="34" t="s">
        <v>54</v>
      </c>
      <c r="G530" s="97">
        <v>0.54304744578706921</v>
      </c>
      <c r="H530" s="34">
        <v>29</v>
      </c>
    </row>
    <row r="531" spans="1:8" x14ac:dyDescent="0.3">
      <c r="A531" s="34">
        <v>530</v>
      </c>
      <c r="B531" s="34">
        <v>913</v>
      </c>
      <c r="C531" s="34">
        <v>30</v>
      </c>
      <c r="D531" s="34">
        <v>2991</v>
      </c>
      <c r="E531" s="34">
        <v>25</v>
      </c>
      <c r="F531" s="34" t="s">
        <v>56</v>
      </c>
      <c r="G531" s="97">
        <v>0.54523606813227721</v>
      </c>
      <c r="H531" s="34">
        <v>30</v>
      </c>
    </row>
    <row r="532" spans="1:8" x14ac:dyDescent="0.3">
      <c r="A532" s="34">
        <v>531</v>
      </c>
      <c r="B532" s="34">
        <v>299</v>
      </c>
      <c r="C532" s="34">
        <v>18</v>
      </c>
      <c r="D532" s="34">
        <v>2515</v>
      </c>
      <c r="E532" s="34">
        <v>43</v>
      </c>
      <c r="F532" s="34" t="s">
        <v>54</v>
      </c>
      <c r="G532" s="97">
        <v>0.54533173058960605</v>
      </c>
      <c r="H532" s="34">
        <v>31</v>
      </c>
    </row>
    <row r="533" spans="1:8" x14ac:dyDescent="0.3">
      <c r="A533" s="34">
        <v>532</v>
      </c>
      <c r="B533" s="34">
        <v>661</v>
      </c>
      <c r="C533" s="34">
        <v>12</v>
      </c>
      <c r="D533" s="34">
        <v>1297</v>
      </c>
      <c r="E533" s="34">
        <v>23</v>
      </c>
      <c r="F533" s="34" t="s">
        <v>54</v>
      </c>
      <c r="G533" s="97">
        <v>0.54602777439072603</v>
      </c>
      <c r="H533" s="34">
        <v>32</v>
      </c>
    </row>
    <row r="534" spans="1:8" x14ac:dyDescent="0.3">
      <c r="A534" s="34">
        <v>533</v>
      </c>
      <c r="B534" s="34">
        <v>633</v>
      </c>
      <c r="C534" s="34">
        <v>15</v>
      </c>
      <c r="D534" s="34">
        <v>1444</v>
      </c>
      <c r="E534" s="34">
        <v>23</v>
      </c>
      <c r="F534" s="34" t="s">
        <v>54</v>
      </c>
      <c r="G534" s="97">
        <v>0.54637966849715447</v>
      </c>
      <c r="H534" s="34">
        <v>33</v>
      </c>
    </row>
    <row r="535" spans="1:8" x14ac:dyDescent="0.3">
      <c r="A535" s="34">
        <v>534</v>
      </c>
      <c r="B535" s="34">
        <v>996</v>
      </c>
      <c r="C535" s="34">
        <v>12</v>
      </c>
      <c r="D535" s="34">
        <v>1736</v>
      </c>
      <c r="E535" s="34">
        <v>31</v>
      </c>
      <c r="F535" s="34" t="s">
        <v>56</v>
      </c>
      <c r="G535" s="97">
        <v>0.54822511732685475</v>
      </c>
      <c r="H535" s="34">
        <v>34</v>
      </c>
    </row>
    <row r="536" spans="1:8" x14ac:dyDescent="0.3">
      <c r="A536" s="34">
        <v>535</v>
      </c>
      <c r="B536" s="34">
        <v>815</v>
      </c>
      <c r="C536" s="34">
        <v>48</v>
      </c>
      <c r="D536" s="34">
        <v>3931</v>
      </c>
      <c r="E536" s="34">
        <v>46</v>
      </c>
      <c r="F536" s="34" t="s">
        <v>55</v>
      </c>
      <c r="G536" s="97">
        <v>0.54831473621360471</v>
      </c>
      <c r="H536" s="34">
        <v>35</v>
      </c>
    </row>
    <row r="537" spans="1:8" x14ac:dyDescent="0.3">
      <c r="A537" s="34">
        <v>536</v>
      </c>
      <c r="B537" s="34">
        <v>5</v>
      </c>
      <c r="C537" s="34">
        <v>24</v>
      </c>
      <c r="D537" s="34">
        <v>4870</v>
      </c>
      <c r="E537" s="34">
        <v>53</v>
      </c>
      <c r="F537" s="34" t="s">
        <v>55</v>
      </c>
      <c r="G537" s="97">
        <v>0.54835374123364777</v>
      </c>
      <c r="H537" s="34">
        <v>36</v>
      </c>
    </row>
    <row r="538" spans="1:8" x14ac:dyDescent="0.3">
      <c r="A538" s="34">
        <v>537</v>
      </c>
      <c r="B538" s="34">
        <v>884</v>
      </c>
      <c r="C538" s="34">
        <v>18</v>
      </c>
      <c r="D538" s="34">
        <v>1098</v>
      </c>
      <c r="E538" s="34">
        <v>65</v>
      </c>
      <c r="F538" s="34" t="s">
        <v>56</v>
      </c>
      <c r="G538" s="97">
        <v>0.54961806594677143</v>
      </c>
      <c r="H538" s="34">
        <v>37</v>
      </c>
    </row>
    <row r="539" spans="1:8" x14ac:dyDescent="0.3">
      <c r="A539" s="34">
        <v>538</v>
      </c>
      <c r="B539" s="34">
        <v>504</v>
      </c>
      <c r="C539" s="34">
        <v>24</v>
      </c>
      <c r="D539" s="34">
        <v>1216</v>
      </c>
      <c r="E539" s="34">
        <v>38</v>
      </c>
      <c r="F539" s="34" t="s">
        <v>55</v>
      </c>
      <c r="G539" s="97">
        <v>0.5508416196970094</v>
      </c>
      <c r="H539" s="34">
        <v>38</v>
      </c>
    </row>
    <row r="540" spans="1:8" x14ac:dyDescent="0.3">
      <c r="A540" s="34">
        <v>539</v>
      </c>
      <c r="B540" s="34">
        <v>339</v>
      </c>
      <c r="C540" s="34">
        <v>24</v>
      </c>
      <c r="D540" s="34">
        <v>4169</v>
      </c>
      <c r="E540" s="34">
        <v>28</v>
      </c>
      <c r="F540" s="34" t="s">
        <v>54</v>
      </c>
      <c r="G540" s="97">
        <v>0.55253689069244338</v>
      </c>
      <c r="H540" s="34">
        <v>39</v>
      </c>
    </row>
    <row r="541" spans="1:8" x14ac:dyDescent="0.3">
      <c r="A541" s="34">
        <v>540</v>
      </c>
      <c r="B541" s="34">
        <v>563</v>
      </c>
      <c r="C541" s="34">
        <v>6</v>
      </c>
      <c r="D541" s="34">
        <v>683</v>
      </c>
      <c r="E541" s="34">
        <v>29</v>
      </c>
      <c r="F541" s="34" t="s">
        <v>56</v>
      </c>
      <c r="G541" s="97">
        <v>0.55526620085316702</v>
      </c>
      <c r="H541" s="34">
        <v>40</v>
      </c>
    </row>
    <row r="542" spans="1:8" x14ac:dyDescent="0.3">
      <c r="A542" s="34">
        <v>541</v>
      </c>
      <c r="B542" s="34">
        <v>214</v>
      </c>
      <c r="C542" s="34">
        <v>30</v>
      </c>
      <c r="D542" s="34">
        <v>1908</v>
      </c>
      <c r="E542" s="34">
        <v>66</v>
      </c>
      <c r="F542" s="34" t="s">
        <v>55</v>
      </c>
      <c r="G542" s="97">
        <v>0.55536233119078182</v>
      </c>
      <c r="H542" s="34">
        <v>41</v>
      </c>
    </row>
    <row r="543" spans="1:8" x14ac:dyDescent="0.3">
      <c r="A543" s="34">
        <v>542</v>
      </c>
      <c r="B543" s="34">
        <v>825</v>
      </c>
      <c r="C543" s="34">
        <v>18</v>
      </c>
      <c r="D543" s="34">
        <v>3780</v>
      </c>
      <c r="E543" s="34">
        <v>35</v>
      </c>
      <c r="F543" s="34" t="s">
        <v>54</v>
      </c>
      <c r="G543" s="97">
        <v>0.55553505491216471</v>
      </c>
      <c r="H543" s="34">
        <v>42</v>
      </c>
    </row>
    <row r="544" spans="1:8" x14ac:dyDescent="0.3">
      <c r="A544" s="34">
        <v>543</v>
      </c>
      <c r="B544" s="34">
        <v>245</v>
      </c>
      <c r="C544" s="34">
        <v>12</v>
      </c>
      <c r="D544" s="34">
        <v>3447</v>
      </c>
      <c r="E544" s="34">
        <v>35</v>
      </c>
      <c r="F544" s="34" t="s">
        <v>56</v>
      </c>
      <c r="G544" s="97">
        <v>0.55659066580163208</v>
      </c>
      <c r="H544" s="34">
        <v>43</v>
      </c>
    </row>
    <row r="545" spans="1:8" x14ac:dyDescent="0.3">
      <c r="A545" s="34">
        <v>544</v>
      </c>
      <c r="B545" s="34">
        <v>471</v>
      </c>
      <c r="C545" s="34">
        <v>24</v>
      </c>
      <c r="D545" s="34">
        <v>3092</v>
      </c>
      <c r="E545" s="34">
        <v>22</v>
      </c>
      <c r="F545" s="34" t="s">
        <v>55</v>
      </c>
      <c r="G545" s="97">
        <v>0.55719279533347565</v>
      </c>
      <c r="H545" s="34">
        <v>44</v>
      </c>
    </row>
    <row r="546" spans="1:8" x14ac:dyDescent="0.3">
      <c r="A546" s="34">
        <v>545</v>
      </c>
      <c r="B546" s="34">
        <v>492</v>
      </c>
      <c r="C546" s="34">
        <v>27</v>
      </c>
      <c r="D546" s="34">
        <v>8318</v>
      </c>
      <c r="E546" s="34">
        <v>42</v>
      </c>
      <c r="F546" s="34" t="s">
        <v>57</v>
      </c>
      <c r="G546" s="97">
        <v>0.5584937322168767</v>
      </c>
      <c r="H546" s="34">
        <v>45</v>
      </c>
    </row>
    <row r="547" spans="1:8" x14ac:dyDescent="0.3">
      <c r="A547" s="34">
        <v>546</v>
      </c>
      <c r="B547" s="34">
        <v>682</v>
      </c>
      <c r="C547" s="34">
        <v>12</v>
      </c>
      <c r="D547" s="34">
        <v>2279</v>
      </c>
      <c r="E547" s="34">
        <v>37</v>
      </c>
      <c r="F547" s="34" t="s">
        <v>54</v>
      </c>
      <c r="G547" s="97">
        <v>0.55925444024739779</v>
      </c>
      <c r="H547" s="34">
        <v>46</v>
      </c>
    </row>
    <row r="548" spans="1:8" x14ac:dyDescent="0.3">
      <c r="A548" s="34">
        <v>547</v>
      </c>
      <c r="B548" s="34">
        <v>558</v>
      </c>
      <c r="C548" s="34">
        <v>21</v>
      </c>
      <c r="D548" s="34">
        <v>5003</v>
      </c>
      <c r="E548" s="34">
        <v>29</v>
      </c>
      <c r="F548" s="34" t="s">
        <v>57</v>
      </c>
      <c r="G548" s="97">
        <v>0.55925620702712719</v>
      </c>
      <c r="H548" s="34">
        <v>47</v>
      </c>
    </row>
    <row r="549" spans="1:8" x14ac:dyDescent="0.3">
      <c r="A549" s="34">
        <v>548</v>
      </c>
      <c r="B549" s="34">
        <v>593</v>
      </c>
      <c r="C549" s="34">
        <v>21</v>
      </c>
      <c r="D549" s="34">
        <v>1572</v>
      </c>
      <c r="E549" s="34">
        <v>36</v>
      </c>
      <c r="F549" s="34" t="s">
        <v>56</v>
      </c>
      <c r="G549" s="97">
        <v>0.56057374500565393</v>
      </c>
      <c r="H549" s="34">
        <v>48</v>
      </c>
    </row>
    <row r="550" spans="1:8" x14ac:dyDescent="0.3">
      <c r="A550" s="34">
        <v>549</v>
      </c>
      <c r="B550" s="34">
        <v>911</v>
      </c>
      <c r="C550" s="34">
        <v>36</v>
      </c>
      <c r="D550" s="34">
        <v>4454</v>
      </c>
      <c r="E550" s="34">
        <v>34</v>
      </c>
      <c r="F550" s="34" t="s">
        <v>56</v>
      </c>
      <c r="G550" s="97">
        <v>0.56508025181431065</v>
      </c>
      <c r="H550" s="34">
        <v>49</v>
      </c>
    </row>
    <row r="551" spans="1:8" x14ac:dyDescent="0.3">
      <c r="A551" s="34">
        <v>550</v>
      </c>
      <c r="B551" s="34">
        <v>290</v>
      </c>
      <c r="C551" s="34">
        <v>24</v>
      </c>
      <c r="D551" s="34">
        <v>1024</v>
      </c>
      <c r="E551" s="34">
        <v>48</v>
      </c>
      <c r="F551" s="34" t="s">
        <v>55</v>
      </c>
      <c r="G551" s="97">
        <v>0.56564384422798653</v>
      </c>
      <c r="H551" s="34">
        <v>50</v>
      </c>
    </row>
    <row r="552" spans="1:8" x14ac:dyDescent="0.3">
      <c r="A552" s="34">
        <v>551</v>
      </c>
      <c r="B552" s="34">
        <v>486</v>
      </c>
      <c r="C552" s="34">
        <v>6</v>
      </c>
      <c r="D552" s="34">
        <v>1209</v>
      </c>
      <c r="E552" s="34">
        <v>47</v>
      </c>
      <c r="F552" s="34" t="s">
        <v>55</v>
      </c>
      <c r="G552" s="97">
        <v>0.56637288532708419</v>
      </c>
      <c r="H552" s="34">
        <v>1</v>
      </c>
    </row>
    <row r="553" spans="1:8" x14ac:dyDescent="0.3">
      <c r="A553" s="34">
        <v>552</v>
      </c>
      <c r="B553" s="34">
        <v>77</v>
      </c>
      <c r="C553" s="34">
        <v>42</v>
      </c>
      <c r="D553" s="34">
        <v>3965</v>
      </c>
      <c r="E553" s="34">
        <v>34</v>
      </c>
      <c r="F553" s="34" t="s">
        <v>55</v>
      </c>
      <c r="G553" s="97">
        <v>0.56687663616969364</v>
      </c>
      <c r="H553" s="34">
        <v>2</v>
      </c>
    </row>
    <row r="554" spans="1:8" x14ac:dyDescent="0.3">
      <c r="A554" s="34">
        <v>553</v>
      </c>
      <c r="B554" s="34">
        <v>361</v>
      </c>
      <c r="C554" s="34">
        <v>18</v>
      </c>
      <c r="D554" s="34">
        <v>1239</v>
      </c>
      <c r="E554" s="34">
        <v>61</v>
      </c>
      <c r="F554" s="34" t="s">
        <v>54</v>
      </c>
      <c r="G554" s="97">
        <v>0.56712050963877636</v>
      </c>
      <c r="H554" s="34">
        <v>3</v>
      </c>
    </row>
    <row r="555" spans="1:8" x14ac:dyDescent="0.3">
      <c r="A555" s="34">
        <v>554</v>
      </c>
      <c r="B555" s="34">
        <v>410</v>
      </c>
      <c r="C555" s="34">
        <v>12</v>
      </c>
      <c r="D555" s="34">
        <v>939</v>
      </c>
      <c r="E555" s="34">
        <v>28</v>
      </c>
      <c r="F555" s="34" t="s">
        <v>55</v>
      </c>
      <c r="G555" s="97">
        <v>0.56730241418156446</v>
      </c>
      <c r="H555" s="34">
        <v>4</v>
      </c>
    </row>
    <row r="556" spans="1:8" x14ac:dyDescent="0.3">
      <c r="A556" s="34">
        <v>555</v>
      </c>
      <c r="B556" s="34">
        <v>955</v>
      </c>
      <c r="C556" s="34">
        <v>12</v>
      </c>
      <c r="D556" s="34">
        <v>1893</v>
      </c>
      <c r="E556" s="34">
        <v>29</v>
      </c>
      <c r="F556" s="34" t="s">
        <v>56</v>
      </c>
      <c r="G556" s="97">
        <v>0.56803540685473908</v>
      </c>
      <c r="H556" s="34">
        <v>5</v>
      </c>
    </row>
    <row r="557" spans="1:8" x14ac:dyDescent="0.3">
      <c r="A557" s="34">
        <v>556</v>
      </c>
      <c r="B557" s="34">
        <v>459</v>
      </c>
      <c r="C557" s="34">
        <v>6</v>
      </c>
      <c r="D557" s="34">
        <v>343</v>
      </c>
      <c r="E557" s="34">
        <v>27</v>
      </c>
      <c r="F557" s="34" t="s">
        <v>56</v>
      </c>
      <c r="G557" s="97">
        <v>0.56834807942994148</v>
      </c>
      <c r="H557" s="34">
        <v>6</v>
      </c>
    </row>
    <row r="558" spans="1:8" x14ac:dyDescent="0.3">
      <c r="A558" s="34">
        <v>557</v>
      </c>
      <c r="B558" s="34">
        <v>496</v>
      </c>
      <c r="C558" s="34">
        <v>24</v>
      </c>
      <c r="D558" s="34">
        <v>2996</v>
      </c>
      <c r="E558" s="34">
        <v>20</v>
      </c>
      <c r="F558" s="34" t="s">
        <v>55</v>
      </c>
      <c r="G558" s="97">
        <v>0.56973002171643738</v>
      </c>
      <c r="H558" s="34">
        <v>7</v>
      </c>
    </row>
    <row r="559" spans="1:8" x14ac:dyDescent="0.3">
      <c r="A559" s="34">
        <v>558</v>
      </c>
      <c r="B559" s="34">
        <v>20</v>
      </c>
      <c r="C559" s="34">
        <v>24</v>
      </c>
      <c r="D559" s="34">
        <v>3430</v>
      </c>
      <c r="E559" s="34">
        <v>31</v>
      </c>
      <c r="F559" s="34" t="s">
        <v>54</v>
      </c>
      <c r="G559" s="97">
        <v>0.57004825385581481</v>
      </c>
      <c r="H559" s="34">
        <v>8</v>
      </c>
    </row>
    <row r="560" spans="1:8" x14ac:dyDescent="0.3">
      <c r="A560" s="34">
        <v>559</v>
      </c>
      <c r="B560" s="34">
        <v>188</v>
      </c>
      <c r="C560" s="34">
        <v>16</v>
      </c>
      <c r="D560" s="34">
        <v>1175</v>
      </c>
      <c r="E560" s="34">
        <v>68</v>
      </c>
      <c r="F560" s="34" t="s">
        <v>54</v>
      </c>
      <c r="G560" s="97">
        <v>0.57066740790890969</v>
      </c>
      <c r="H560" s="34">
        <v>9</v>
      </c>
    </row>
    <row r="561" spans="1:8" x14ac:dyDescent="0.3">
      <c r="A561" s="34">
        <v>560</v>
      </c>
      <c r="B561" s="34">
        <v>532</v>
      </c>
      <c r="C561" s="34">
        <v>15</v>
      </c>
      <c r="D561" s="34">
        <v>2631</v>
      </c>
      <c r="E561" s="34">
        <v>28</v>
      </c>
      <c r="F561" s="34" t="s">
        <v>57</v>
      </c>
      <c r="G561" s="97">
        <v>0.57069646261380447</v>
      </c>
      <c r="H561" s="34">
        <v>10</v>
      </c>
    </row>
    <row r="562" spans="1:8" x14ac:dyDescent="0.3">
      <c r="A562" s="34">
        <v>561</v>
      </c>
      <c r="B562" s="34">
        <v>679</v>
      </c>
      <c r="C562" s="34">
        <v>24</v>
      </c>
      <c r="D562" s="34">
        <v>2384</v>
      </c>
      <c r="E562" s="34">
        <v>64</v>
      </c>
      <c r="F562" s="34" t="s">
        <v>54</v>
      </c>
      <c r="G562" s="97">
        <v>0.57176681880505498</v>
      </c>
      <c r="H562" s="34">
        <v>11</v>
      </c>
    </row>
    <row r="563" spans="1:8" x14ac:dyDescent="0.3">
      <c r="A563" s="34">
        <v>562</v>
      </c>
      <c r="B563" s="34">
        <v>966</v>
      </c>
      <c r="C563" s="34">
        <v>30</v>
      </c>
      <c r="D563" s="34">
        <v>1715</v>
      </c>
      <c r="E563" s="34">
        <v>26</v>
      </c>
      <c r="F563" s="34" t="s">
        <v>56</v>
      </c>
      <c r="G563" s="97">
        <v>0.5720667823312392</v>
      </c>
      <c r="H563" s="34">
        <v>12</v>
      </c>
    </row>
    <row r="564" spans="1:8" x14ac:dyDescent="0.3">
      <c r="A564" s="34">
        <v>563</v>
      </c>
      <c r="B564" s="34">
        <v>826</v>
      </c>
      <c r="C564" s="34">
        <v>21</v>
      </c>
      <c r="D564" s="34">
        <v>1602</v>
      </c>
      <c r="E564" s="34">
        <v>30</v>
      </c>
      <c r="F564" s="34" t="s">
        <v>54</v>
      </c>
      <c r="G564" s="97">
        <v>0.5723731908330747</v>
      </c>
      <c r="H564" s="34">
        <v>13</v>
      </c>
    </row>
    <row r="565" spans="1:8" x14ac:dyDescent="0.3">
      <c r="A565" s="34">
        <v>564</v>
      </c>
      <c r="B565" s="34">
        <v>957</v>
      </c>
      <c r="C565" s="34">
        <v>30</v>
      </c>
      <c r="D565" s="34">
        <v>3656</v>
      </c>
      <c r="E565" s="34">
        <v>49</v>
      </c>
      <c r="F565" s="34" t="s">
        <v>54</v>
      </c>
      <c r="G565" s="97">
        <v>0.57275156716626452</v>
      </c>
      <c r="H565" s="34">
        <v>14</v>
      </c>
    </row>
    <row r="566" spans="1:8" x14ac:dyDescent="0.3">
      <c r="A566" s="34">
        <v>565</v>
      </c>
      <c r="B566" s="34">
        <v>602</v>
      </c>
      <c r="C566" s="34">
        <v>9</v>
      </c>
      <c r="D566" s="34">
        <v>918</v>
      </c>
      <c r="E566" s="34">
        <v>30</v>
      </c>
      <c r="F566" s="34" t="s">
        <v>57</v>
      </c>
      <c r="G566" s="97">
        <v>0.57378481552463723</v>
      </c>
      <c r="H566" s="34">
        <v>15</v>
      </c>
    </row>
    <row r="567" spans="1:8" x14ac:dyDescent="0.3">
      <c r="A567" s="34">
        <v>566</v>
      </c>
      <c r="B567" s="34">
        <v>818</v>
      </c>
      <c r="C567" s="34">
        <v>6</v>
      </c>
      <c r="D567" s="34">
        <v>1554</v>
      </c>
      <c r="E567" s="34">
        <v>24</v>
      </c>
      <c r="F567" s="34" t="s">
        <v>56</v>
      </c>
      <c r="G567" s="97">
        <v>0.57518147966116129</v>
      </c>
      <c r="H567" s="34">
        <v>16</v>
      </c>
    </row>
    <row r="568" spans="1:8" x14ac:dyDescent="0.3">
      <c r="A568" s="34">
        <v>567</v>
      </c>
      <c r="B568" s="34">
        <v>62</v>
      </c>
      <c r="C568" s="34">
        <v>15</v>
      </c>
      <c r="D568" s="34">
        <v>1537</v>
      </c>
      <c r="E568" s="34">
        <v>50</v>
      </c>
      <c r="F568" s="34" t="s">
        <v>54</v>
      </c>
      <c r="G568" s="97">
        <v>0.57740194348978602</v>
      </c>
      <c r="H568" s="34">
        <v>17</v>
      </c>
    </row>
    <row r="569" spans="1:8" x14ac:dyDescent="0.3">
      <c r="A569" s="34">
        <v>568</v>
      </c>
      <c r="B569" s="34">
        <v>707</v>
      </c>
      <c r="C569" s="34">
        <v>48</v>
      </c>
      <c r="D569" s="34">
        <v>6560</v>
      </c>
      <c r="E569" s="34">
        <v>24</v>
      </c>
      <c r="F569" s="34" t="s">
        <v>55</v>
      </c>
      <c r="G569" s="97">
        <v>0.57740786032301106</v>
      </c>
      <c r="H569" s="34">
        <v>18</v>
      </c>
    </row>
    <row r="570" spans="1:8" x14ac:dyDescent="0.3">
      <c r="A570" s="34">
        <v>569</v>
      </c>
      <c r="B570" s="34">
        <v>337</v>
      </c>
      <c r="C570" s="34">
        <v>13</v>
      </c>
      <c r="D570" s="34">
        <v>2101</v>
      </c>
      <c r="E570" s="34">
        <v>23</v>
      </c>
      <c r="F570" s="34" t="s">
        <v>56</v>
      </c>
      <c r="G570" s="97">
        <v>0.57790826421750363</v>
      </c>
      <c r="H570" s="34">
        <v>19</v>
      </c>
    </row>
    <row r="571" spans="1:8" x14ac:dyDescent="0.3">
      <c r="A571" s="34">
        <v>570</v>
      </c>
      <c r="B571" s="34">
        <v>314</v>
      </c>
      <c r="C571" s="34">
        <v>12</v>
      </c>
      <c r="D571" s="34">
        <v>685</v>
      </c>
      <c r="E571" s="34">
        <v>25</v>
      </c>
      <c r="F571" s="34" t="s">
        <v>55</v>
      </c>
      <c r="G571" s="97">
        <v>0.58108530298128125</v>
      </c>
      <c r="H571" s="34">
        <v>20</v>
      </c>
    </row>
    <row r="572" spans="1:8" x14ac:dyDescent="0.3">
      <c r="A572" s="34">
        <v>571</v>
      </c>
      <c r="B572" s="34">
        <v>978</v>
      </c>
      <c r="C572" s="34">
        <v>18</v>
      </c>
      <c r="D572" s="34">
        <v>2427</v>
      </c>
      <c r="E572" s="34">
        <v>42</v>
      </c>
      <c r="F572" s="34" t="s">
        <v>54</v>
      </c>
      <c r="G572" s="97">
        <v>0.58213096382895158</v>
      </c>
      <c r="H572" s="34">
        <v>21</v>
      </c>
    </row>
    <row r="573" spans="1:8" x14ac:dyDescent="0.3">
      <c r="A573" s="34">
        <v>572</v>
      </c>
      <c r="B573" s="34">
        <v>460</v>
      </c>
      <c r="C573" s="34">
        <v>18</v>
      </c>
      <c r="D573" s="34">
        <v>4594</v>
      </c>
      <c r="E573" s="34">
        <v>32</v>
      </c>
      <c r="F573" s="34" t="s">
        <v>54</v>
      </c>
      <c r="G573" s="97">
        <v>0.58233644194481671</v>
      </c>
      <c r="H573" s="34">
        <v>22</v>
      </c>
    </row>
    <row r="574" spans="1:8" x14ac:dyDescent="0.3">
      <c r="A574" s="34">
        <v>573</v>
      </c>
      <c r="B574" s="34">
        <v>35</v>
      </c>
      <c r="C574" s="34">
        <v>12</v>
      </c>
      <c r="D574" s="34">
        <v>1474</v>
      </c>
      <c r="E574" s="34">
        <v>33</v>
      </c>
      <c r="F574" s="34" t="s">
        <v>56</v>
      </c>
      <c r="G574" s="97">
        <v>0.58305061601296726</v>
      </c>
      <c r="H574" s="34">
        <v>23</v>
      </c>
    </row>
    <row r="575" spans="1:8" x14ac:dyDescent="0.3">
      <c r="A575" s="34">
        <v>574</v>
      </c>
      <c r="B575" s="34">
        <v>895</v>
      </c>
      <c r="C575" s="34">
        <v>18</v>
      </c>
      <c r="D575" s="34">
        <v>1169</v>
      </c>
      <c r="E575" s="34">
        <v>29</v>
      </c>
      <c r="F575" s="34" t="s">
        <v>54</v>
      </c>
      <c r="G575" s="97">
        <v>0.58336499406087994</v>
      </c>
      <c r="H575" s="34">
        <v>24</v>
      </c>
    </row>
    <row r="576" spans="1:8" x14ac:dyDescent="0.3">
      <c r="A576" s="34">
        <v>575</v>
      </c>
      <c r="B576" s="34">
        <v>152</v>
      </c>
      <c r="C576" s="34">
        <v>10</v>
      </c>
      <c r="D576" s="34">
        <v>1924</v>
      </c>
      <c r="E576" s="34">
        <v>38</v>
      </c>
      <c r="F576" s="34" t="s">
        <v>54</v>
      </c>
      <c r="G576" s="97">
        <v>0.58419878501209366</v>
      </c>
      <c r="H576" s="34">
        <v>25</v>
      </c>
    </row>
    <row r="577" spans="1:8" x14ac:dyDescent="0.3">
      <c r="A577" s="34">
        <v>576</v>
      </c>
      <c r="B577" s="34">
        <v>11</v>
      </c>
      <c r="C577" s="34">
        <v>12</v>
      </c>
      <c r="D577" s="34">
        <v>1295</v>
      </c>
      <c r="E577" s="34">
        <v>25</v>
      </c>
      <c r="F577" s="34" t="s">
        <v>57</v>
      </c>
      <c r="G577" s="97">
        <v>0.58572689689694712</v>
      </c>
      <c r="H577" s="34">
        <v>26</v>
      </c>
    </row>
    <row r="578" spans="1:8" x14ac:dyDescent="0.3">
      <c r="A578" s="34">
        <v>577</v>
      </c>
      <c r="B578" s="34">
        <v>41</v>
      </c>
      <c r="C578" s="34">
        <v>30</v>
      </c>
      <c r="D578" s="34">
        <v>2333</v>
      </c>
      <c r="E578" s="34">
        <v>30</v>
      </c>
      <c r="F578" s="34" t="s">
        <v>54</v>
      </c>
      <c r="G578" s="97">
        <v>0.58718336929697978</v>
      </c>
      <c r="H578" s="34">
        <v>27</v>
      </c>
    </row>
    <row r="579" spans="1:8" x14ac:dyDescent="0.3">
      <c r="A579" s="34">
        <v>578</v>
      </c>
      <c r="B579" s="34">
        <v>190</v>
      </c>
      <c r="C579" s="34">
        <v>18</v>
      </c>
      <c r="D579" s="34">
        <v>3244</v>
      </c>
      <c r="E579" s="34">
        <v>33</v>
      </c>
      <c r="F579" s="34" t="s">
        <v>56</v>
      </c>
      <c r="G579" s="97">
        <v>0.58834031195758119</v>
      </c>
      <c r="H579" s="34">
        <v>28</v>
      </c>
    </row>
    <row r="580" spans="1:8" x14ac:dyDescent="0.3">
      <c r="A580" s="34">
        <v>579</v>
      </c>
      <c r="B580" s="34">
        <v>153</v>
      </c>
      <c r="C580" s="34">
        <v>36</v>
      </c>
      <c r="D580" s="34">
        <v>5848</v>
      </c>
      <c r="E580" s="34">
        <v>24</v>
      </c>
      <c r="F580" s="34" t="s">
        <v>54</v>
      </c>
      <c r="G580" s="97">
        <v>0.58867787610588029</v>
      </c>
      <c r="H580" s="34">
        <v>29</v>
      </c>
    </row>
    <row r="581" spans="1:8" x14ac:dyDescent="0.3">
      <c r="A581" s="34">
        <v>580</v>
      </c>
      <c r="B581" s="34">
        <v>953</v>
      </c>
      <c r="C581" s="34">
        <v>24</v>
      </c>
      <c r="D581" s="34">
        <v>4113</v>
      </c>
      <c r="E581" s="34">
        <v>28</v>
      </c>
      <c r="F581" s="34" t="s">
        <v>57</v>
      </c>
      <c r="G581" s="97">
        <v>0.58928204214282343</v>
      </c>
      <c r="H581" s="34">
        <v>30</v>
      </c>
    </row>
    <row r="582" spans="1:8" x14ac:dyDescent="0.3">
      <c r="A582" s="34">
        <v>581</v>
      </c>
      <c r="B582" s="34">
        <v>219</v>
      </c>
      <c r="C582" s="34">
        <v>24</v>
      </c>
      <c r="D582" s="34">
        <v>3021</v>
      </c>
      <c r="E582" s="34">
        <v>24</v>
      </c>
      <c r="F582" s="34" t="s">
        <v>54</v>
      </c>
      <c r="G582" s="97">
        <v>0.59243662102210393</v>
      </c>
      <c r="H582" s="34">
        <v>31</v>
      </c>
    </row>
    <row r="583" spans="1:8" x14ac:dyDescent="0.3">
      <c r="A583" s="34">
        <v>582</v>
      </c>
      <c r="B583" s="34">
        <v>840</v>
      </c>
      <c r="C583" s="34">
        <v>24</v>
      </c>
      <c r="D583" s="34">
        <v>2611</v>
      </c>
      <c r="E583" s="34">
        <v>46</v>
      </c>
      <c r="F583" s="34" t="s">
        <v>54</v>
      </c>
      <c r="G583" s="97">
        <v>0.59268370924420022</v>
      </c>
      <c r="H583" s="34">
        <v>32</v>
      </c>
    </row>
    <row r="584" spans="1:8" x14ac:dyDescent="0.3">
      <c r="A584" s="34">
        <v>583</v>
      </c>
      <c r="B584" s="34">
        <v>672</v>
      </c>
      <c r="C584" s="34">
        <v>36</v>
      </c>
      <c r="D584" s="34">
        <v>5742</v>
      </c>
      <c r="E584" s="34">
        <v>31</v>
      </c>
      <c r="F584" s="34" t="s">
        <v>54</v>
      </c>
      <c r="G584" s="97">
        <v>0.59368444256833297</v>
      </c>
      <c r="H584" s="34">
        <v>33</v>
      </c>
    </row>
    <row r="585" spans="1:8" x14ac:dyDescent="0.3">
      <c r="A585" s="34">
        <v>584</v>
      </c>
      <c r="B585" s="34">
        <v>668</v>
      </c>
      <c r="C585" s="34">
        <v>48</v>
      </c>
      <c r="D585" s="34">
        <v>3609</v>
      </c>
      <c r="E585" s="34">
        <v>27</v>
      </c>
      <c r="F585" s="34" t="s">
        <v>56</v>
      </c>
      <c r="G585" s="97">
        <v>0.59400969929816794</v>
      </c>
      <c r="H585" s="34">
        <v>34</v>
      </c>
    </row>
    <row r="586" spans="1:8" x14ac:dyDescent="0.3">
      <c r="A586" s="34">
        <v>585</v>
      </c>
      <c r="B586" s="34">
        <v>43</v>
      </c>
      <c r="C586" s="34">
        <v>18</v>
      </c>
      <c r="D586" s="34">
        <v>6204</v>
      </c>
      <c r="E586" s="34">
        <v>44</v>
      </c>
      <c r="F586" s="34" t="s">
        <v>54</v>
      </c>
      <c r="G586" s="97">
        <v>0.59468221811741662</v>
      </c>
      <c r="H586" s="34">
        <v>35</v>
      </c>
    </row>
    <row r="587" spans="1:8" x14ac:dyDescent="0.3">
      <c r="A587" s="34">
        <v>586</v>
      </c>
      <c r="B587" s="34">
        <v>216</v>
      </c>
      <c r="C587" s="34">
        <v>6</v>
      </c>
      <c r="D587" s="34">
        <v>932</v>
      </c>
      <c r="E587" s="34">
        <v>39</v>
      </c>
      <c r="F587" s="34" t="s">
        <v>56</v>
      </c>
      <c r="G587" s="97">
        <v>0.59487063326069878</v>
      </c>
      <c r="H587" s="34">
        <v>36</v>
      </c>
    </row>
    <row r="588" spans="1:8" x14ac:dyDescent="0.3">
      <c r="A588" s="34">
        <v>587</v>
      </c>
      <c r="B588" s="34">
        <v>952</v>
      </c>
      <c r="C588" s="34">
        <v>36</v>
      </c>
      <c r="D588" s="34">
        <v>2145</v>
      </c>
      <c r="E588" s="34">
        <v>24</v>
      </c>
      <c r="F588" s="34" t="s">
        <v>55</v>
      </c>
      <c r="G588" s="97">
        <v>0.59544230029853373</v>
      </c>
      <c r="H588" s="34">
        <v>37</v>
      </c>
    </row>
    <row r="589" spans="1:8" x14ac:dyDescent="0.3">
      <c r="A589" s="34">
        <v>588</v>
      </c>
      <c r="B589" s="34">
        <v>963</v>
      </c>
      <c r="C589" s="34">
        <v>15</v>
      </c>
      <c r="D589" s="34">
        <v>3556</v>
      </c>
      <c r="E589" s="34">
        <v>29</v>
      </c>
      <c r="F589" s="34" t="s">
        <v>54</v>
      </c>
      <c r="G589" s="97">
        <v>0.59636119465458348</v>
      </c>
      <c r="H589" s="34">
        <v>38</v>
      </c>
    </row>
    <row r="590" spans="1:8" x14ac:dyDescent="0.3">
      <c r="A590" s="34">
        <v>589</v>
      </c>
      <c r="B590" s="34">
        <v>461</v>
      </c>
      <c r="C590" s="34">
        <v>36</v>
      </c>
      <c r="D590" s="34">
        <v>3620</v>
      </c>
      <c r="E590" s="34">
        <v>37</v>
      </c>
      <c r="F590" s="34" t="s">
        <v>54</v>
      </c>
      <c r="G590" s="97">
        <v>0.59648882353872634</v>
      </c>
      <c r="H590" s="34">
        <v>39</v>
      </c>
    </row>
    <row r="591" spans="1:8" x14ac:dyDescent="0.3">
      <c r="A591" s="34">
        <v>590</v>
      </c>
      <c r="B591" s="34">
        <v>779</v>
      </c>
      <c r="C591" s="34">
        <v>36</v>
      </c>
      <c r="D591" s="34">
        <v>5711</v>
      </c>
      <c r="E591" s="34">
        <v>38</v>
      </c>
      <c r="F591" s="34" t="s">
        <v>54</v>
      </c>
      <c r="G591" s="97">
        <v>0.59696215082131998</v>
      </c>
      <c r="H591" s="34">
        <v>40</v>
      </c>
    </row>
    <row r="592" spans="1:8" x14ac:dyDescent="0.3">
      <c r="A592" s="34">
        <v>591</v>
      </c>
      <c r="B592" s="34">
        <v>352</v>
      </c>
      <c r="C592" s="34">
        <v>9</v>
      </c>
      <c r="D592" s="34">
        <v>959</v>
      </c>
      <c r="E592" s="34">
        <v>29</v>
      </c>
      <c r="F592" s="34" t="s">
        <v>57</v>
      </c>
      <c r="G592" s="97">
        <v>0.59821059763590911</v>
      </c>
      <c r="H592" s="34">
        <v>41</v>
      </c>
    </row>
    <row r="593" spans="1:8" x14ac:dyDescent="0.3">
      <c r="A593" s="34">
        <v>592</v>
      </c>
      <c r="B593" s="34">
        <v>954</v>
      </c>
      <c r="C593" s="34">
        <v>36</v>
      </c>
      <c r="D593" s="34">
        <v>10974</v>
      </c>
      <c r="E593" s="34">
        <v>26</v>
      </c>
      <c r="F593" s="34" t="s">
        <v>57</v>
      </c>
      <c r="G593" s="97">
        <v>0.5993573379038144</v>
      </c>
      <c r="H593" s="34">
        <v>42</v>
      </c>
    </row>
    <row r="594" spans="1:8" x14ac:dyDescent="0.3">
      <c r="A594" s="34">
        <v>593</v>
      </c>
      <c r="B594" s="34">
        <v>975</v>
      </c>
      <c r="C594" s="34">
        <v>30</v>
      </c>
      <c r="D594" s="34">
        <v>2831</v>
      </c>
      <c r="E594" s="34">
        <v>33</v>
      </c>
      <c r="F594" s="34" t="s">
        <v>56</v>
      </c>
      <c r="G594" s="97">
        <v>0.59988280629922808</v>
      </c>
      <c r="H594" s="34">
        <v>43</v>
      </c>
    </row>
    <row r="595" spans="1:8" x14ac:dyDescent="0.3">
      <c r="A595" s="34">
        <v>594</v>
      </c>
      <c r="B595" s="34">
        <v>156</v>
      </c>
      <c r="C595" s="34">
        <v>12</v>
      </c>
      <c r="D595" s="34">
        <v>1282</v>
      </c>
      <c r="E595" s="34">
        <v>20</v>
      </c>
      <c r="F595" s="34" t="s">
        <v>57</v>
      </c>
      <c r="G595" s="97">
        <v>0.60027098313845273</v>
      </c>
      <c r="H595" s="34">
        <v>44</v>
      </c>
    </row>
    <row r="596" spans="1:8" x14ac:dyDescent="0.3">
      <c r="A596" s="34">
        <v>595</v>
      </c>
      <c r="B596" s="34">
        <v>341</v>
      </c>
      <c r="C596" s="34">
        <v>24</v>
      </c>
      <c r="D596" s="34">
        <v>5743</v>
      </c>
      <c r="E596" s="34">
        <v>24</v>
      </c>
      <c r="F596" s="34" t="s">
        <v>56</v>
      </c>
      <c r="G596" s="97">
        <v>0.60032867119671462</v>
      </c>
      <c r="H596" s="34">
        <v>45</v>
      </c>
    </row>
    <row r="597" spans="1:8" x14ac:dyDescent="0.3">
      <c r="A597" s="34">
        <v>596</v>
      </c>
      <c r="B597" s="34">
        <v>215</v>
      </c>
      <c r="C597" s="34">
        <v>36</v>
      </c>
      <c r="D597" s="34">
        <v>3342</v>
      </c>
      <c r="E597" s="34">
        <v>51</v>
      </c>
      <c r="F597" s="34" t="s">
        <v>54</v>
      </c>
      <c r="G597" s="97">
        <v>0.60052281695701237</v>
      </c>
      <c r="H597" s="34">
        <v>46</v>
      </c>
    </row>
    <row r="598" spans="1:8" x14ac:dyDescent="0.3">
      <c r="A598" s="34">
        <v>597</v>
      </c>
      <c r="B598" s="34">
        <v>270</v>
      </c>
      <c r="C598" s="34">
        <v>24</v>
      </c>
      <c r="D598" s="34">
        <v>999</v>
      </c>
      <c r="E598" s="34">
        <v>25</v>
      </c>
      <c r="F598" s="34" t="s">
        <v>54</v>
      </c>
      <c r="G598" s="97">
        <v>0.60117040859844895</v>
      </c>
      <c r="H598" s="34">
        <v>47</v>
      </c>
    </row>
    <row r="599" spans="1:8" x14ac:dyDescent="0.3">
      <c r="A599" s="34">
        <v>598</v>
      </c>
      <c r="B599" s="34">
        <v>55</v>
      </c>
      <c r="C599" s="34">
        <v>36</v>
      </c>
      <c r="D599" s="34">
        <v>2225</v>
      </c>
      <c r="E599" s="34">
        <v>57</v>
      </c>
      <c r="F599" s="34" t="s">
        <v>55</v>
      </c>
      <c r="G599" s="97">
        <v>0.60228916363026375</v>
      </c>
      <c r="H599" s="34">
        <v>48</v>
      </c>
    </row>
    <row r="600" spans="1:8" x14ac:dyDescent="0.3">
      <c r="A600" s="34">
        <v>599</v>
      </c>
      <c r="B600" s="34">
        <v>971</v>
      </c>
      <c r="C600" s="34">
        <v>15</v>
      </c>
      <c r="D600" s="34">
        <v>1514</v>
      </c>
      <c r="E600" s="34">
        <v>22</v>
      </c>
      <c r="F600" s="34" t="s">
        <v>54</v>
      </c>
      <c r="G600" s="97">
        <v>0.60314215475596866</v>
      </c>
      <c r="H600" s="34">
        <v>49</v>
      </c>
    </row>
    <row r="601" spans="1:8" x14ac:dyDescent="0.3">
      <c r="A601" s="34">
        <v>600</v>
      </c>
      <c r="B601" s="34">
        <v>551</v>
      </c>
      <c r="C601" s="34">
        <v>12</v>
      </c>
      <c r="D601" s="34">
        <v>996</v>
      </c>
      <c r="E601" s="34">
        <v>23</v>
      </c>
      <c r="F601" s="34" t="s">
        <v>56</v>
      </c>
      <c r="G601" s="97">
        <v>0.60423067314312706</v>
      </c>
      <c r="H601" s="34">
        <v>50</v>
      </c>
    </row>
    <row r="602" spans="1:8" x14ac:dyDescent="0.3">
      <c r="A602" s="34">
        <v>601</v>
      </c>
      <c r="B602" s="34">
        <v>177</v>
      </c>
      <c r="C602" s="34">
        <v>12</v>
      </c>
      <c r="D602" s="34">
        <v>2577</v>
      </c>
      <c r="E602" s="34">
        <v>42</v>
      </c>
      <c r="F602" s="34" t="s">
        <v>54</v>
      </c>
      <c r="G602" s="97">
        <v>0.60449742492480896</v>
      </c>
      <c r="H602" s="34">
        <v>1</v>
      </c>
    </row>
    <row r="603" spans="1:8" x14ac:dyDescent="0.3">
      <c r="A603" s="34">
        <v>602</v>
      </c>
      <c r="B603" s="34">
        <v>456</v>
      </c>
      <c r="C603" s="34">
        <v>24</v>
      </c>
      <c r="D603" s="34">
        <v>2679</v>
      </c>
      <c r="E603" s="34">
        <v>29</v>
      </c>
      <c r="F603" s="34" t="s">
        <v>56</v>
      </c>
      <c r="G603" s="97">
        <v>0.60451214373385265</v>
      </c>
      <c r="H603" s="34">
        <v>2</v>
      </c>
    </row>
    <row r="604" spans="1:8" x14ac:dyDescent="0.3">
      <c r="A604" s="34">
        <v>603</v>
      </c>
      <c r="B604" s="34">
        <v>335</v>
      </c>
      <c r="C604" s="34">
        <v>24</v>
      </c>
      <c r="D604" s="34">
        <v>4110</v>
      </c>
      <c r="E604" s="34">
        <v>23</v>
      </c>
      <c r="F604" s="34" t="s">
        <v>55</v>
      </c>
      <c r="G604" s="97">
        <v>0.60635316967050901</v>
      </c>
      <c r="H604" s="34">
        <v>3</v>
      </c>
    </row>
    <row r="605" spans="1:8" x14ac:dyDescent="0.3">
      <c r="A605" s="34">
        <v>604</v>
      </c>
      <c r="B605" s="34">
        <v>643</v>
      </c>
      <c r="C605" s="34">
        <v>15</v>
      </c>
      <c r="D605" s="34">
        <v>4623</v>
      </c>
      <c r="E605" s="34">
        <v>40</v>
      </c>
      <c r="F605" s="34" t="s">
        <v>55</v>
      </c>
      <c r="G605" s="97">
        <v>0.60768690230291944</v>
      </c>
      <c r="H605" s="34">
        <v>4</v>
      </c>
    </row>
    <row r="606" spans="1:8" x14ac:dyDescent="0.3">
      <c r="A606" s="34">
        <v>605</v>
      </c>
      <c r="B606" s="34">
        <v>355</v>
      </c>
      <c r="C606" s="34">
        <v>10</v>
      </c>
      <c r="D606" s="34">
        <v>727</v>
      </c>
      <c r="E606" s="34">
        <v>46</v>
      </c>
      <c r="F606" s="34" t="s">
        <v>54</v>
      </c>
      <c r="G606" s="97">
        <v>0.6077550516661715</v>
      </c>
      <c r="H606" s="34">
        <v>5</v>
      </c>
    </row>
    <row r="607" spans="1:8" x14ac:dyDescent="0.3">
      <c r="A607" s="34">
        <v>606</v>
      </c>
      <c r="B607" s="34">
        <v>223</v>
      </c>
      <c r="C607" s="34">
        <v>12</v>
      </c>
      <c r="D607" s="34">
        <v>707</v>
      </c>
      <c r="E607" s="34">
        <v>30</v>
      </c>
      <c r="F607" s="34" t="s">
        <v>54</v>
      </c>
      <c r="G607" s="97">
        <v>0.60843058792824967</v>
      </c>
      <c r="H607" s="34">
        <v>6</v>
      </c>
    </row>
    <row r="608" spans="1:8" x14ac:dyDescent="0.3">
      <c r="A608" s="34">
        <v>607</v>
      </c>
      <c r="B608" s="34">
        <v>783</v>
      </c>
      <c r="C608" s="34">
        <v>12</v>
      </c>
      <c r="D608" s="34">
        <v>1410</v>
      </c>
      <c r="E608" s="34">
        <v>31</v>
      </c>
      <c r="F608" s="34" t="s">
        <v>54</v>
      </c>
      <c r="G608" s="97">
        <v>0.61035568688696007</v>
      </c>
      <c r="H608" s="34">
        <v>7</v>
      </c>
    </row>
    <row r="609" spans="1:8" x14ac:dyDescent="0.3">
      <c r="A609" s="34">
        <v>608</v>
      </c>
      <c r="B609" s="34">
        <v>628</v>
      </c>
      <c r="C609" s="34">
        <v>9</v>
      </c>
      <c r="D609" s="34">
        <v>1437</v>
      </c>
      <c r="E609" s="34">
        <v>29</v>
      </c>
      <c r="F609" s="34" t="s">
        <v>55</v>
      </c>
      <c r="G609" s="97">
        <v>0.61047239198102021</v>
      </c>
      <c r="H609" s="34">
        <v>8</v>
      </c>
    </row>
    <row r="610" spans="1:8" x14ac:dyDescent="0.3">
      <c r="A610" s="34">
        <v>609</v>
      </c>
      <c r="B610" s="34">
        <v>692</v>
      </c>
      <c r="C610" s="34">
        <v>15</v>
      </c>
      <c r="D610" s="34">
        <v>2631</v>
      </c>
      <c r="E610" s="34">
        <v>25</v>
      </c>
      <c r="F610" s="34" t="s">
        <v>56</v>
      </c>
      <c r="G610" s="97">
        <v>0.61140452661730349</v>
      </c>
      <c r="H610" s="34">
        <v>9</v>
      </c>
    </row>
    <row r="611" spans="1:8" x14ac:dyDescent="0.3">
      <c r="A611" s="34">
        <v>610</v>
      </c>
      <c r="B611" s="34">
        <v>616</v>
      </c>
      <c r="C611" s="34">
        <v>48</v>
      </c>
      <c r="D611" s="34">
        <v>12204</v>
      </c>
      <c r="E611" s="34">
        <v>48</v>
      </c>
      <c r="F611" s="34" t="s">
        <v>54</v>
      </c>
      <c r="G611" s="97">
        <v>0.61239436248912005</v>
      </c>
      <c r="H611" s="34">
        <v>10</v>
      </c>
    </row>
    <row r="612" spans="1:8" x14ac:dyDescent="0.3">
      <c r="A612" s="34">
        <v>611</v>
      </c>
      <c r="B612" s="34">
        <v>824</v>
      </c>
      <c r="C612" s="34">
        <v>8</v>
      </c>
      <c r="D612" s="34">
        <v>731</v>
      </c>
      <c r="E612" s="34">
        <v>47</v>
      </c>
      <c r="F612" s="34" t="s">
        <v>54</v>
      </c>
      <c r="G612" s="97">
        <v>0.61252947705337146</v>
      </c>
      <c r="H612" s="34">
        <v>11</v>
      </c>
    </row>
    <row r="613" spans="1:8" x14ac:dyDescent="0.3">
      <c r="A613" s="34">
        <v>612</v>
      </c>
      <c r="B613" s="34">
        <v>738</v>
      </c>
      <c r="C613" s="34">
        <v>18</v>
      </c>
      <c r="D613" s="34">
        <v>4380</v>
      </c>
      <c r="E613" s="34">
        <v>35</v>
      </c>
      <c r="F613" s="34" t="s">
        <v>54</v>
      </c>
      <c r="G613" s="97">
        <v>0.61292181750339203</v>
      </c>
      <c r="H613" s="34">
        <v>12</v>
      </c>
    </row>
    <row r="614" spans="1:8" x14ac:dyDescent="0.3">
      <c r="A614" s="34">
        <v>613</v>
      </c>
      <c r="B614" s="34">
        <v>545</v>
      </c>
      <c r="C614" s="34">
        <v>12</v>
      </c>
      <c r="D614" s="34">
        <v>1255</v>
      </c>
      <c r="E614" s="34">
        <v>61</v>
      </c>
      <c r="F614" s="34" t="s">
        <v>54</v>
      </c>
      <c r="G614" s="97">
        <v>0.61317596118648354</v>
      </c>
      <c r="H614" s="34">
        <v>13</v>
      </c>
    </row>
    <row r="615" spans="1:8" x14ac:dyDescent="0.3">
      <c r="A615" s="34">
        <v>614</v>
      </c>
      <c r="B615" s="34">
        <v>104</v>
      </c>
      <c r="C615" s="34">
        <v>9</v>
      </c>
      <c r="D615" s="34">
        <v>1919</v>
      </c>
      <c r="E615" s="34">
        <v>35</v>
      </c>
      <c r="F615" s="34" t="s">
        <v>54</v>
      </c>
      <c r="G615" s="97">
        <v>0.61344551919376755</v>
      </c>
      <c r="H615" s="34">
        <v>14</v>
      </c>
    </row>
    <row r="616" spans="1:8" x14ac:dyDescent="0.3">
      <c r="A616" s="34">
        <v>615</v>
      </c>
      <c r="B616" s="34">
        <v>929</v>
      </c>
      <c r="C616" s="34">
        <v>30</v>
      </c>
      <c r="D616" s="34">
        <v>1867</v>
      </c>
      <c r="E616" s="34">
        <v>58</v>
      </c>
      <c r="F616" s="34" t="s">
        <v>54</v>
      </c>
      <c r="G616" s="97">
        <v>0.61405514890283341</v>
      </c>
      <c r="H616" s="34">
        <v>15</v>
      </c>
    </row>
    <row r="617" spans="1:8" x14ac:dyDescent="0.3">
      <c r="A617" s="34">
        <v>616</v>
      </c>
      <c r="B617" s="34">
        <v>89</v>
      </c>
      <c r="C617" s="34">
        <v>18</v>
      </c>
      <c r="D617" s="34">
        <v>2249</v>
      </c>
      <c r="E617" s="34">
        <v>30</v>
      </c>
      <c r="F617" s="34" t="s">
        <v>54</v>
      </c>
      <c r="G617" s="97">
        <v>0.61410924626269559</v>
      </c>
      <c r="H617" s="34">
        <v>16</v>
      </c>
    </row>
    <row r="618" spans="1:8" x14ac:dyDescent="0.3">
      <c r="A618" s="34">
        <v>617</v>
      </c>
      <c r="B618" s="34">
        <v>575</v>
      </c>
      <c r="C618" s="34">
        <v>9</v>
      </c>
      <c r="D618" s="34">
        <v>1082</v>
      </c>
      <c r="E618" s="34">
        <v>27</v>
      </c>
      <c r="F618" s="34" t="s">
        <v>54</v>
      </c>
      <c r="G618" s="97">
        <v>0.61452101176342877</v>
      </c>
      <c r="H618" s="34">
        <v>17</v>
      </c>
    </row>
    <row r="619" spans="1:8" x14ac:dyDescent="0.3">
      <c r="A619" s="34">
        <v>618</v>
      </c>
      <c r="B619" s="34">
        <v>554</v>
      </c>
      <c r="C619" s="34">
        <v>12</v>
      </c>
      <c r="D619" s="34">
        <v>1995</v>
      </c>
      <c r="E619" s="34">
        <v>27</v>
      </c>
      <c r="F619" s="34" t="s">
        <v>54</v>
      </c>
      <c r="G619" s="97">
        <v>0.61707420439440064</v>
      </c>
      <c r="H619" s="34">
        <v>18</v>
      </c>
    </row>
    <row r="620" spans="1:8" x14ac:dyDescent="0.3">
      <c r="A620" s="34">
        <v>619</v>
      </c>
      <c r="B620" s="34">
        <v>877</v>
      </c>
      <c r="C620" s="34">
        <v>18</v>
      </c>
      <c r="D620" s="34">
        <v>1940</v>
      </c>
      <c r="E620" s="34">
        <v>36</v>
      </c>
      <c r="F620" s="34" t="s">
        <v>54</v>
      </c>
      <c r="G620" s="97">
        <v>0.61993702141375362</v>
      </c>
      <c r="H620" s="34">
        <v>19</v>
      </c>
    </row>
    <row r="621" spans="1:8" x14ac:dyDescent="0.3">
      <c r="A621" s="34">
        <v>620</v>
      </c>
      <c r="B621" s="34">
        <v>907</v>
      </c>
      <c r="C621" s="34">
        <v>21</v>
      </c>
      <c r="D621" s="34">
        <v>3763</v>
      </c>
      <c r="E621" s="34">
        <v>24</v>
      </c>
      <c r="F621" s="34" t="s">
        <v>54</v>
      </c>
      <c r="G621" s="97">
        <v>0.6203314894276063</v>
      </c>
      <c r="H621" s="34">
        <v>20</v>
      </c>
    </row>
    <row r="622" spans="1:8" x14ac:dyDescent="0.3">
      <c r="A622" s="34">
        <v>621</v>
      </c>
      <c r="B622" s="34">
        <v>210</v>
      </c>
      <c r="C622" s="34">
        <v>12</v>
      </c>
      <c r="D622" s="34">
        <v>1413</v>
      </c>
      <c r="E622" s="34">
        <v>55</v>
      </c>
      <c r="F622" s="34" t="s">
        <v>54</v>
      </c>
      <c r="G622" s="97">
        <v>0.62141564367738145</v>
      </c>
      <c r="H622" s="34">
        <v>21</v>
      </c>
    </row>
    <row r="623" spans="1:8" x14ac:dyDescent="0.3">
      <c r="A623" s="34">
        <v>622</v>
      </c>
      <c r="B623" s="34">
        <v>401</v>
      </c>
      <c r="C623" s="34">
        <v>18</v>
      </c>
      <c r="D623" s="34">
        <v>1473</v>
      </c>
      <c r="E623" s="34">
        <v>39</v>
      </c>
      <c r="F623" s="34" t="s">
        <v>54</v>
      </c>
      <c r="G623" s="97">
        <v>0.6217271549732426</v>
      </c>
      <c r="H623" s="34">
        <v>22</v>
      </c>
    </row>
    <row r="624" spans="1:8" x14ac:dyDescent="0.3">
      <c r="A624" s="34">
        <v>623</v>
      </c>
      <c r="B624" s="34">
        <v>754</v>
      </c>
      <c r="C624" s="34">
        <v>30</v>
      </c>
      <c r="D624" s="34">
        <v>5771</v>
      </c>
      <c r="E624" s="34">
        <v>25</v>
      </c>
      <c r="F624" s="34" t="s">
        <v>56</v>
      </c>
      <c r="G624" s="97">
        <v>0.62265765498340442</v>
      </c>
      <c r="H624" s="34">
        <v>23</v>
      </c>
    </row>
    <row r="625" spans="1:8" x14ac:dyDescent="0.3">
      <c r="A625" s="34">
        <v>624</v>
      </c>
      <c r="B625" s="34">
        <v>923</v>
      </c>
      <c r="C625" s="34">
        <v>9</v>
      </c>
      <c r="D625" s="34">
        <v>1366</v>
      </c>
      <c r="E625" s="34">
        <v>22</v>
      </c>
      <c r="F625" s="34" t="s">
        <v>57</v>
      </c>
      <c r="G625" s="97">
        <v>0.62267515621851532</v>
      </c>
      <c r="H625" s="34">
        <v>24</v>
      </c>
    </row>
    <row r="626" spans="1:8" x14ac:dyDescent="0.3">
      <c r="A626" s="34">
        <v>625</v>
      </c>
      <c r="B626" s="34">
        <v>420</v>
      </c>
      <c r="C626" s="34">
        <v>18</v>
      </c>
      <c r="D626" s="34">
        <v>1042</v>
      </c>
      <c r="E626" s="34">
        <v>33</v>
      </c>
      <c r="F626" s="34" t="s">
        <v>57</v>
      </c>
      <c r="G626" s="97">
        <v>0.62329544489626154</v>
      </c>
      <c r="H626" s="34">
        <v>25</v>
      </c>
    </row>
    <row r="627" spans="1:8" x14ac:dyDescent="0.3">
      <c r="A627" s="34">
        <v>626</v>
      </c>
      <c r="B627" s="34">
        <v>610</v>
      </c>
      <c r="C627" s="34">
        <v>15</v>
      </c>
      <c r="D627" s="34">
        <v>1300</v>
      </c>
      <c r="E627" s="34">
        <v>45</v>
      </c>
      <c r="F627" s="34" t="s">
        <v>54</v>
      </c>
      <c r="G627" s="97">
        <v>0.62357240765158561</v>
      </c>
      <c r="H627" s="34">
        <v>26</v>
      </c>
    </row>
    <row r="628" spans="1:8" x14ac:dyDescent="0.3">
      <c r="A628" s="34">
        <v>627</v>
      </c>
      <c r="B628" s="34">
        <v>817</v>
      </c>
      <c r="C628" s="34">
        <v>6</v>
      </c>
      <c r="D628" s="34">
        <v>1338</v>
      </c>
      <c r="E628" s="34">
        <v>62</v>
      </c>
      <c r="F628" s="34" t="s">
        <v>54</v>
      </c>
      <c r="G628" s="97">
        <v>0.62784865611131924</v>
      </c>
      <c r="H628" s="34">
        <v>27</v>
      </c>
    </row>
    <row r="629" spans="1:8" x14ac:dyDescent="0.3">
      <c r="A629" s="34">
        <v>628</v>
      </c>
      <c r="B629" s="34">
        <v>109</v>
      </c>
      <c r="C629" s="34">
        <v>24</v>
      </c>
      <c r="D629" s="34">
        <v>7721</v>
      </c>
      <c r="E629" s="34">
        <v>30</v>
      </c>
      <c r="F629" s="34" t="s">
        <v>56</v>
      </c>
      <c r="G629" s="97">
        <v>0.62877231025984404</v>
      </c>
      <c r="H629" s="34">
        <v>28</v>
      </c>
    </row>
    <row r="630" spans="1:8" x14ac:dyDescent="0.3">
      <c r="A630" s="34">
        <v>629</v>
      </c>
      <c r="B630" s="34">
        <v>483</v>
      </c>
      <c r="C630" s="34">
        <v>30</v>
      </c>
      <c r="D630" s="34">
        <v>3622</v>
      </c>
      <c r="E630" s="34">
        <v>57</v>
      </c>
      <c r="F630" s="34" t="s">
        <v>56</v>
      </c>
      <c r="G630" s="97">
        <v>0.62963600756987825</v>
      </c>
      <c r="H630" s="34">
        <v>29</v>
      </c>
    </row>
    <row r="631" spans="1:8" x14ac:dyDescent="0.3">
      <c r="A631" s="34">
        <v>630</v>
      </c>
      <c r="B631" s="34">
        <v>770</v>
      </c>
      <c r="C631" s="34">
        <v>12</v>
      </c>
      <c r="D631" s="34">
        <v>1655</v>
      </c>
      <c r="E631" s="34">
        <v>63</v>
      </c>
      <c r="F631" s="34" t="s">
        <v>54</v>
      </c>
      <c r="G631" s="97">
        <v>0.63038962924784803</v>
      </c>
      <c r="H631" s="34">
        <v>30</v>
      </c>
    </row>
    <row r="632" spans="1:8" x14ac:dyDescent="0.3">
      <c r="A632" s="34">
        <v>631</v>
      </c>
      <c r="B632" s="34">
        <v>781</v>
      </c>
      <c r="C632" s="34">
        <v>39</v>
      </c>
      <c r="D632" s="34">
        <v>4933</v>
      </c>
      <c r="E632" s="34">
        <v>25</v>
      </c>
      <c r="F632" s="34" t="s">
        <v>55</v>
      </c>
      <c r="G632" s="97">
        <v>0.63059511949787728</v>
      </c>
      <c r="H632" s="34">
        <v>31</v>
      </c>
    </row>
    <row r="633" spans="1:8" x14ac:dyDescent="0.3">
      <c r="A633" s="34">
        <v>632</v>
      </c>
      <c r="B633" s="34">
        <v>39</v>
      </c>
      <c r="C633" s="34">
        <v>10</v>
      </c>
      <c r="D633" s="34">
        <v>1225</v>
      </c>
      <c r="E633" s="34">
        <v>37</v>
      </c>
      <c r="F633" s="34" t="s">
        <v>54</v>
      </c>
      <c r="G633" s="97">
        <v>0.63333194438561258</v>
      </c>
      <c r="H633" s="34">
        <v>32</v>
      </c>
    </row>
    <row r="634" spans="1:8" x14ac:dyDescent="0.3">
      <c r="A634" s="34">
        <v>633</v>
      </c>
      <c r="B634" s="34">
        <v>622</v>
      </c>
      <c r="C634" s="34">
        <v>18</v>
      </c>
      <c r="D634" s="34">
        <v>1530</v>
      </c>
      <c r="E634" s="34">
        <v>32</v>
      </c>
      <c r="F634" s="34" t="s">
        <v>55</v>
      </c>
      <c r="G634" s="97">
        <v>0.63375953263405749</v>
      </c>
      <c r="H634" s="34">
        <v>33</v>
      </c>
    </row>
    <row r="635" spans="1:8" x14ac:dyDescent="0.3">
      <c r="A635" s="34">
        <v>634</v>
      </c>
      <c r="B635" s="34">
        <v>427</v>
      </c>
      <c r="C635" s="34">
        <v>28</v>
      </c>
      <c r="D635" s="34">
        <v>2743</v>
      </c>
      <c r="E635" s="34">
        <v>29</v>
      </c>
      <c r="F635" s="34" t="s">
        <v>54</v>
      </c>
      <c r="G635" s="97">
        <v>0.63666331962124478</v>
      </c>
      <c r="H635" s="34">
        <v>34</v>
      </c>
    </row>
    <row r="636" spans="1:8" x14ac:dyDescent="0.3">
      <c r="A636" s="34">
        <v>635</v>
      </c>
      <c r="B636" s="34">
        <v>729</v>
      </c>
      <c r="C636" s="34">
        <v>48</v>
      </c>
      <c r="D636" s="34">
        <v>6416</v>
      </c>
      <c r="E636" s="34">
        <v>59</v>
      </c>
      <c r="F636" s="34" t="s">
        <v>57</v>
      </c>
      <c r="G636" s="97">
        <v>0.63688692659354162</v>
      </c>
      <c r="H636" s="34">
        <v>35</v>
      </c>
    </row>
    <row r="637" spans="1:8" x14ac:dyDescent="0.3">
      <c r="A637" s="34">
        <v>636</v>
      </c>
      <c r="B637" s="34">
        <v>363</v>
      </c>
      <c r="C637" s="34">
        <v>12</v>
      </c>
      <c r="D637" s="34">
        <v>2247</v>
      </c>
      <c r="E637" s="34">
        <v>36</v>
      </c>
      <c r="F637" s="34" t="s">
        <v>56</v>
      </c>
      <c r="G637" s="97">
        <v>0.63932941794810882</v>
      </c>
      <c r="H637" s="34">
        <v>36</v>
      </c>
    </row>
    <row r="638" spans="1:8" x14ac:dyDescent="0.3">
      <c r="A638" s="34">
        <v>637</v>
      </c>
      <c r="B638" s="34">
        <v>44</v>
      </c>
      <c r="C638" s="34">
        <v>30</v>
      </c>
      <c r="D638" s="34">
        <v>6187</v>
      </c>
      <c r="E638" s="34">
        <v>24</v>
      </c>
      <c r="F638" s="34" t="s">
        <v>54</v>
      </c>
      <c r="G638" s="97">
        <v>0.64079842341551319</v>
      </c>
      <c r="H638" s="34">
        <v>37</v>
      </c>
    </row>
    <row r="639" spans="1:8" x14ac:dyDescent="0.3">
      <c r="A639" s="34">
        <v>638</v>
      </c>
      <c r="B639" s="34">
        <v>357</v>
      </c>
      <c r="C639" s="34">
        <v>12</v>
      </c>
      <c r="D639" s="34">
        <v>2331</v>
      </c>
      <c r="E639" s="34">
        <v>49</v>
      </c>
      <c r="F639" s="34" t="s">
        <v>54</v>
      </c>
      <c r="G639" s="97">
        <v>0.64114503736716777</v>
      </c>
      <c r="H639" s="34">
        <v>38</v>
      </c>
    </row>
    <row r="640" spans="1:8" x14ac:dyDescent="0.3">
      <c r="A640" s="34">
        <v>639</v>
      </c>
      <c r="B640" s="34">
        <v>71</v>
      </c>
      <c r="C640" s="34">
        <v>36</v>
      </c>
      <c r="D640" s="34">
        <v>8133</v>
      </c>
      <c r="E640" s="34">
        <v>30</v>
      </c>
      <c r="F640" s="34" t="s">
        <v>56</v>
      </c>
      <c r="G640" s="97">
        <v>0.64203318451657443</v>
      </c>
      <c r="H640" s="34">
        <v>39</v>
      </c>
    </row>
    <row r="641" spans="1:8" x14ac:dyDescent="0.3">
      <c r="A641" s="34">
        <v>640</v>
      </c>
      <c r="B641" s="34">
        <v>657</v>
      </c>
      <c r="C641" s="34">
        <v>12</v>
      </c>
      <c r="D641" s="34">
        <v>888</v>
      </c>
      <c r="E641" s="34">
        <v>41</v>
      </c>
      <c r="F641" s="34" t="s">
        <v>55</v>
      </c>
      <c r="G641" s="97">
        <v>0.64268354764527091</v>
      </c>
      <c r="H641" s="34">
        <v>40</v>
      </c>
    </row>
    <row r="642" spans="1:8" x14ac:dyDescent="0.3">
      <c r="A642" s="34">
        <v>641</v>
      </c>
      <c r="B642" s="34">
        <v>791</v>
      </c>
      <c r="C642" s="34">
        <v>21</v>
      </c>
      <c r="D642" s="34">
        <v>1188</v>
      </c>
      <c r="E642" s="34">
        <v>39</v>
      </c>
      <c r="F642" s="34" t="s">
        <v>57</v>
      </c>
      <c r="G642" s="97">
        <v>0.6428406701075059</v>
      </c>
      <c r="H642" s="34">
        <v>41</v>
      </c>
    </row>
    <row r="643" spans="1:8" x14ac:dyDescent="0.3">
      <c r="A643" s="34">
        <v>642</v>
      </c>
      <c r="B643" s="34">
        <v>25</v>
      </c>
      <c r="C643" s="34">
        <v>10</v>
      </c>
      <c r="D643" s="34">
        <v>2069</v>
      </c>
      <c r="E643" s="34">
        <v>26</v>
      </c>
      <c r="F643" s="34" t="s">
        <v>54</v>
      </c>
      <c r="G643" s="97">
        <v>0.64319712557214348</v>
      </c>
      <c r="H643" s="34">
        <v>42</v>
      </c>
    </row>
    <row r="644" spans="1:8" x14ac:dyDescent="0.3">
      <c r="A644" s="34">
        <v>643</v>
      </c>
      <c r="B644" s="34">
        <v>512</v>
      </c>
      <c r="C644" s="34">
        <v>36</v>
      </c>
      <c r="D644" s="34">
        <v>4686</v>
      </c>
      <c r="E644" s="34">
        <v>32</v>
      </c>
      <c r="F644" s="34" t="s">
        <v>54</v>
      </c>
      <c r="G644" s="97">
        <v>0.64445345417376787</v>
      </c>
      <c r="H644" s="34">
        <v>43</v>
      </c>
    </row>
    <row r="645" spans="1:8" x14ac:dyDescent="0.3">
      <c r="A645" s="34">
        <v>644</v>
      </c>
      <c r="B645" s="34">
        <v>342</v>
      </c>
      <c r="C645" s="34">
        <v>21</v>
      </c>
      <c r="D645" s="34">
        <v>3599</v>
      </c>
      <c r="E645" s="34">
        <v>26</v>
      </c>
      <c r="F645" s="34" t="s">
        <v>56</v>
      </c>
      <c r="G645" s="97">
        <v>0.64619646305963152</v>
      </c>
      <c r="H645" s="34">
        <v>44</v>
      </c>
    </row>
    <row r="646" spans="1:8" x14ac:dyDescent="0.3">
      <c r="A646" s="34">
        <v>645</v>
      </c>
      <c r="B646" s="34">
        <v>324</v>
      </c>
      <c r="C646" s="34">
        <v>18</v>
      </c>
      <c r="D646" s="34">
        <v>2659</v>
      </c>
      <c r="E646" s="34">
        <v>28</v>
      </c>
      <c r="F646" s="34" t="s">
        <v>54</v>
      </c>
      <c r="G646" s="97">
        <v>0.64801091458129334</v>
      </c>
      <c r="H646" s="34">
        <v>45</v>
      </c>
    </row>
    <row r="647" spans="1:8" x14ac:dyDescent="0.3">
      <c r="A647" s="34">
        <v>646</v>
      </c>
      <c r="B647" s="34">
        <v>759</v>
      </c>
      <c r="C647" s="34">
        <v>24</v>
      </c>
      <c r="D647" s="34">
        <v>1393</v>
      </c>
      <c r="E647" s="34">
        <v>31</v>
      </c>
      <c r="F647" s="34" t="s">
        <v>54</v>
      </c>
      <c r="G647" s="97">
        <v>0.64866661363940381</v>
      </c>
      <c r="H647" s="34">
        <v>46</v>
      </c>
    </row>
    <row r="648" spans="1:8" x14ac:dyDescent="0.3">
      <c r="A648" s="34">
        <v>647</v>
      </c>
      <c r="B648" s="34">
        <v>218</v>
      </c>
      <c r="C648" s="34">
        <v>36</v>
      </c>
      <c r="D648" s="34">
        <v>3913</v>
      </c>
      <c r="E648" s="34">
        <v>23</v>
      </c>
      <c r="F648" s="34" t="s">
        <v>54</v>
      </c>
      <c r="G648" s="97">
        <v>0.64985426622881803</v>
      </c>
      <c r="H648" s="34">
        <v>47</v>
      </c>
    </row>
    <row r="649" spans="1:8" x14ac:dyDescent="0.3">
      <c r="A649" s="34">
        <v>648</v>
      </c>
      <c r="B649" s="34">
        <v>495</v>
      </c>
      <c r="C649" s="34">
        <v>12</v>
      </c>
      <c r="D649" s="34">
        <v>2122</v>
      </c>
      <c r="E649" s="34">
        <v>39</v>
      </c>
      <c r="F649" s="34" t="s">
        <v>54</v>
      </c>
      <c r="G649" s="97">
        <v>0.65032672581028161</v>
      </c>
      <c r="H649" s="34">
        <v>48</v>
      </c>
    </row>
    <row r="650" spans="1:8" x14ac:dyDescent="0.3">
      <c r="A650" s="34">
        <v>649</v>
      </c>
      <c r="B650" s="34">
        <v>709</v>
      </c>
      <c r="C650" s="34">
        <v>9</v>
      </c>
      <c r="D650" s="34">
        <v>1206</v>
      </c>
      <c r="E650" s="34">
        <v>25</v>
      </c>
      <c r="F650" s="34" t="s">
        <v>56</v>
      </c>
      <c r="G650" s="97">
        <v>0.65039209134155207</v>
      </c>
      <c r="H650" s="34">
        <v>49</v>
      </c>
    </row>
    <row r="651" spans="1:8" x14ac:dyDescent="0.3">
      <c r="A651" s="34">
        <v>650</v>
      </c>
      <c r="B651" s="34">
        <v>100</v>
      </c>
      <c r="C651" s="34">
        <v>20</v>
      </c>
      <c r="D651" s="34">
        <v>7057</v>
      </c>
      <c r="E651" s="34">
        <v>36</v>
      </c>
      <c r="F651" s="34" t="s">
        <v>54</v>
      </c>
      <c r="G651" s="97">
        <v>0.65089708599889828</v>
      </c>
      <c r="H651" s="34">
        <v>50</v>
      </c>
    </row>
    <row r="652" spans="1:8" x14ac:dyDescent="0.3">
      <c r="A652" s="34">
        <v>651</v>
      </c>
      <c r="B652" s="34">
        <v>450</v>
      </c>
      <c r="C652" s="34">
        <v>15</v>
      </c>
      <c r="D652" s="34">
        <v>1512</v>
      </c>
      <c r="E652" s="34">
        <v>61</v>
      </c>
      <c r="F652" s="34" t="s">
        <v>55</v>
      </c>
      <c r="G652" s="97">
        <v>0.65109164711238876</v>
      </c>
      <c r="H652" s="34">
        <v>1</v>
      </c>
    </row>
    <row r="653" spans="1:8" x14ac:dyDescent="0.3">
      <c r="A653" s="34">
        <v>652</v>
      </c>
      <c r="B653" s="34">
        <v>849</v>
      </c>
      <c r="C653" s="34">
        <v>9</v>
      </c>
      <c r="D653" s="34">
        <v>1364</v>
      </c>
      <c r="E653" s="34">
        <v>59</v>
      </c>
      <c r="F653" s="34" t="s">
        <v>54</v>
      </c>
      <c r="G653" s="97">
        <v>0.6523141723098721</v>
      </c>
      <c r="H653" s="34">
        <v>2</v>
      </c>
    </row>
    <row r="654" spans="1:8" x14ac:dyDescent="0.3">
      <c r="A654" s="34">
        <v>653</v>
      </c>
      <c r="B654" s="34">
        <v>302</v>
      </c>
      <c r="C654" s="34">
        <v>36</v>
      </c>
      <c r="D654" s="34">
        <v>3804</v>
      </c>
      <c r="E654" s="34">
        <v>42</v>
      </c>
      <c r="F654" s="34" t="s">
        <v>57</v>
      </c>
      <c r="G654" s="97">
        <v>0.65236768736392303</v>
      </c>
      <c r="H654" s="34">
        <v>3</v>
      </c>
    </row>
    <row r="655" spans="1:8" x14ac:dyDescent="0.3">
      <c r="A655" s="34">
        <v>654</v>
      </c>
      <c r="B655" s="34">
        <v>858</v>
      </c>
      <c r="C655" s="34">
        <v>15</v>
      </c>
      <c r="D655" s="34">
        <v>3343</v>
      </c>
      <c r="E655" s="34">
        <v>28</v>
      </c>
      <c r="F655" s="34" t="s">
        <v>54</v>
      </c>
      <c r="G655" s="97">
        <v>0.65365096779091347</v>
      </c>
      <c r="H655" s="34">
        <v>4</v>
      </c>
    </row>
    <row r="656" spans="1:8" x14ac:dyDescent="0.3">
      <c r="A656" s="34">
        <v>655</v>
      </c>
      <c r="B656" s="34">
        <v>449</v>
      </c>
      <c r="C656" s="34">
        <v>12</v>
      </c>
      <c r="D656" s="34">
        <v>1424</v>
      </c>
      <c r="E656" s="34">
        <v>55</v>
      </c>
      <c r="F656" s="34" t="s">
        <v>56</v>
      </c>
      <c r="G656" s="97">
        <v>0.65396812193631781</v>
      </c>
      <c r="H656" s="34">
        <v>5</v>
      </c>
    </row>
    <row r="657" spans="1:8" x14ac:dyDescent="0.3">
      <c r="A657" s="34">
        <v>656</v>
      </c>
      <c r="B657" s="34">
        <v>266</v>
      </c>
      <c r="C657" s="34">
        <v>15</v>
      </c>
      <c r="D657" s="34">
        <v>802</v>
      </c>
      <c r="E657" s="34">
        <v>37</v>
      </c>
      <c r="F657" s="34" t="s">
        <v>55</v>
      </c>
      <c r="G657" s="97">
        <v>0.65484106763090744</v>
      </c>
      <c r="H657" s="34">
        <v>6</v>
      </c>
    </row>
    <row r="658" spans="1:8" x14ac:dyDescent="0.3">
      <c r="A658" s="34">
        <v>657</v>
      </c>
      <c r="B658" s="34">
        <v>234</v>
      </c>
      <c r="C658" s="34">
        <v>18</v>
      </c>
      <c r="D658" s="34">
        <v>866</v>
      </c>
      <c r="E658" s="34">
        <v>25</v>
      </c>
      <c r="F658" s="34" t="s">
        <v>54</v>
      </c>
      <c r="G658" s="97">
        <v>0.65527432353415183</v>
      </c>
      <c r="H658" s="34">
        <v>7</v>
      </c>
    </row>
    <row r="659" spans="1:8" x14ac:dyDescent="0.3">
      <c r="A659" s="34">
        <v>658</v>
      </c>
      <c r="B659" s="34">
        <v>386</v>
      </c>
      <c r="C659" s="34">
        <v>18</v>
      </c>
      <c r="D659" s="34">
        <v>2238</v>
      </c>
      <c r="E659" s="34">
        <v>25</v>
      </c>
      <c r="F659" s="34" t="s">
        <v>56</v>
      </c>
      <c r="G659" s="97">
        <v>0.65665226348230732</v>
      </c>
      <c r="H659" s="34">
        <v>8</v>
      </c>
    </row>
    <row r="660" spans="1:8" x14ac:dyDescent="0.3">
      <c r="A660" s="34">
        <v>659</v>
      </c>
      <c r="B660" s="34">
        <v>15</v>
      </c>
      <c r="C660" s="34">
        <v>15</v>
      </c>
      <c r="D660" s="34">
        <v>1403</v>
      </c>
      <c r="E660" s="34">
        <v>28</v>
      </c>
      <c r="F660" s="34" t="s">
        <v>56</v>
      </c>
      <c r="G660" s="97">
        <v>0.65754300264066745</v>
      </c>
      <c r="H660" s="34">
        <v>9</v>
      </c>
    </row>
    <row r="661" spans="1:8" x14ac:dyDescent="0.3">
      <c r="A661" s="34">
        <v>660</v>
      </c>
      <c r="B661" s="34">
        <v>202</v>
      </c>
      <c r="C661" s="34">
        <v>12</v>
      </c>
      <c r="D661" s="34">
        <v>1168</v>
      </c>
      <c r="E661" s="34">
        <v>27</v>
      </c>
      <c r="F661" s="34" t="s">
        <v>54</v>
      </c>
      <c r="G661" s="97">
        <v>0.65862206506356658</v>
      </c>
      <c r="H661" s="34">
        <v>10</v>
      </c>
    </row>
    <row r="662" spans="1:8" x14ac:dyDescent="0.3">
      <c r="A662" s="34">
        <v>661</v>
      </c>
      <c r="B662" s="34">
        <v>222</v>
      </c>
      <c r="C662" s="34">
        <v>12</v>
      </c>
      <c r="D662" s="34">
        <v>1200</v>
      </c>
      <c r="E662" s="34">
        <v>23</v>
      </c>
      <c r="F662" s="34" t="s">
        <v>56</v>
      </c>
      <c r="G662" s="97">
        <v>0.65892461191212703</v>
      </c>
      <c r="H662" s="34">
        <v>11</v>
      </c>
    </row>
    <row r="663" spans="1:8" x14ac:dyDescent="0.3">
      <c r="A663" s="34">
        <v>662</v>
      </c>
      <c r="B663" s="34">
        <v>454</v>
      </c>
      <c r="C663" s="34">
        <v>24</v>
      </c>
      <c r="D663" s="34">
        <v>2670</v>
      </c>
      <c r="E663" s="34">
        <v>35</v>
      </c>
      <c r="F663" s="34" t="s">
        <v>54</v>
      </c>
      <c r="G663" s="97">
        <v>0.65937843973855181</v>
      </c>
      <c r="H663" s="34">
        <v>12</v>
      </c>
    </row>
    <row r="664" spans="1:8" x14ac:dyDescent="0.3">
      <c r="A664" s="34">
        <v>663</v>
      </c>
      <c r="B664" s="34">
        <v>713</v>
      </c>
      <c r="C664" s="34">
        <v>21</v>
      </c>
      <c r="D664" s="34">
        <v>2476</v>
      </c>
      <c r="E664" s="34">
        <v>46</v>
      </c>
      <c r="F664" s="34" t="s">
        <v>54</v>
      </c>
      <c r="G664" s="97">
        <v>0.66035951868949527</v>
      </c>
      <c r="H664" s="34">
        <v>13</v>
      </c>
    </row>
    <row r="665" spans="1:8" x14ac:dyDescent="0.3">
      <c r="A665" s="34">
        <v>664</v>
      </c>
      <c r="B665" s="34">
        <v>677</v>
      </c>
      <c r="C665" s="34">
        <v>24</v>
      </c>
      <c r="D665" s="34">
        <v>5150</v>
      </c>
      <c r="E665" s="34">
        <v>33</v>
      </c>
      <c r="F665" s="34" t="s">
        <v>54</v>
      </c>
      <c r="G665" s="97">
        <v>0.66055283094797601</v>
      </c>
      <c r="H665" s="34">
        <v>14</v>
      </c>
    </row>
    <row r="666" spans="1:8" x14ac:dyDescent="0.3">
      <c r="A666" s="34">
        <v>665</v>
      </c>
      <c r="B666" s="34">
        <v>580</v>
      </c>
      <c r="C666" s="34">
        <v>24</v>
      </c>
      <c r="D666" s="34">
        <v>937</v>
      </c>
      <c r="E666" s="34">
        <v>27</v>
      </c>
      <c r="F666" s="34" t="s">
        <v>54</v>
      </c>
      <c r="G666" s="97">
        <v>0.66075706863787032</v>
      </c>
      <c r="H666" s="34">
        <v>15</v>
      </c>
    </row>
    <row r="667" spans="1:8" x14ac:dyDescent="0.3">
      <c r="A667" s="34">
        <v>666</v>
      </c>
      <c r="B667" s="34">
        <v>192</v>
      </c>
      <c r="C667" s="34">
        <v>48</v>
      </c>
      <c r="D667" s="34">
        <v>3844</v>
      </c>
      <c r="E667" s="34">
        <v>34</v>
      </c>
      <c r="F667" s="34" t="s">
        <v>55</v>
      </c>
      <c r="G667" s="97">
        <v>0.66130491819301052</v>
      </c>
      <c r="H667" s="34">
        <v>16</v>
      </c>
    </row>
    <row r="668" spans="1:8" x14ac:dyDescent="0.3">
      <c r="A668" s="34">
        <v>667</v>
      </c>
      <c r="B668" s="34">
        <v>238</v>
      </c>
      <c r="C668" s="34">
        <v>21</v>
      </c>
      <c r="D668" s="34">
        <v>2767</v>
      </c>
      <c r="E668" s="34">
        <v>61</v>
      </c>
      <c r="F668" s="34" t="s">
        <v>55</v>
      </c>
      <c r="G668" s="97">
        <v>0.66215113460617026</v>
      </c>
      <c r="H668" s="34">
        <v>17</v>
      </c>
    </row>
    <row r="669" spans="1:8" x14ac:dyDescent="0.3">
      <c r="A669" s="34">
        <v>668</v>
      </c>
      <c r="B669" s="34">
        <v>316</v>
      </c>
      <c r="C669" s="34">
        <v>36</v>
      </c>
      <c r="D669" s="34">
        <v>2746</v>
      </c>
      <c r="E669" s="34">
        <v>31</v>
      </c>
      <c r="F669" s="34" t="s">
        <v>55</v>
      </c>
      <c r="G669" s="97">
        <v>0.66265293684048787</v>
      </c>
      <c r="H669" s="34">
        <v>18</v>
      </c>
    </row>
    <row r="670" spans="1:8" x14ac:dyDescent="0.3">
      <c r="A670" s="34">
        <v>669</v>
      </c>
      <c r="B670" s="34">
        <v>417</v>
      </c>
      <c r="C670" s="34">
        <v>12</v>
      </c>
      <c r="D670" s="34">
        <v>2579</v>
      </c>
      <c r="E670" s="34">
        <v>33</v>
      </c>
      <c r="F670" s="34" t="s">
        <v>55</v>
      </c>
      <c r="G670" s="97">
        <v>0.66306388910785441</v>
      </c>
      <c r="H670" s="34">
        <v>19</v>
      </c>
    </row>
    <row r="671" spans="1:8" x14ac:dyDescent="0.3">
      <c r="A671" s="34">
        <v>670</v>
      </c>
      <c r="B671" s="34">
        <v>291</v>
      </c>
      <c r="C671" s="34">
        <v>12</v>
      </c>
      <c r="D671" s="34">
        <v>1076</v>
      </c>
      <c r="E671" s="34">
        <v>26</v>
      </c>
      <c r="F671" s="34" t="s">
        <v>54</v>
      </c>
      <c r="G671" s="97">
        <v>0.66373733412222646</v>
      </c>
      <c r="H671" s="34">
        <v>20</v>
      </c>
    </row>
    <row r="672" spans="1:8" x14ac:dyDescent="0.3">
      <c r="A672" s="34">
        <v>671</v>
      </c>
      <c r="B672" s="34">
        <v>652</v>
      </c>
      <c r="C672" s="34">
        <v>12</v>
      </c>
      <c r="D672" s="34">
        <v>1922</v>
      </c>
      <c r="E672" s="34">
        <v>37</v>
      </c>
      <c r="F672" s="34" t="s">
        <v>55</v>
      </c>
      <c r="G672" s="97">
        <v>0.66655725501039675</v>
      </c>
      <c r="H672" s="34">
        <v>21</v>
      </c>
    </row>
    <row r="673" spans="1:8" x14ac:dyDescent="0.3">
      <c r="A673" s="34">
        <v>672</v>
      </c>
      <c r="B673" s="34">
        <v>941</v>
      </c>
      <c r="C673" s="34">
        <v>12</v>
      </c>
      <c r="D673" s="34">
        <v>3527</v>
      </c>
      <c r="E673" s="34">
        <v>45</v>
      </c>
      <c r="F673" s="34" t="s">
        <v>54</v>
      </c>
      <c r="G673" s="97">
        <v>0.66748671756023148</v>
      </c>
      <c r="H673" s="34">
        <v>22</v>
      </c>
    </row>
    <row r="674" spans="1:8" x14ac:dyDescent="0.3">
      <c r="A674" s="34">
        <v>673</v>
      </c>
      <c r="B674" s="34">
        <v>253</v>
      </c>
      <c r="C674" s="34">
        <v>30</v>
      </c>
      <c r="D674" s="34">
        <v>2150</v>
      </c>
      <c r="E674" s="34">
        <v>24</v>
      </c>
      <c r="F674" s="34" t="s">
        <v>57</v>
      </c>
      <c r="G674" s="97">
        <v>0.66821585516116322</v>
      </c>
      <c r="H674" s="34">
        <v>23</v>
      </c>
    </row>
    <row r="675" spans="1:8" x14ac:dyDescent="0.3">
      <c r="A675" s="34">
        <v>674</v>
      </c>
      <c r="B675" s="34">
        <v>582</v>
      </c>
      <c r="C675" s="34">
        <v>12</v>
      </c>
      <c r="D675" s="34">
        <v>3124</v>
      </c>
      <c r="E675" s="34">
        <v>49</v>
      </c>
      <c r="F675" s="34" t="s">
        <v>54</v>
      </c>
      <c r="G675" s="97">
        <v>0.66885435605564136</v>
      </c>
      <c r="H675" s="34">
        <v>24</v>
      </c>
    </row>
    <row r="676" spans="1:8" x14ac:dyDescent="0.3">
      <c r="A676" s="34">
        <v>675</v>
      </c>
      <c r="B676" s="34">
        <v>263</v>
      </c>
      <c r="C676" s="34">
        <v>18</v>
      </c>
      <c r="D676" s="34">
        <v>5302</v>
      </c>
      <c r="E676" s="34">
        <v>36</v>
      </c>
      <c r="F676" s="34" t="s">
        <v>54</v>
      </c>
      <c r="G676" s="97">
        <v>0.66886196040383472</v>
      </c>
      <c r="H676" s="34">
        <v>25</v>
      </c>
    </row>
    <row r="677" spans="1:8" x14ac:dyDescent="0.3">
      <c r="A677" s="34">
        <v>676</v>
      </c>
      <c r="B677" s="34">
        <v>851</v>
      </c>
      <c r="C677" s="34">
        <v>20</v>
      </c>
      <c r="D677" s="34">
        <v>2235</v>
      </c>
      <c r="E677" s="34">
        <v>33</v>
      </c>
      <c r="F677" s="34" t="s">
        <v>55</v>
      </c>
      <c r="G677" s="97">
        <v>0.67033095251857377</v>
      </c>
      <c r="H677" s="34">
        <v>26</v>
      </c>
    </row>
    <row r="678" spans="1:8" x14ac:dyDescent="0.3">
      <c r="A678" s="34">
        <v>677</v>
      </c>
      <c r="B678" s="34">
        <v>90</v>
      </c>
      <c r="C678" s="34">
        <v>12</v>
      </c>
      <c r="D678" s="34">
        <v>1108</v>
      </c>
      <c r="E678" s="34">
        <v>28</v>
      </c>
      <c r="F678" s="34" t="s">
        <v>55</v>
      </c>
      <c r="G678" s="97">
        <v>0.67292423187850881</v>
      </c>
      <c r="H678" s="34">
        <v>27</v>
      </c>
    </row>
    <row r="679" spans="1:8" x14ac:dyDescent="0.3">
      <c r="A679" s="34">
        <v>678</v>
      </c>
      <c r="B679" s="34">
        <v>798</v>
      </c>
      <c r="C679" s="34">
        <v>12</v>
      </c>
      <c r="D679" s="34">
        <v>1258</v>
      </c>
      <c r="E679" s="34">
        <v>22</v>
      </c>
      <c r="F679" s="34" t="s">
        <v>56</v>
      </c>
      <c r="G679" s="97">
        <v>0.67439261148488416</v>
      </c>
      <c r="H679" s="34">
        <v>28</v>
      </c>
    </row>
    <row r="680" spans="1:8" x14ac:dyDescent="0.3">
      <c r="A680" s="34">
        <v>679</v>
      </c>
      <c r="B680" s="34">
        <v>165</v>
      </c>
      <c r="C680" s="34">
        <v>36</v>
      </c>
      <c r="D680" s="34">
        <v>909</v>
      </c>
      <c r="E680" s="34">
        <v>36</v>
      </c>
      <c r="F680" s="34" t="s">
        <v>54</v>
      </c>
      <c r="G680" s="97">
        <v>0.67535150717849957</v>
      </c>
      <c r="H680" s="34">
        <v>29</v>
      </c>
    </row>
    <row r="681" spans="1:8" x14ac:dyDescent="0.3">
      <c r="A681" s="34">
        <v>680</v>
      </c>
      <c r="B681" s="34">
        <v>209</v>
      </c>
      <c r="C681" s="34">
        <v>24</v>
      </c>
      <c r="D681" s="34">
        <v>6568</v>
      </c>
      <c r="E681" s="34">
        <v>21</v>
      </c>
      <c r="F681" s="34" t="s">
        <v>54</v>
      </c>
      <c r="G681" s="97">
        <v>0.67538862957729495</v>
      </c>
      <c r="H681" s="34">
        <v>30</v>
      </c>
    </row>
    <row r="682" spans="1:8" x14ac:dyDescent="0.3">
      <c r="A682" s="34">
        <v>681</v>
      </c>
      <c r="B682" s="34">
        <v>9</v>
      </c>
      <c r="C682" s="34">
        <v>12</v>
      </c>
      <c r="D682" s="34">
        <v>3059</v>
      </c>
      <c r="E682" s="34">
        <v>61</v>
      </c>
      <c r="F682" s="34" t="s">
        <v>54</v>
      </c>
      <c r="G682" s="97">
        <v>0.67694950346269156</v>
      </c>
      <c r="H682" s="34">
        <v>31</v>
      </c>
    </row>
    <row r="683" spans="1:8" x14ac:dyDescent="0.3">
      <c r="A683" s="34">
        <v>682</v>
      </c>
      <c r="B683" s="34">
        <v>986</v>
      </c>
      <c r="C683" s="34">
        <v>15</v>
      </c>
      <c r="D683" s="34">
        <v>1433</v>
      </c>
      <c r="E683" s="34">
        <v>25</v>
      </c>
      <c r="F683" s="34" t="s">
        <v>56</v>
      </c>
      <c r="G683" s="97">
        <v>0.68018394834333162</v>
      </c>
      <c r="H683" s="34">
        <v>32</v>
      </c>
    </row>
    <row r="684" spans="1:8" x14ac:dyDescent="0.3">
      <c r="A684" s="34">
        <v>683</v>
      </c>
      <c r="B684" s="34">
        <v>267</v>
      </c>
      <c r="C684" s="34">
        <v>36</v>
      </c>
      <c r="D684" s="34">
        <v>6304</v>
      </c>
      <c r="E684" s="34">
        <v>36</v>
      </c>
      <c r="F684" s="34" t="s">
        <v>54</v>
      </c>
      <c r="G684" s="97">
        <v>0.6807237476769491</v>
      </c>
      <c r="H684" s="34">
        <v>33</v>
      </c>
    </row>
    <row r="685" spans="1:8" x14ac:dyDescent="0.3">
      <c r="A685" s="34">
        <v>684</v>
      </c>
      <c r="B685" s="34">
        <v>259</v>
      </c>
      <c r="C685" s="34">
        <v>15</v>
      </c>
      <c r="D685" s="34">
        <v>3812</v>
      </c>
      <c r="E685" s="34">
        <v>23</v>
      </c>
      <c r="F685" s="34" t="s">
        <v>56</v>
      </c>
      <c r="G685" s="97">
        <v>0.68189739876992006</v>
      </c>
      <c r="H685" s="34">
        <v>34</v>
      </c>
    </row>
    <row r="686" spans="1:8" x14ac:dyDescent="0.3">
      <c r="A686" s="34">
        <v>685</v>
      </c>
      <c r="B686" s="34">
        <v>546</v>
      </c>
      <c r="C686" s="34">
        <v>24</v>
      </c>
      <c r="D686" s="34">
        <v>1333</v>
      </c>
      <c r="E686" s="34">
        <v>43</v>
      </c>
      <c r="F686" s="34" t="s">
        <v>55</v>
      </c>
      <c r="G686" s="97">
        <v>0.68217046363238232</v>
      </c>
      <c r="H686" s="34">
        <v>35</v>
      </c>
    </row>
    <row r="687" spans="1:8" x14ac:dyDescent="0.3">
      <c r="A687" s="34">
        <v>686</v>
      </c>
      <c r="B687" s="34">
        <v>338</v>
      </c>
      <c r="C687" s="34">
        <v>15</v>
      </c>
      <c r="D687" s="34">
        <v>1275</v>
      </c>
      <c r="E687" s="34">
        <v>24</v>
      </c>
      <c r="F687" s="34" t="s">
        <v>57</v>
      </c>
      <c r="G687" s="97">
        <v>0.68233491173773031</v>
      </c>
      <c r="H687" s="34">
        <v>36</v>
      </c>
    </row>
    <row r="688" spans="1:8" x14ac:dyDescent="0.3">
      <c r="A688" s="34">
        <v>687</v>
      </c>
      <c r="B688" s="34">
        <v>1000</v>
      </c>
      <c r="C688" s="34">
        <v>45</v>
      </c>
      <c r="D688" s="34">
        <v>4576</v>
      </c>
      <c r="E688" s="34">
        <v>27</v>
      </c>
      <c r="F688" s="34" t="s">
        <v>54</v>
      </c>
      <c r="G688" s="97">
        <v>0.68307886667064166</v>
      </c>
      <c r="H688" s="34">
        <v>37</v>
      </c>
    </row>
    <row r="689" spans="1:8" x14ac:dyDescent="0.3">
      <c r="A689" s="34">
        <v>688</v>
      </c>
      <c r="B689" s="34">
        <v>166</v>
      </c>
      <c r="C689" s="34">
        <v>6</v>
      </c>
      <c r="D689" s="34">
        <v>2978</v>
      </c>
      <c r="E689" s="34">
        <v>32</v>
      </c>
      <c r="F689" s="34" t="s">
        <v>54</v>
      </c>
      <c r="G689" s="97">
        <v>0.68309335474577026</v>
      </c>
      <c r="H689" s="34">
        <v>38</v>
      </c>
    </row>
    <row r="690" spans="1:8" x14ac:dyDescent="0.3">
      <c r="A690" s="34">
        <v>689</v>
      </c>
      <c r="B690" s="34">
        <v>415</v>
      </c>
      <c r="C690" s="34">
        <v>24</v>
      </c>
      <c r="D690" s="34">
        <v>1381</v>
      </c>
      <c r="E690" s="34">
        <v>35</v>
      </c>
      <c r="F690" s="34" t="s">
        <v>57</v>
      </c>
      <c r="G690" s="97">
        <v>0.68393482656732973</v>
      </c>
      <c r="H690" s="34">
        <v>39</v>
      </c>
    </row>
    <row r="691" spans="1:8" x14ac:dyDescent="0.3">
      <c r="A691" s="34">
        <v>690</v>
      </c>
      <c r="B691" s="34">
        <v>457</v>
      </c>
      <c r="C691" s="34">
        <v>11</v>
      </c>
      <c r="D691" s="34">
        <v>3905</v>
      </c>
      <c r="E691" s="34">
        <v>36</v>
      </c>
      <c r="F691" s="34" t="s">
        <v>54</v>
      </c>
      <c r="G691" s="97">
        <v>0.68419529664257506</v>
      </c>
      <c r="H691" s="34">
        <v>40</v>
      </c>
    </row>
    <row r="692" spans="1:8" x14ac:dyDescent="0.3">
      <c r="A692" s="34">
        <v>691</v>
      </c>
      <c r="B692" s="34">
        <v>398</v>
      </c>
      <c r="C692" s="34">
        <v>36</v>
      </c>
      <c r="D692" s="34">
        <v>2348</v>
      </c>
      <c r="E692" s="34">
        <v>46</v>
      </c>
      <c r="F692" s="34" t="s">
        <v>54</v>
      </c>
      <c r="G692" s="97">
        <v>0.68449426540388902</v>
      </c>
      <c r="H692" s="34">
        <v>41</v>
      </c>
    </row>
    <row r="693" spans="1:8" x14ac:dyDescent="0.3">
      <c r="A693" s="34">
        <v>692</v>
      </c>
      <c r="B693" s="34">
        <v>936</v>
      </c>
      <c r="C693" s="34">
        <v>30</v>
      </c>
      <c r="D693" s="34">
        <v>1919</v>
      </c>
      <c r="E693" s="34">
        <v>30</v>
      </c>
      <c r="F693" s="34" t="s">
        <v>55</v>
      </c>
      <c r="G693" s="97">
        <v>0.68524423998824191</v>
      </c>
      <c r="H693" s="34">
        <v>42</v>
      </c>
    </row>
    <row r="694" spans="1:8" x14ac:dyDescent="0.3">
      <c r="A694" s="34">
        <v>693</v>
      </c>
      <c r="B694" s="34">
        <v>392</v>
      </c>
      <c r="C694" s="34">
        <v>12</v>
      </c>
      <c r="D694" s="34">
        <v>983</v>
      </c>
      <c r="E694" s="34">
        <v>19</v>
      </c>
      <c r="F694" s="34" t="s">
        <v>56</v>
      </c>
      <c r="G694" s="97">
        <v>0.68678900531325748</v>
      </c>
      <c r="H694" s="34">
        <v>43</v>
      </c>
    </row>
    <row r="695" spans="1:8" x14ac:dyDescent="0.3">
      <c r="A695" s="34">
        <v>694</v>
      </c>
      <c r="B695" s="34">
        <v>725</v>
      </c>
      <c r="C695" s="34">
        <v>27</v>
      </c>
      <c r="D695" s="34">
        <v>2570</v>
      </c>
      <c r="E695" s="34">
        <v>21</v>
      </c>
      <c r="F695" s="34" t="s">
        <v>57</v>
      </c>
      <c r="G695" s="97">
        <v>0.68850715909157778</v>
      </c>
      <c r="H695" s="34">
        <v>44</v>
      </c>
    </row>
    <row r="696" spans="1:8" x14ac:dyDescent="0.3">
      <c r="A696" s="34">
        <v>695</v>
      </c>
      <c r="B696" s="34">
        <v>904</v>
      </c>
      <c r="C696" s="34">
        <v>15</v>
      </c>
      <c r="D696" s="34">
        <v>1386</v>
      </c>
      <c r="E696" s="34">
        <v>40</v>
      </c>
      <c r="F696" s="34" t="s">
        <v>54</v>
      </c>
      <c r="G696" s="97">
        <v>0.68907688017629487</v>
      </c>
      <c r="H696" s="34">
        <v>45</v>
      </c>
    </row>
    <row r="697" spans="1:8" x14ac:dyDescent="0.3">
      <c r="A697" s="34">
        <v>696</v>
      </c>
      <c r="B697" s="34">
        <v>925</v>
      </c>
      <c r="C697" s="34">
        <v>24</v>
      </c>
      <c r="D697" s="34">
        <v>6872</v>
      </c>
      <c r="E697" s="34">
        <v>55</v>
      </c>
      <c r="F697" s="34" t="s">
        <v>55</v>
      </c>
      <c r="G697" s="97">
        <v>0.68954527941439092</v>
      </c>
      <c r="H697" s="34">
        <v>46</v>
      </c>
    </row>
    <row r="698" spans="1:8" x14ac:dyDescent="0.3">
      <c r="A698" s="34">
        <v>697</v>
      </c>
      <c r="B698" s="34">
        <v>800</v>
      </c>
      <c r="C698" s="34">
        <v>9</v>
      </c>
      <c r="D698" s="34">
        <v>1549</v>
      </c>
      <c r="E698" s="34">
        <v>35</v>
      </c>
      <c r="F698" s="34" t="s">
        <v>54</v>
      </c>
      <c r="G698" s="97">
        <v>0.69103787306790232</v>
      </c>
      <c r="H698" s="34">
        <v>47</v>
      </c>
    </row>
    <row r="699" spans="1:8" x14ac:dyDescent="0.3">
      <c r="A699" s="34">
        <v>698</v>
      </c>
      <c r="B699" s="34">
        <v>479</v>
      </c>
      <c r="C699" s="34">
        <v>12</v>
      </c>
      <c r="D699" s="34">
        <v>1037</v>
      </c>
      <c r="E699" s="34">
        <v>39</v>
      </c>
      <c r="F699" s="34" t="s">
        <v>54</v>
      </c>
      <c r="G699" s="97">
        <v>0.69115563597786001</v>
      </c>
      <c r="H699" s="34">
        <v>48</v>
      </c>
    </row>
    <row r="700" spans="1:8" x14ac:dyDescent="0.3">
      <c r="A700" s="34">
        <v>699</v>
      </c>
      <c r="B700" s="34">
        <v>784</v>
      </c>
      <c r="C700" s="34">
        <v>12</v>
      </c>
      <c r="D700" s="34">
        <v>836</v>
      </c>
      <c r="E700" s="34">
        <v>23</v>
      </c>
      <c r="F700" s="34" t="s">
        <v>57</v>
      </c>
      <c r="G700" s="97">
        <v>0.69169287690426118</v>
      </c>
      <c r="H700" s="34">
        <v>49</v>
      </c>
    </row>
    <row r="701" spans="1:8" x14ac:dyDescent="0.3">
      <c r="A701" s="34">
        <v>700</v>
      </c>
      <c r="B701" s="34">
        <v>140</v>
      </c>
      <c r="C701" s="34">
        <v>12</v>
      </c>
      <c r="D701" s="34">
        <v>1881</v>
      </c>
      <c r="E701" s="34">
        <v>44</v>
      </c>
      <c r="F701" s="34" t="s">
        <v>56</v>
      </c>
      <c r="G701" s="97">
        <v>0.69226344279662499</v>
      </c>
      <c r="H701" s="34">
        <v>50</v>
      </c>
    </row>
    <row r="702" spans="1:8" x14ac:dyDescent="0.3">
      <c r="A702" s="34">
        <v>701</v>
      </c>
      <c r="B702" s="34">
        <v>694</v>
      </c>
      <c r="C702" s="34">
        <v>6</v>
      </c>
      <c r="D702" s="34">
        <v>4716</v>
      </c>
      <c r="E702" s="34">
        <v>44</v>
      </c>
      <c r="F702" s="34" t="s">
        <v>54</v>
      </c>
      <c r="G702" s="97">
        <v>0.69456573462605664</v>
      </c>
      <c r="H702" s="34">
        <v>1</v>
      </c>
    </row>
    <row r="703" spans="1:8" x14ac:dyDescent="0.3">
      <c r="A703" s="34">
        <v>702</v>
      </c>
      <c r="B703" s="34">
        <v>905</v>
      </c>
      <c r="C703" s="34">
        <v>24</v>
      </c>
      <c r="D703" s="34">
        <v>1278</v>
      </c>
      <c r="E703" s="34">
        <v>36</v>
      </c>
      <c r="F703" s="34" t="s">
        <v>54</v>
      </c>
      <c r="G703" s="97">
        <v>0.6945756684375769</v>
      </c>
      <c r="H703" s="34">
        <v>2</v>
      </c>
    </row>
    <row r="704" spans="1:8" x14ac:dyDescent="0.3">
      <c r="A704" s="34">
        <v>703</v>
      </c>
      <c r="B704" s="34">
        <v>23</v>
      </c>
      <c r="C704" s="34">
        <v>10</v>
      </c>
      <c r="D704" s="34">
        <v>2241</v>
      </c>
      <c r="E704" s="34">
        <v>48</v>
      </c>
      <c r="F704" s="34" t="s">
        <v>54</v>
      </c>
      <c r="G704" s="97">
        <v>0.69639981108124427</v>
      </c>
      <c r="H704" s="34">
        <v>3</v>
      </c>
    </row>
    <row r="705" spans="1:8" x14ac:dyDescent="0.3">
      <c r="A705" s="34">
        <v>704</v>
      </c>
      <c r="B705" s="34">
        <v>651</v>
      </c>
      <c r="C705" s="34">
        <v>48</v>
      </c>
      <c r="D705" s="34">
        <v>7476</v>
      </c>
      <c r="E705" s="34">
        <v>50</v>
      </c>
      <c r="F705" s="34" t="s">
        <v>54</v>
      </c>
      <c r="G705" s="97">
        <v>0.6974168541391903</v>
      </c>
      <c r="H705" s="34">
        <v>4</v>
      </c>
    </row>
    <row r="706" spans="1:8" x14ac:dyDescent="0.3">
      <c r="A706" s="34">
        <v>705</v>
      </c>
      <c r="B706" s="34">
        <v>797</v>
      </c>
      <c r="C706" s="34">
        <v>18</v>
      </c>
      <c r="D706" s="34">
        <v>7511</v>
      </c>
      <c r="E706" s="34">
        <v>51</v>
      </c>
      <c r="F706" s="34" t="s">
        <v>55</v>
      </c>
      <c r="G706" s="97">
        <v>0.69829958398682423</v>
      </c>
      <c r="H706" s="34">
        <v>5</v>
      </c>
    </row>
    <row r="707" spans="1:8" x14ac:dyDescent="0.3">
      <c r="A707" s="34">
        <v>706</v>
      </c>
      <c r="B707" s="34">
        <v>757</v>
      </c>
      <c r="C707" s="34">
        <v>6</v>
      </c>
      <c r="D707" s="34">
        <v>1299</v>
      </c>
      <c r="E707" s="34">
        <v>74</v>
      </c>
      <c r="F707" s="34" t="s">
        <v>54</v>
      </c>
      <c r="G707" s="97">
        <v>0.70165447991696961</v>
      </c>
      <c r="H707" s="34">
        <v>6</v>
      </c>
    </row>
    <row r="708" spans="1:8" x14ac:dyDescent="0.3">
      <c r="A708" s="34">
        <v>707</v>
      </c>
      <c r="B708" s="34">
        <v>446</v>
      </c>
      <c r="C708" s="34">
        <v>9</v>
      </c>
      <c r="D708" s="34">
        <v>1244</v>
      </c>
      <c r="E708" s="34">
        <v>41</v>
      </c>
      <c r="F708" s="34" t="s">
        <v>56</v>
      </c>
      <c r="G708" s="97">
        <v>0.70236130575518396</v>
      </c>
      <c r="H708" s="34">
        <v>7</v>
      </c>
    </row>
    <row r="709" spans="1:8" x14ac:dyDescent="0.3">
      <c r="A709" s="34">
        <v>708</v>
      </c>
      <c r="B709" s="34">
        <v>887</v>
      </c>
      <c r="C709" s="34">
        <v>24</v>
      </c>
      <c r="D709" s="34">
        <v>2825</v>
      </c>
      <c r="E709" s="34">
        <v>34</v>
      </c>
      <c r="F709" s="34" t="s">
        <v>54</v>
      </c>
      <c r="G709" s="97">
        <v>0.7025352436518898</v>
      </c>
      <c r="H709" s="34">
        <v>8</v>
      </c>
    </row>
    <row r="710" spans="1:8" x14ac:dyDescent="0.3">
      <c r="A710" s="34">
        <v>709</v>
      </c>
      <c r="B710" s="34">
        <v>311</v>
      </c>
      <c r="C710" s="34">
        <v>48</v>
      </c>
      <c r="D710" s="34">
        <v>5381</v>
      </c>
      <c r="E710" s="34">
        <v>40</v>
      </c>
      <c r="F710" s="34" t="s">
        <v>54</v>
      </c>
      <c r="G710" s="97">
        <v>0.7043860833074953</v>
      </c>
      <c r="H710" s="34">
        <v>9</v>
      </c>
    </row>
    <row r="711" spans="1:8" x14ac:dyDescent="0.3">
      <c r="A711" s="34">
        <v>710</v>
      </c>
      <c r="B711" s="34">
        <v>833</v>
      </c>
      <c r="C711" s="34">
        <v>45</v>
      </c>
      <c r="D711" s="34">
        <v>11816</v>
      </c>
      <c r="E711" s="34">
        <v>29</v>
      </c>
      <c r="F711" s="34" t="s">
        <v>55</v>
      </c>
      <c r="G711" s="97">
        <v>0.70516087881199263</v>
      </c>
      <c r="H711" s="34">
        <v>10</v>
      </c>
    </row>
    <row r="712" spans="1:8" x14ac:dyDescent="0.3">
      <c r="A712" s="34">
        <v>711</v>
      </c>
      <c r="B712" s="34">
        <v>88</v>
      </c>
      <c r="C712" s="34">
        <v>36</v>
      </c>
      <c r="D712" s="34">
        <v>12612</v>
      </c>
      <c r="E712" s="34">
        <v>47</v>
      </c>
      <c r="F712" s="34" t="s">
        <v>55</v>
      </c>
      <c r="G712" s="97">
        <v>0.7052479970601172</v>
      </c>
      <c r="H712" s="34">
        <v>11</v>
      </c>
    </row>
    <row r="713" spans="1:8" x14ac:dyDescent="0.3">
      <c r="A713" s="34">
        <v>712</v>
      </c>
      <c r="B713" s="34">
        <v>142</v>
      </c>
      <c r="C713" s="34">
        <v>36</v>
      </c>
      <c r="D713" s="34">
        <v>4795</v>
      </c>
      <c r="E713" s="34">
        <v>30</v>
      </c>
      <c r="F713" s="34" t="s">
        <v>56</v>
      </c>
      <c r="G713" s="97">
        <v>0.70537586918108219</v>
      </c>
      <c r="H713" s="34">
        <v>12</v>
      </c>
    </row>
    <row r="714" spans="1:8" x14ac:dyDescent="0.3">
      <c r="A714" s="34">
        <v>713</v>
      </c>
      <c r="B714" s="34">
        <v>103</v>
      </c>
      <c r="C714" s="34">
        <v>6</v>
      </c>
      <c r="D714" s="34">
        <v>932</v>
      </c>
      <c r="E714" s="34">
        <v>24</v>
      </c>
      <c r="F714" s="34" t="s">
        <v>56</v>
      </c>
      <c r="G714" s="97">
        <v>0.70883714215659033</v>
      </c>
      <c r="H714" s="34">
        <v>13</v>
      </c>
    </row>
    <row r="715" spans="1:8" x14ac:dyDescent="0.3">
      <c r="A715" s="34">
        <v>714</v>
      </c>
      <c r="B715" s="34">
        <v>406</v>
      </c>
      <c r="C715" s="34">
        <v>24</v>
      </c>
      <c r="D715" s="34">
        <v>2039</v>
      </c>
      <c r="E715" s="34">
        <v>22</v>
      </c>
      <c r="F715" s="34" t="s">
        <v>55</v>
      </c>
      <c r="G715" s="97">
        <v>0.71097886304832947</v>
      </c>
      <c r="H715" s="34">
        <v>14</v>
      </c>
    </row>
    <row r="716" spans="1:8" x14ac:dyDescent="0.3">
      <c r="A716" s="34">
        <v>715</v>
      </c>
      <c r="B716" s="34">
        <v>656</v>
      </c>
      <c r="C716" s="34">
        <v>14</v>
      </c>
      <c r="D716" s="34">
        <v>3973</v>
      </c>
      <c r="E716" s="34">
        <v>22</v>
      </c>
      <c r="F716" s="34" t="s">
        <v>54</v>
      </c>
      <c r="G716" s="97">
        <v>0.71418514713141368</v>
      </c>
      <c r="H716" s="34">
        <v>15</v>
      </c>
    </row>
    <row r="717" spans="1:8" x14ac:dyDescent="0.3">
      <c r="A717" s="34">
        <v>716</v>
      </c>
      <c r="B717" s="34">
        <v>191</v>
      </c>
      <c r="C717" s="34">
        <v>24</v>
      </c>
      <c r="D717" s="34">
        <v>4591</v>
      </c>
      <c r="E717" s="34">
        <v>54</v>
      </c>
      <c r="F717" s="34" t="s">
        <v>55</v>
      </c>
      <c r="G717" s="97">
        <v>0.71464575874292013</v>
      </c>
      <c r="H717" s="34">
        <v>16</v>
      </c>
    </row>
    <row r="718" spans="1:8" x14ac:dyDescent="0.3">
      <c r="A718" s="34">
        <v>717</v>
      </c>
      <c r="B718" s="34">
        <v>490</v>
      </c>
      <c r="C718" s="34">
        <v>6</v>
      </c>
      <c r="D718" s="34">
        <v>3518</v>
      </c>
      <c r="E718" s="34">
        <v>26</v>
      </c>
      <c r="F718" s="34" t="s">
        <v>54</v>
      </c>
      <c r="G718" s="97">
        <v>0.71516480722850739</v>
      </c>
      <c r="H718" s="34">
        <v>17</v>
      </c>
    </row>
    <row r="719" spans="1:8" x14ac:dyDescent="0.3">
      <c r="A719" s="34">
        <v>718</v>
      </c>
      <c r="B719" s="34">
        <v>102</v>
      </c>
      <c r="C719" s="34">
        <v>36</v>
      </c>
      <c r="D719" s="34">
        <v>2323</v>
      </c>
      <c r="E719" s="34">
        <v>24</v>
      </c>
      <c r="F719" s="34" t="s">
        <v>54</v>
      </c>
      <c r="G719" s="97">
        <v>0.71523185700910485</v>
      </c>
      <c r="H719" s="34">
        <v>18</v>
      </c>
    </row>
    <row r="720" spans="1:8" x14ac:dyDescent="0.3">
      <c r="A720" s="34">
        <v>719</v>
      </c>
      <c r="B720" s="34">
        <v>380</v>
      </c>
      <c r="C720" s="34">
        <v>6</v>
      </c>
      <c r="D720" s="34">
        <v>362</v>
      </c>
      <c r="E720" s="34">
        <v>52</v>
      </c>
      <c r="F720" s="34" t="s">
        <v>56</v>
      </c>
      <c r="G720" s="97">
        <v>0.71550827529908889</v>
      </c>
      <c r="H720" s="34">
        <v>19</v>
      </c>
    </row>
    <row r="721" spans="1:8" x14ac:dyDescent="0.3">
      <c r="A721" s="34">
        <v>720</v>
      </c>
      <c r="B721" s="34">
        <v>231</v>
      </c>
      <c r="C721" s="34">
        <v>36</v>
      </c>
      <c r="D721" s="34">
        <v>4210</v>
      </c>
      <c r="E721" s="34">
        <v>26</v>
      </c>
      <c r="F721" s="34" t="s">
        <v>55</v>
      </c>
      <c r="G721" s="97">
        <v>0.71612678544415909</v>
      </c>
      <c r="H721" s="34">
        <v>20</v>
      </c>
    </row>
    <row r="722" spans="1:8" x14ac:dyDescent="0.3">
      <c r="A722" s="34">
        <v>721</v>
      </c>
      <c r="B722" s="34">
        <v>69</v>
      </c>
      <c r="C722" s="34">
        <v>36</v>
      </c>
      <c r="D722" s="34">
        <v>1819</v>
      </c>
      <c r="E722" s="34">
        <v>37</v>
      </c>
      <c r="F722" s="34" t="s">
        <v>55</v>
      </c>
      <c r="G722" s="97">
        <v>0.71803242773993392</v>
      </c>
      <c r="H722" s="34">
        <v>21</v>
      </c>
    </row>
    <row r="723" spans="1:8" x14ac:dyDescent="0.3">
      <c r="A723" s="34">
        <v>722</v>
      </c>
      <c r="B723" s="34">
        <v>788</v>
      </c>
      <c r="C723" s="34">
        <v>48</v>
      </c>
      <c r="D723" s="34">
        <v>2751</v>
      </c>
      <c r="E723" s="34">
        <v>38</v>
      </c>
      <c r="F723" s="34" t="s">
        <v>54</v>
      </c>
      <c r="G723" s="97">
        <v>0.71833543988599335</v>
      </c>
      <c r="H723" s="34">
        <v>22</v>
      </c>
    </row>
    <row r="724" spans="1:8" x14ac:dyDescent="0.3">
      <c r="A724" s="34">
        <v>723</v>
      </c>
      <c r="B724" s="34">
        <v>262</v>
      </c>
      <c r="C724" s="34">
        <v>24</v>
      </c>
      <c r="D724" s="34">
        <v>1603</v>
      </c>
      <c r="E724" s="34">
        <v>55</v>
      </c>
      <c r="F724" s="34" t="s">
        <v>56</v>
      </c>
      <c r="G724" s="97">
        <v>0.718523990075151</v>
      </c>
      <c r="H724" s="34">
        <v>23</v>
      </c>
    </row>
    <row r="725" spans="1:8" x14ac:dyDescent="0.3">
      <c r="A725" s="34">
        <v>724</v>
      </c>
      <c r="B725" s="34">
        <v>536</v>
      </c>
      <c r="C725" s="34">
        <v>21</v>
      </c>
      <c r="D725" s="34">
        <v>2319</v>
      </c>
      <c r="E725" s="34">
        <v>33</v>
      </c>
      <c r="F725" s="34" t="s">
        <v>55</v>
      </c>
      <c r="G725" s="97">
        <v>0.71867246690527664</v>
      </c>
      <c r="H725" s="34">
        <v>24</v>
      </c>
    </row>
    <row r="726" spans="1:8" x14ac:dyDescent="0.3">
      <c r="A726" s="34">
        <v>725</v>
      </c>
      <c r="B726" s="34">
        <v>922</v>
      </c>
      <c r="C726" s="34">
        <v>48</v>
      </c>
      <c r="D726" s="34">
        <v>12749</v>
      </c>
      <c r="E726" s="34">
        <v>37</v>
      </c>
      <c r="F726" s="34" t="s">
        <v>54</v>
      </c>
      <c r="G726" s="97">
        <v>0.71899289833711855</v>
      </c>
      <c r="H726" s="34">
        <v>25</v>
      </c>
    </row>
    <row r="727" spans="1:8" x14ac:dyDescent="0.3">
      <c r="A727" s="34">
        <v>726</v>
      </c>
      <c r="B727" s="34">
        <v>149</v>
      </c>
      <c r="C727" s="34">
        <v>36</v>
      </c>
      <c r="D727" s="34">
        <v>5371</v>
      </c>
      <c r="E727" s="34">
        <v>28</v>
      </c>
      <c r="F727" s="34" t="s">
        <v>54</v>
      </c>
      <c r="G727" s="97">
        <v>0.71941730672727611</v>
      </c>
      <c r="H727" s="34">
        <v>26</v>
      </c>
    </row>
    <row r="728" spans="1:8" x14ac:dyDescent="0.3">
      <c r="A728" s="34">
        <v>727</v>
      </c>
      <c r="B728" s="34">
        <v>844</v>
      </c>
      <c r="C728" s="34">
        <v>24</v>
      </c>
      <c r="D728" s="34">
        <v>1559</v>
      </c>
      <c r="E728" s="34">
        <v>50</v>
      </c>
      <c r="F728" s="34" t="s">
        <v>54</v>
      </c>
      <c r="G728" s="97">
        <v>0.72322008528713044</v>
      </c>
      <c r="H728" s="34">
        <v>27</v>
      </c>
    </row>
    <row r="729" spans="1:8" x14ac:dyDescent="0.3">
      <c r="A729" s="34">
        <v>728</v>
      </c>
      <c r="B729" s="34">
        <v>286</v>
      </c>
      <c r="C729" s="34">
        <v>47</v>
      </c>
      <c r="D729" s="34">
        <v>10722</v>
      </c>
      <c r="E729" s="34">
        <v>35</v>
      </c>
      <c r="F729" s="34" t="s">
        <v>56</v>
      </c>
      <c r="G729" s="97">
        <v>0.72440762536271786</v>
      </c>
      <c r="H729" s="34">
        <v>28</v>
      </c>
    </row>
    <row r="730" spans="1:8" x14ac:dyDescent="0.3">
      <c r="A730" s="34">
        <v>729</v>
      </c>
      <c r="B730" s="34">
        <v>179</v>
      </c>
      <c r="C730" s="34">
        <v>12</v>
      </c>
      <c r="D730" s="34">
        <v>1963</v>
      </c>
      <c r="E730" s="34">
        <v>31</v>
      </c>
      <c r="F730" s="34" t="s">
        <v>54</v>
      </c>
      <c r="G730" s="97">
        <v>0.72447533652770757</v>
      </c>
      <c r="H730" s="34">
        <v>29</v>
      </c>
    </row>
    <row r="731" spans="1:8" x14ac:dyDescent="0.3">
      <c r="A731" s="34">
        <v>730</v>
      </c>
      <c r="B731" s="34">
        <v>732</v>
      </c>
      <c r="C731" s="34">
        <v>24</v>
      </c>
      <c r="D731" s="34">
        <v>1987</v>
      </c>
      <c r="E731" s="34">
        <v>21</v>
      </c>
      <c r="F731" s="34" t="s">
        <v>55</v>
      </c>
      <c r="G731" s="97">
        <v>0.72537354668991494</v>
      </c>
      <c r="H731" s="34">
        <v>30</v>
      </c>
    </row>
    <row r="732" spans="1:8" x14ac:dyDescent="0.3">
      <c r="A732" s="34">
        <v>731</v>
      </c>
      <c r="B732" s="34">
        <v>958</v>
      </c>
      <c r="C732" s="34">
        <v>9</v>
      </c>
      <c r="D732" s="34">
        <v>1154</v>
      </c>
      <c r="E732" s="34">
        <v>37</v>
      </c>
      <c r="F732" s="34" t="s">
        <v>54</v>
      </c>
      <c r="G732" s="97">
        <v>0.72725279899881767</v>
      </c>
      <c r="H732" s="34">
        <v>31</v>
      </c>
    </row>
    <row r="733" spans="1:8" x14ac:dyDescent="0.3">
      <c r="A733" s="34">
        <v>732</v>
      </c>
      <c r="B733" s="34">
        <v>336</v>
      </c>
      <c r="C733" s="34">
        <v>6</v>
      </c>
      <c r="D733" s="34">
        <v>3384</v>
      </c>
      <c r="E733" s="34">
        <v>44</v>
      </c>
      <c r="F733" s="34" t="s">
        <v>55</v>
      </c>
      <c r="G733" s="97">
        <v>0.73023778810320461</v>
      </c>
      <c r="H733" s="34">
        <v>32</v>
      </c>
    </row>
    <row r="734" spans="1:8" x14ac:dyDescent="0.3">
      <c r="A734" s="34">
        <v>733</v>
      </c>
      <c r="B734" s="34">
        <v>642</v>
      </c>
      <c r="C734" s="34">
        <v>15</v>
      </c>
      <c r="D734" s="34">
        <v>1308</v>
      </c>
      <c r="E734" s="34">
        <v>38</v>
      </c>
      <c r="F734" s="34" t="s">
        <v>54</v>
      </c>
      <c r="G734" s="97">
        <v>0.73046132089420279</v>
      </c>
      <c r="H734" s="34">
        <v>33</v>
      </c>
    </row>
    <row r="735" spans="1:8" x14ac:dyDescent="0.3">
      <c r="A735" s="34">
        <v>734</v>
      </c>
      <c r="B735" s="34">
        <v>930</v>
      </c>
      <c r="C735" s="34">
        <v>12</v>
      </c>
      <c r="D735" s="34">
        <v>1344</v>
      </c>
      <c r="E735" s="34">
        <v>43</v>
      </c>
      <c r="F735" s="34" t="s">
        <v>54</v>
      </c>
      <c r="G735" s="97">
        <v>0.73213288363258966</v>
      </c>
      <c r="H735" s="34">
        <v>34</v>
      </c>
    </row>
    <row r="736" spans="1:8" x14ac:dyDescent="0.3">
      <c r="A736" s="34">
        <v>735</v>
      </c>
      <c r="B736" s="34">
        <v>706</v>
      </c>
      <c r="C736" s="34">
        <v>15</v>
      </c>
      <c r="D736" s="34">
        <v>5324</v>
      </c>
      <c r="E736" s="34">
        <v>35</v>
      </c>
      <c r="F736" s="34" t="s">
        <v>56</v>
      </c>
      <c r="G736" s="97">
        <v>0.73276314722080194</v>
      </c>
      <c r="H736" s="34">
        <v>35</v>
      </c>
    </row>
    <row r="737" spans="1:8" x14ac:dyDescent="0.3">
      <c r="A737" s="34">
        <v>736</v>
      </c>
      <c r="B737" s="34">
        <v>53</v>
      </c>
      <c r="C737" s="34">
        <v>12</v>
      </c>
      <c r="D737" s="34">
        <v>1262</v>
      </c>
      <c r="E737" s="34">
        <v>25</v>
      </c>
      <c r="F737" s="34" t="s">
        <v>54</v>
      </c>
      <c r="G737" s="97">
        <v>0.7329136122621569</v>
      </c>
      <c r="H737" s="34">
        <v>36</v>
      </c>
    </row>
    <row r="738" spans="1:8" x14ac:dyDescent="0.3">
      <c r="A738" s="34">
        <v>737</v>
      </c>
      <c r="B738" s="34">
        <v>254</v>
      </c>
      <c r="C738" s="34">
        <v>24</v>
      </c>
      <c r="D738" s="34">
        <v>4151</v>
      </c>
      <c r="E738" s="34">
        <v>35</v>
      </c>
      <c r="F738" s="34" t="s">
        <v>54</v>
      </c>
      <c r="G738" s="97">
        <v>0.73334272951794122</v>
      </c>
      <c r="H738" s="34">
        <v>37</v>
      </c>
    </row>
    <row r="739" spans="1:8" x14ac:dyDescent="0.3">
      <c r="A739" s="34">
        <v>738</v>
      </c>
      <c r="B739" s="34">
        <v>328</v>
      </c>
      <c r="C739" s="34">
        <v>24</v>
      </c>
      <c r="D739" s="34">
        <v>1525</v>
      </c>
      <c r="E739" s="34">
        <v>34</v>
      </c>
      <c r="F739" s="34" t="s">
        <v>56</v>
      </c>
      <c r="G739" s="97">
        <v>0.7336583140369467</v>
      </c>
      <c r="H739" s="34">
        <v>38</v>
      </c>
    </row>
    <row r="740" spans="1:8" x14ac:dyDescent="0.3">
      <c r="A740" s="34">
        <v>739</v>
      </c>
      <c r="B740" s="34">
        <v>974</v>
      </c>
      <c r="C740" s="34">
        <v>60</v>
      </c>
      <c r="D740" s="34">
        <v>7297</v>
      </c>
      <c r="E740" s="34">
        <v>36</v>
      </c>
      <c r="F740" s="34" t="s">
        <v>55</v>
      </c>
      <c r="G740" s="97">
        <v>0.73370151867490752</v>
      </c>
      <c r="H740" s="34">
        <v>39</v>
      </c>
    </row>
    <row r="741" spans="1:8" x14ac:dyDescent="0.3">
      <c r="A741" s="34">
        <v>740</v>
      </c>
      <c r="B741" s="34">
        <v>321</v>
      </c>
      <c r="C741" s="34">
        <v>30</v>
      </c>
      <c r="D741" s="34">
        <v>4249</v>
      </c>
      <c r="E741" s="34">
        <v>28</v>
      </c>
      <c r="F741" s="34" t="s">
        <v>55</v>
      </c>
      <c r="G741" s="97">
        <v>0.73506638835894034</v>
      </c>
      <c r="H741" s="34">
        <v>40</v>
      </c>
    </row>
    <row r="742" spans="1:8" x14ac:dyDescent="0.3">
      <c r="A742" s="34">
        <v>741</v>
      </c>
      <c r="B742" s="34">
        <v>631</v>
      </c>
      <c r="C742" s="34">
        <v>24</v>
      </c>
      <c r="D742" s="34">
        <v>3660</v>
      </c>
      <c r="E742" s="34">
        <v>28</v>
      </c>
      <c r="F742" s="34" t="s">
        <v>56</v>
      </c>
      <c r="G742" s="97">
        <v>0.73583290791493072</v>
      </c>
      <c r="H742" s="34">
        <v>41</v>
      </c>
    </row>
    <row r="743" spans="1:8" x14ac:dyDescent="0.3">
      <c r="A743" s="34">
        <v>742</v>
      </c>
      <c r="B743" s="34">
        <v>835</v>
      </c>
      <c r="C743" s="34">
        <v>15</v>
      </c>
      <c r="D743" s="34">
        <v>2327</v>
      </c>
      <c r="E743" s="34">
        <v>25</v>
      </c>
      <c r="F743" s="34" t="s">
        <v>57</v>
      </c>
      <c r="G743" s="97">
        <v>0.73594774216428793</v>
      </c>
      <c r="H743" s="34">
        <v>42</v>
      </c>
    </row>
    <row r="744" spans="1:8" x14ac:dyDescent="0.3">
      <c r="A744" s="34">
        <v>743</v>
      </c>
      <c r="B744" s="34">
        <v>473</v>
      </c>
      <c r="C744" s="34">
        <v>9</v>
      </c>
      <c r="D744" s="34">
        <v>654</v>
      </c>
      <c r="E744" s="34">
        <v>28</v>
      </c>
      <c r="F744" s="34" t="s">
        <v>55</v>
      </c>
      <c r="G744" s="97">
        <v>0.73598978831795059</v>
      </c>
      <c r="H744" s="34">
        <v>43</v>
      </c>
    </row>
    <row r="745" spans="1:8" x14ac:dyDescent="0.3">
      <c r="A745" s="34">
        <v>744</v>
      </c>
      <c r="B745" s="34">
        <v>591</v>
      </c>
      <c r="C745" s="34">
        <v>12</v>
      </c>
      <c r="D745" s="34">
        <v>385</v>
      </c>
      <c r="E745" s="34">
        <v>58</v>
      </c>
      <c r="F745" s="34" t="s">
        <v>56</v>
      </c>
      <c r="G745" s="97">
        <v>0.7373171267241575</v>
      </c>
      <c r="H745" s="34">
        <v>44</v>
      </c>
    </row>
    <row r="746" spans="1:8" x14ac:dyDescent="0.3">
      <c r="A746" s="34">
        <v>745</v>
      </c>
      <c r="B746" s="34">
        <v>225</v>
      </c>
      <c r="C746" s="34">
        <v>15</v>
      </c>
      <c r="D746" s="34">
        <v>4657</v>
      </c>
      <c r="E746" s="34">
        <v>30</v>
      </c>
      <c r="F746" s="34" t="s">
        <v>54</v>
      </c>
      <c r="G746" s="97">
        <v>0.73747232416555075</v>
      </c>
      <c r="H746" s="34">
        <v>45</v>
      </c>
    </row>
    <row r="747" spans="1:8" x14ac:dyDescent="0.3">
      <c r="A747" s="34">
        <v>746</v>
      </c>
      <c r="B747" s="34">
        <v>353</v>
      </c>
      <c r="C747" s="34">
        <v>18</v>
      </c>
      <c r="D747" s="34">
        <v>3229</v>
      </c>
      <c r="E747" s="34">
        <v>38</v>
      </c>
      <c r="F747" s="34" t="s">
        <v>54</v>
      </c>
      <c r="G747" s="97">
        <v>0.73921775365595688</v>
      </c>
      <c r="H747" s="34">
        <v>46</v>
      </c>
    </row>
    <row r="748" spans="1:8" x14ac:dyDescent="0.3">
      <c r="A748" s="34">
        <v>747</v>
      </c>
      <c r="B748" s="34">
        <v>574</v>
      </c>
      <c r="C748" s="34">
        <v>15</v>
      </c>
      <c r="D748" s="34">
        <v>806</v>
      </c>
      <c r="E748" s="34">
        <v>22</v>
      </c>
      <c r="F748" s="34" t="s">
        <v>56</v>
      </c>
      <c r="G748" s="97">
        <v>0.74063857486162188</v>
      </c>
      <c r="H748" s="34">
        <v>47</v>
      </c>
    </row>
    <row r="749" spans="1:8" x14ac:dyDescent="0.3">
      <c r="A749" s="34">
        <v>748</v>
      </c>
      <c r="B749" s="34">
        <v>697</v>
      </c>
      <c r="C749" s="34">
        <v>12</v>
      </c>
      <c r="D749" s="34">
        <v>1103</v>
      </c>
      <c r="E749" s="34">
        <v>29</v>
      </c>
      <c r="F749" s="34" t="s">
        <v>54</v>
      </c>
      <c r="G749" s="97">
        <v>0.74139078649993617</v>
      </c>
      <c r="H749" s="34">
        <v>48</v>
      </c>
    </row>
    <row r="750" spans="1:8" x14ac:dyDescent="0.3">
      <c r="A750" s="34">
        <v>749</v>
      </c>
      <c r="B750" s="34">
        <v>959</v>
      </c>
      <c r="C750" s="34">
        <v>28</v>
      </c>
      <c r="D750" s="34">
        <v>4006</v>
      </c>
      <c r="E750" s="34">
        <v>45</v>
      </c>
      <c r="F750" s="34" t="s">
        <v>55</v>
      </c>
      <c r="G750" s="97">
        <v>0.74167452254942268</v>
      </c>
      <c r="H750" s="34">
        <v>49</v>
      </c>
    </row>
    <row r="751" spans="1:8" x14ac:dyDescent="0.3">
      <c r="A751" s="34">
        <v>750</v>
      </c>
      <c r="B751" s="34">
        <v>828</v>
      </c>
      <c r="C751" s="34">
        <v>18</v>
      </c>
      <c r="D751" s="34">
        <v>4165</v>
      </c>
      <c r="E751" s="34">
        <v>36</v>
      </c>
      <c r="F751" s="34" t="s">
        <v>55</v>
      </c>
      <c r="G751" s="97">
        <v>0.74396284831470272</v>
      </c>
      <c r="H751" s="34">
        <v>50</v>
      </c>
    </row>
    <row r="752" spans="1:8" x14ac:dyDescent="0.3">
      <c r="A752" s="34">
        <v>751</v>
      </c>
      <c r="B752" s="34">
        <v>540</v>
      </c>
      <c r="C752" s="34">
        <v>18</v>
      </c>
      <c r="D752" s="34">
        <v>3049</v>
      </c>
      <c r="E752" s="34">
        <v>45</v>
      </c>
      <c r="F752" s="34" t="s">
        <v>56</v>
      </c>
      <c r="G752" s="97">
        <v>0.74514709637081955</v>
      </c>
      <c r="H752" s="34">
        <v>1</v>
      </c>
    </row>
    <row r="753" spans="1:8" x14ac:dyDescent="0.3">
      <c r="A753" s="34">
        <v>752</v>
      </c>
      <c r="B753" s="34">
        <v>38</v>
      </c>
      <c r="C753" s="34">
        <v>18</v>
      </c>
      <c r="D753" s="34">
        <v>2100</v>
      </c>
      <c r="E753" s="34">
        <v>37</v>
      </c>
      <c r="F753" s="34" t="s">
        <v>55</v>
      </c>
      <c r="G753" s="97">
        <v>0.74521729815464011</v>
      </c>
      <c r="H753" s="34">
        <v>2</v>
      </c>
    </row>
    <row r="754" spans="1:8" x14ac:dyDescent="0.3">
      <c r="A754" s="34">
        <v>753</v>
      </c>
      <c r="B754" s="34">
        <v>995</v>
      </c>
      <c r="C754" s="34">
        <v>12</v>
      </c>
      <c r="D754" s="34">
        <v>2390</v>
      </c>
      <c r="E754" s="34">
        <v>50</v>
      </c>
      <c r="F754" s="34" t="s">
        <v>54</v>
      </c>
      <c r="G754" s="97">
        <v>0.74863548243127798</v>
      </c>
      <c r="H754" s="34">
        <v>3</v>
      </c>
    </row>
    <row r="755" spans="1:8" x14ac:dyDescent="0.3">
      <c r="A755" s="34">
        <v>754</v>
      </c>
      <c r="B755" s="34">
        <v>737</v>
      </c>
      <c r="C755" s="34">
        <v>24</v>
      </c>
      <c r="D755" s="34">
        <v>11560</v>
      </c>
      <c r="E755" s="34">
        <v>23</v>
      </c>
      <c r="F755" s="34" t="s">
        <v>57</v>
      </c>
      <c r="G755" s="97">
        <v>0.74938126422746687</v>
      </c>
      <c r="H755" s="34">
        <v>4</v>
      </c>
    </row>
    <row r="756" spans="1:8" x14ac:dyDescent="0.3">
      <c r="A756" s="34">
        <v>755</v>
      </c>
      <c r="B756" s="34">
        <v>45</v>
      </c>
      <c r="C756" s="34">
        <v>48</v>
      </c>
      <c r="D756" s="34">
        <v>6143</v>
      </c>
      <c r="E756" s="34">
        <v>58</v>
      </c>
      <c r="F756" s="34" t="s">
        <v>57</v>
      </c>
      <c r="G756" s="97">
        <v>0.75000744800870722</v>
      </c>
      <c r="H756" s="34">
        <v>5</v>
      </c>
    </row>
    <row r="757" spans="1:8" x14ac:dyDescent="0.3">
      <c r="A757" s="34">
        <v>756</v>
      </c>
      <c r="B757" s="34">
        <v>699</v>
      </c>
      <c r="C757" s="34">
        <v>18</v>
      </c>
      <c r="D757" s="34">
        <v>1800</v>
      </c>
      <c r="E757" s="34">
        <v>24</v>
      </c>
      <c r="F757" s="34" t="s">
        <v>54</v>
      </c>
      <c r="G757" s="97">
        <v>0.75161531625169531</v>
      </c>
      <c r="H757" s="34">
        <v>6</v>
      </c>
    </row>
    <row r="758" spans="1:8" x14ac:dyDescent="0.3">
      <c r="A758" s="34">
        <v>757</v>
      </c>
      <c r="B758" s="34">
        <v>544</v>
      </c>
      <c r="C758" s="34">
        <v>18</v>
      </c>
      <c r="D758" s="34">
        <v>2864</v>
      </c>
      <c r="E758" s="34">
        <v>34</v>
      </c>
      <c r="F758" s="34" t="s">
        <v>55</v>
      </c>
      <c r="G758" s="97">
        <v>0.75177722822197424</v>
      </c>
      <c r="H758" s="34">
        <v>7</v>
      </c>
    </row>
    <row r="759" spans="1:8" x14ac:dyDescent="0.3">
      <c r="A759" s="34">
        <v>758</v>
      </c>
      <c r="B759" s="34">
        <v>244</v>
      </c>
      <c r="C759" s="34">
        <v>12</v>
      </c>
      <c r="D759" s="34">
        <v>1185</v>
      </c>
      <c r="E759" s="34">
        <v>27</v>
      </c>
      <c r="F759" s="34" t="s">
        <v>56</v>
      </c>
      <c r="G759" s="97">
        <v>0.75256870709519519</v>
      </c>
      <c r="H759" s="34">
        <v>8</v>
      </c>
    </row>
    <row r="760" spans="1:8" x14ac:dyDescent="0.3">
      <c r="A760" s="34">
        <v>759</v>
      </c>
      <c r="B760" s="34">
        <v>287</v>
      </c>
      <c r="C760" s="34">
        <v>48</v>
      </c>
      <c r="D760" s="34">
        <v>4788</v>
      </c>
      <c r="E760" s="34">
        <v>26</v>
      </c>
      <c r="F760" s="34" t="s">
        <v>54</v>
      </c>
      <c r="G760" s="97">
        <v>0.75327156422714003</v>
      </c>
      <c r="H760" s="34">
        <v>9</v>
      </c>
    </row>
    <row r="761" spans="1:8" x14ac:dyDescent="0.3">
      <c r="A761" s="34">
        <v>760</v>
      </c>
      <c r="B761" s="34">
        <v>674</v>
      </c>
      <c r="C761" s="34">
        <v>6</v>
      </c>
      <c r="D761" s="34">
        <v>2080</v>
      </c>
      <c r="E761" s="34">
        <v>24</v>
      </c>
      <c r="F761" s="34" t="s">
        <v>54</v>
      </c>
      <c r="G761" s="97">
        <v>0.75423518702177594</v>
      </c>
      <c r="H761" s="34">
        <v>10</v>
      </c>
    </row>
    <row r="762" spans="1:8" x14ac:dyDescent="0.3">
      <c r="A762" s="34">
        <v>761</v>
      </c>
      <c r="B762" s="34">
        <v>917</v>
      </c>
      <c r="C762" s="34">
        <v>10</v>
      </c>
      <c r="D762" s="34">
        <v>2848</v>
      </c>
      <c r="E762" s="34">
        <v>32</v>
      </c>
      <c r="F762" s="34" t="s">
        <v>54</v>
      </c>
      <c r="G762" s="97">
        <v>0.7551603862605144</v>
      </c>
      <c r="H762" s="34">
        <v>11</v>
      </c>
    </row>
    <row r="763" spans="1:8" x14ac:dyDescent="0.3">
      <c r="A763" s="34">
        <v>762</v>
      </c>
      <c r="B763" s="34">
        <v>620</v>
      </c>
      <c r="C763" s="34">
        <v>12</v>
      </c>
      <c r="D763" s="34">
        <v>640</v>
      </c>
      <c r="E763" s="34">
        <v>49</v>
      </c>
      <c r="F763" s="34" t="s">
        <v>54</v>
      </c>
      <c r="G763" s="97">
        <v>0.75564551659071055</v>
      </c>
      <c r="H763" s="34">
        <v>12</v>
      </c>
    </row>
    <row r="764" spans="1:8" x14ac:dyDescent="0.3">
      <c r="A764" s="34">
        <v>763</v>
      </c>
      <c r="B764" s="34">
        <v>220</v>
      </c>
      <c r="C764" s="34">
        <v>10</v>
      </c>
      <c r="D764" s="34">
        <v>1364</v>
      </c>
      <c r="E764" s="34">
        <v>64</v>
      </c>
      <c r="F764" s="34" t="s">
        <v>56</v>
      </c>
      <c r="G764" s="97">
        <v>0.75668852991596036</v>
      </c>
      <c r="H764" s="34">
        <v>13</v>
      </c>
    </row>
    <row r="765" spans="1:8" x14ac:dyDescent="0.3">
      <c r="A765" s="34">
        <v>764</v>
      </c>
      <c r="B765" s="34">
        <v>481</v>
      </c>
      <c r="C765" s="34">
        <v>12</v>
      </c>
      <c r="D765" s="34">
        <v>3573</v>
      </c>
      <c r="E765" s="34">
        <v>23</v>
      </c>
      <c r="F765" s="34" t="s">
        <v>56</v>
      </c>
      <c r="G765" s="97">
        <v>0.75733751039819486</v>
      </c>
      <c r="H765" s="34">
        <v>14</v>
      </c>
    </row>
    <row r="766" spans="1:8" x14ac:dyDescent="0.3">
      <c r="A766" s="34">
        <v>765</v>
      </c>
      <c r="B766" s="34">
        <v>780</v>
      </c>
      <c r="C766" s="34">
        <v>18</v>
      </c>
      <c r="D766" s="34">
        <v>3872</v>
      </c>
      <c r="E766" s="34">
        <v>67</v>
      </c>
      <c r="F766" s="34" t="s">
        <v>56</v>
      </c>
      <c r="G766" s="97">
        <v>0.75812398297640293</v>
      </c>
      <c r="H766" s="34">
        <v>15</v>
      </c>
    </row>
    <row r="767" spans="1:8" x14ac:dyDescent="0.3">
      <c r="A767" s="34">
        <v>766</v>
      </c>
      <c r="B767" s="34">
        <v>516</v>
      </c>
      <c r="C767" s="34">
        <v>6</v>
      </c>
      <c r="D767" s="34">
        <v>609</v>
      </c>
      <c r="E767" s="34">
        <v>37</v>
      </c>
      <c r="F767" s="34" t="s">
        <v>56</v>
      </c>
      <c r="G767" s="97">
        <v>0.76002345028258378</v>
      </c>
      <c r="H767" s="34">
        <v>16</v>
      </c>
    </row>
    <row r="768" spans="1:8" x14ac:dyDescent="0.3">
      <c r="A768" s="34">
        <v>767</v>
      </c>
      <c r="B768" s="34">
        <v>114</v>
      </c>
      <c r="C768" s="34">
        <v>36</v>
      </c>
      <c r="D768" s="34">
        <v>7855</v>
      </c>
      <c r="E768" s="34">
        <v>25</v>
      </c>
      <c r="F768" s="34" t="s">
        <v>57</v>
      </c>
      <c r="G768" s="97">
        <v>0.76005535549750169</v>
      </c>
      <c r="H768" s="34">
        <v>17</v>
      </c>
    </row>
    <row r="769" spans="1:8" x14ac:dyDescent="0.3">
      <c r="A769" s="34">
        <v>768</v>
      </c>
      <c r="B769" s="34">
        <v>48</v>
      </c>
      <c r="C769" s="34">
        <v>6</v>
      </c>
      <c r="D769" s="34">
        <v>1352</v>
      </c>
      <c r="E769" s="34">
        <v>23</v>
      </c>
      <c r="F769" s="34" t="s">
        <v>56</v>
      </c>
      <c r="G769" s="97">
        <v>0.7612113521612407</v>
      </c>
      <c r="H769" s="34">
        <v>18</v>
      </c>
    </row>
    <row r="770" spans="1:8" x14ac:dyDescent="0.3">
      <c r="A770" s="34">
        <v>769</v>
      </c>
      <c r="B770" s="34">
        <v>67</v>
      </c>
      <c r="C770" s="34">
        <v>12</v>
      </c>
      <c r="D770" s="34">
        <v>2171</v>
      </c>
      <c r="E770" s="34">
        <v>29</v>
      </c>
      <c r="F770" s="34" t="s">
        <v>56</v>
      </c>
      <c r="G770" s="97">
        <v>0.76283969388663364</v>
      </c>
      <c r="H770" s="34">
        <v>19</v>
      </c>
    </row>
    <row r="771" spans="1:8" x14ac:dyDescent="0.3">
      <c r="A771" s="34">
        <v>770</v>
      </c>
      <c r="B771" s="34">
        <v>36</v>
      </c>
      <c r="C771" s="34">
        <v>45</v>
      </c>
      <c r="D771" s="34">
        <v>4746</v>
      </c>
      <c r="E771" s="34">
        <v>25</v>
      </c>
      <c r="F771" s="34" t="s">
        <v>55</v>
      </c>
      <c r="G771" s="97">
        <v>0.76351419911911755</v>
      </c>
      <c r="H771" s="34">
        <v>20</v>
      </c>
    </row>
    <row r="772" spans="1:8" x14ac:dyDescent="0.3">
      <c r="A772" s="34">
        <v>771</v>
      </c>
      <c r="B772" s="34">
        <v>777</v>
      </c>
      <c r="C772" s="34">
        <v>36</v>
      </c>
      <c r="D772" s="34">
        <v>3535</v>
      </c>
      <c r="E772" s="34">
        <v>37</v>
      </c>
      <c r="F772" s="34" t="s">
        <v>54</v>
      </c>
      <c r="G772" s="97">
        <v>0.76536070349880014</v>
      </c>
      <c r="H772" s="34">
        <v>21</v>
      </c>
    </row>
    <row r="773" spans="1:8" x14ac:dyDescent="0.3">
      <c r="A773" s="34">
        <v>772</v>
      </c>
      <c r="B773" s="34">
        <v>691</v>
      </c>
      <c r="C773" s="34">
        <v>15</v>
      </c>
      <c r="D773" s="34">
        <v>975</v>
      </c>
      <c r="E773" s="34">
        <v>25</v>
      </c>
      <c r="F773" s="34" t="s">
        <v>54</v>
      </c>
      <c r="G773" s="97">
        <v>0.76563155827255414</v>
      </c>
      <c r="H773" s="34">
        <v>22</v>
      </c>
    </row>
    <row r="774" spans="1:8" x14ac:dyDescent="0.3">
      <c r="A774" s="34">
        <v>773</v>
      </c>
      <c r="B774" s="34">
        <v>715</v>
      </c>
      <c r="C774" s="34">
        <v>60</v>
      </c>
      <c r="D774" s="34">
        <v>14027</v>
      </c>
      <c r="E774" s="34">
        <v>27</v>
      </c>
      <c r="F774" s="34" t="s">
        <v>55</v>
      </c>
      <c r="G774" s="97">
        <v>0.76614663997309318</v>
      </c>
      <c r="H774" s="34">
        <v>23</v>
      </c>
    </row>
    <row r="775" spans="1:8" x14ac:dyDescent="0.3">
      <c r="A775" s="34">
        <v>774</v>
      </c>
      <c r="B775" s="34">
        <v>942</v>
      </c>
      <c r="C775" s="34">
        <v>10</v>
      </c>
      <c r="D775" s="34">
        <v>1546</v>
      </c>
      <c r="E775" s="34">
        <v>31</v>
      </c>
      <c r="F775" s="34" t="s">
        <v>54</v>
      </c>
      <c r="G775" s="97">
        <v>0.76984452006470738</v>
      </c>
      <c r="H775" s="34">
        <v>24</v>
      </c>
    </row>
    <row r="776" spans="1:8" x14ac:dyDescent="0.3">
      <c r="A776" s="34">
        <v>775</v>
      </c>
      <c r="B776" s="34">
        <v>173</v>
      </c>
      <c r="C776" s="34">
        <v>24</v>
      </c>
      <c r="D776" s="34">
        <v>2064</v>
      </c>
      <c r="E776" s="34">
        <v>34</v>
      </c>
      <c r="F776" s="34" t="s">
        <v>57</v>
      </c>
      <c r="G776" s="97">
        <v>0.77513629708357989</v>
      </c>
      <c r="H776" s="34">
        <v>25</v>
      </c>
    </row>
    <row r="777" spans="1:8" x14ac:dyDescent="0.3">
      <c r="A777" s="34">
        <v>776</v>
      </c>
      <c r="B777" s="34">
        <v>351</v>
      </c>
      <c r="C777" s="34">
        <v>9</v>
      </c>
      <c r="D777" s="34">
        <v>1236</v>
      </c>
      <c r="E777" s="34">
        <v>23</v>
      </c>
      <c r="F777" s="34" t="s">
        <v>56</v>
      </c>
      <c r="G777" s="97">
        <v>0.77535720578447576</v>
      </c>
      <c r="H777" s="34">
        <v>26</v>
      </c>
    </row>
    <row r="778" spans="1:8" x14ac:dyDescent="0.3">
      <c r="A778" s="34">
        <v>777</v>
      </c>
      <c r="B778" s="34">
        <v>726</v>
      </c>
      <c r="C778" s="34">
        <v>6</v>
      </c>
      <c r="D778" s="34">
        <v>250</v>
      </c>
      <c r="E778" s="34">
        <v>41</v>
      </c>
      <c r="F778" s="34" t="s">
        <v>56</v>
      </c>
      <c r="G778" s="97">
        <v>0.776878136601449</v>
      </c>
      <c r="H778" s="34">
        <v>27</v>
      </c>
    </row>
    <row r="779" spans="1:8" x14ac:dyDescent="0.3">
      <c r="A779" s="34">
        <v>778</v>
      </c>
      <c r="B779" s="34">
        <v>518</v>
      </c>
      <c r="C779" s="34">
        <v>36</v>
      </c>
      <c r="D779" s="34">
        <v>7127</v>
      </c>
      <c r="E779" s="34">
        <v>23</v>
      </c>
      <c r="F779" s="34" t="s">
        <v>57</v>
      </c>
      <c r="G779" s="97">
        <v>0.77801305496095086</v>
      </c>
      <c r="H779" s="34">
        <v>28</v>
      </c>
    </row>
    <row r="780" spans="1:8" x14ac:dyDescent="0.3">
      <c r="A780" s="34">
        <v>779</v>
      </c>
      <c r="B780" s="34">
        <v>51</v>
      </c>
      <c r="C780" s="34">
        <v>24</v>
      </c>
      <c r="D780" s="34">
        <v>2333</v>
      </c>
      <c r="E780" s="34">
        <v>29</v>
      </c>
      <c r="F780" s="34" t="s">
        <v>54</v>
      </c>
      <c r="G780" s="97">
        <v>0.77828061504781643</v>
      </c>
      <c r="H780" s="34">
        <v>29</v>
      </c>
    </row>
    <row r="781" spans="1:8" x14ac:dyDescent="0.3">
      <c r="A781" s="34">
        <v>780</v>
      </c>
      <c r="B781" s="34">
        <v>312</v>
      </c>
      <c r="C781" s="34">
        <v>24</v>
      </c>
      <c r="D781" s="34">
        <v>5511</v>
      </c>
      <c r="E781" s="34">
        <v>25</v>
      </c>
      <c r="F781" s="34" t="s">
        <v>54</v>
      </c>
      <c r="G781" s="97">
        <v>0.77943778310418954</v>
      </c>
      <c r="H781" s="34">
        <v>30</v>
      </c>
    </row>
    <row r="782" spans="1:8" x14ac:dyDescent="0.3">
      <c r="A782" s="34">
        <v>781</v>
      </c>
      <c r="B782" s="34">
        <v>75</v>
      </c>
      <c r="C782" s="34">
        <v>36</v>
      </c>
      <c r="D782" s="34">
        <v>1977</v>
      </c>
      <c r="E782" s="34">
        <v>40</v>
      </c>
      <c r="F782" s="34" t="s">
        <v>55</v>
      </c>
      <c r="G782" s="97">
        <v>0.7798013084486296</v>
      </c>
      <c r="H782" s="34">
        <v>31</v>
      </c>
    </row>
    <row r="783" spans="1:8" x14ac:dyDescent="0.3">
      <c r="A783" s="34">
        <v>782</v>
      </c>
      <c r="B783" s="34">
        <v>698</v>
      </c>
      <c r="C783" s="34">
        <v>12</v>
      </c>
      <c r="D783" s="34">
        <v>926</v>
      </c>
      <c r="E783" s="34">
        <v>38</v>
      </c>
      <c r="F783" s="34" t="s">
        <v>56</v>
      </c>
      <c r="G783" s="97">
        <v>0.78045300824147057</v>
      </c>
      <c r="H783" s="34">
        <v>32</v>
      </c>
    </row>
    <row r="784" spans="1:8" x14ac:dyDescent="0.3">
      <c r="A784" s="34">
        <v>783</v>
      </c>
      <c r="B784" s="34">
        <v>571</v>
      </c>
      <c r="C784" s="34">
        <v>24</v>
      </c>
      <c r="D784" s="34">
        <v>3234</v>
      </c>
      <c r="E784" s="34">
        <v>23</v>
      </c>
      <c r="F784" s="34" t="s">
        <v>57</v>
      </c>
      <c r="G784" s="97">
        <v>0.78063095469298804</v>
      </c>
      <c r="H784" s="34">
        <v>33</v>
      </c>
    </row>
    <row r="785" spans="1:8" x14ac:dyDescent="0.3">
      <c r="A785" s="34">
        <v>784</v>
      </c>
      <c r="B785" s="34">
        <v>764</v>
      </c>
      <c r="C785" s="34">
        <v>21</v>
      </c>
      <c r="D785" s="34">
        <v>12680</v>
      </c>
      <c r="E785" s="34">
        <v>30</v>
      </c>
      <c r="F785" s="34" t="s">
        <v>55</v>
      </c>
      <c r="G785" s="97">
        <v>0.78301385155738867</v>
      </c>
      <c r="H785" s="34">
        <v>34</v>
      </c>
    </row>
    <row r="786" spans="1:8" x14ac:dyDescent="0.3">
      <c r="A786" s="34">
        <v>785</v>
      </c>
      <c r="B786" s="34">
        <v>690</v>
      </c>
      <c r="C786" s="34">
        <v>12</v>
      </c>
      <c r="D786" s="34">
        <v>3651</v>
      </c>
      <c r="E786" s="34">
        <v>31</v>
      </c>
      <c r="F786" s="34" t="s">
        <v>54</v>
      </c>
      <c r="G786" s="97">
        <v>0.78356339654131157</v>
      </c>
      <c r="H786" s="34">
        <v>35</v>
      </c>
    </row>
    <row r="787" spans="1:8" x14ac:dyDescent="0.3">
      <c r="A787" s="34">
        <v>786</v>
      </c>
      <c r="B787" s="34">
        <v>407</v>
      </c>
      <c r="C787" s="34">
        <v>24</v>
      </c>
      <c r="D787" s="34">
        <v>2197</v>
      </c>
      <c r="E787" s="34">
        <v>43</v>
      </c>
      <c r="F787" s="34" t="s">
        <v>54</v>
      </c>
      <c r="G787" s="97">
        <v>0.78396549171949226</v>
      </c>
      <c r="H787" s="34">
        <v>36</v>
      </c>
    </row>
    <row r="788" spans="1:8" x14ac:dyDescent="0.3">
      <c r="A788" s="34">
        <v>787</v>
      </c>
      <c r="B788" s="34">
        <v>59</v>
      </c>
      <c r="C788" s="34">
        <v>18</v>
      </c>
      <c r="D788" s="34">
        <v>1961</v>
      </c>
      <c r="E788" s="34">
        <v>23</v>
      </c>
      <c r="F788" s="34" t="s">
        <v>56</v>
      </c>
      <c r="G788" s="97">
        <v>0.78567046220100623</v>
      </c>
      <c r="H788" s="34">
        <v>37</v>
      </c>
    </row>
    <row r="789" spans="1:8" x14ac:dyDescent="0.3">
      <c r="A789" s="34">
        <v>788</v>
      </c>
      <c r="B789" s="34">
        <v>293</v>
      </c>
      <c r="C789" s="34">
        <v>24</v>
      </c>
      <c r="D789" s="34">
        <v>6419</v>
      </c>
      <c r="E789" s="34">
        <v>44</v>
      </c>
      <c r="F789" s="34" t="s">
        <v>56</v>
      </c>
      <c r="G789" s="97">
        <v>0.78644436995464406</v>
      </c>
      <c r="H789" s="34">
        <v>38</v>
      </c>
    </row>
    <row r="790" spans="1:8" x14ac:dyDescent="0.3">
      <c r="A790" s="34">
        <v>789</v>
      </c>
      <c r="B790" s="34">
        <v>442</v>
      </c>
      <c r="C790" s="34">
        <v>12</v>
      </c>
      <c r="D790" s="34">
        <v>1620</v>
      </c>
      <c r="E790" s="34">
        <v>30</v>
      </c>
      <c r="F790" s="34" t="s">
        <v>56</v>
      </c>
      <c r="G790" s="97">
        <v>0.78709147416920211</v>
      </c>
      <c r="H790" s="34">
        <v>39</v>
      </c>
    </row>
    <row r="791" spans="1:8" x14ac:dyDescent="0.3">
      <c r="A791" s="34">
        <v>790</v>
      </c>
      <c r="B791" s="34">
        <v>829</v>
      </c>
      <c r="C791" s="34">
        <v>36</v>
      </c>
      <c r="D791" s="34">
        <v>8335</v>
      </c>
      <c r="E791" s="34">
        <v>47</v>
      </c>
      <c r="F791" s="34" t="s">
        <v>55</v>
      </c>
      <c r="G791" s="97">
        <v>0.78772664639591383</v>
      </c>
      <c r="H791" s="34">
        <v>40</v>
      </c>
    </row>
    <row r="792" spans="1:8" x14ac:dyDescent="0.3">
      <c r="A792" s="34">
        <v>791</v>
      </c>
      <c r="B792" s="34">
        <v>157</v>
      </c>
      <c r="C792" s="34">
        <v>9</v>
      </c>
      <c r="D792" s="34">
        <v>1288</v>
      </c>
      <c r="E792" s="34">
        <v>48</v>
      </c>
      <c r="F792" s="34" t="s">
        <v>54</v>
      </c>
      <c r="G792" s="97">
        <v>0.78808752419290518</v>
      </c>
      <c r="H792" s="34">
        <v>41</v>
      </c>
    </row>
    <row r="793" spans="1:8" x14ac:dyDescent="0.3">
      <c r="A793" s="34">
        <v>792</v>
      </c>
      <c r="B793" s="34">
        <v>503</v>
      </c>
      <c r="C793" s="34">
        <v>9</v>
      </c>
      <c r="D793" s="34">
        <v>1126</v>
      </c>
      <c r="E793" s="34">
        <v>49</v>
      </c>
      <c r="F793" s="34" t="s">
        <v>54</v>
      </c>
      <c r="G793" s="97">
        <v>0.78855470650328086</v>
      </c>
      <c r="H793" s="34">
        <v>42</v>
      </c>
    </row>
    <row r="794" spans="1:8" x14ac:dyDescent="0.3">
      <c r="A794" s="34">
        <v>793</v>
      </c>
      <c r="B794" s="34">
        <v>939</v>
      </c>
      <c r="C794" s="34">
        <v>60</v>
      </c>
      <c r="D794" s="34">
        <v>6288</v>
      </c>
      <c r="E794" s="34">
        <v>42</v>
      </c>
      <c r="F794" s="34" t="s">
        <v>55</v>
      </c>
      <c r="G794" s="97">
        <v>0.78878792881415349</v>
      </c>
      <c r="H794" s="34">
        <v>43</v>
      </c>
    </row>
    <row r="795" spans="1:8" x14ac:dyDescent="0.3">
      <c r="A795" s="34">
        <v>794</v>
      </c>
      <c r="B795" s="34">
        <v>273</v>
      </c>
      <c r="C795" s="34">
        <v>48</v>
      </c>
      <c r="D795" s="34">
        <v>12169</v>
      </c>
      <c r="E795" s="34">
        <v>36</v>
      </c>
      <c r="F795" s="34" t="s">
        <v>54</v>
      </c>
      <c r="G795" s="97">
        <v>0.7914716185823768</v>
      </c>
      <c r="H795" s="34">
        <v>44</v>
      </c>
    </row>
    <row r="796" spans="1:8" x14ac:dyDescent="0.3">
      <c r="A796" s="34">
        <v>795</v>
      </c>
      <c r="B796" s="34">
        <v>755</v>
      </c>
      <c r="C796" s="34">
        <v>12</v>
      </c>
      <c r="D796" s="34">
        <v>1555</v>
      </c>
      <c r="E796" s="34">
        <v>55</v>
      </c>
      <c r="F796" s="34" t="s">
        <v>55</v>
      </c>
      <c r="G796" s="97">
        <v>0.79452284202408352</v>
      </c>
      <c r="H796" s="34">
        <v>45</v>
      </c>
    </row>
    <row r="797" spans="1:8" x14ac:dyDescent="0.3">
      <c r="A797" s="34">
        <v>796</v>
      </c>
      <c r="B797" s="34">
        <v>719</v>
      </c>
      <c r="C797" s="34">
        <v>24</v>
      </c>
      <c r="D797" s="34">
        <v>3148</v>
      </c>
      <c r="E797" s="34">
        <v>31</v>
      </c>
      <c r="F797" s="34" t="s">
        <v>54</v>
      </c>
      <c r="G797" s="97">
        <v>0.79510585141706169</v>
      </c>
      <c r="H797" s="34">
        <v>46</v>
      </c>
    </row>
    <row r="798" spans="1:8" x14ac:dyDescent="0.3">
      <c r="A798" s="34">
        <v>797</v>
      </c>
      <c r="B798" s="34">
        <v>596</v>
      </c>
      <c r="C798" s="34">
        <v>6</v>
      </c>
      <c r="D798" s="34">
        <v>931</v>
      </c>
      <c r="E798" s="34">
        <v>32</v>
      </c>
      <c r="F798" s="34" t="s">
        <v>57</v>
      </c>
      <c r="G798" s="97">
        <v>0.80023654618879503</v>
      </c>
      <c r="H798" s="34">
        <v>47</v>
      </c>
    </row>
    <row r="799" spans="1:8" x14ac:dyDescent="0.3">
      <c r="A799" s="34">
        <v>798</v>
      </c>
      <c r="B799" s="34">
        <v>988</v>
      </c>
      <c r="C799" s="34">
        <v>13</v>
      </c>
      <c r="D799" s="34">
        <v>1409</v>
      </c>
      <c r="E799" s="34">
        <v>64</v>
      </c>
      <c r="F799" s="34" t="s">
        <v>56</v>
      </c>
      <c r="G799" s="97">
        <v>0.80081754075762213</v>
      </c>
      <c r="H799" s="34">
        <v>48</v>
      </c>
    </row>
    <row r="800" spans="1:8" x14ac:dyDescent="0.3">
      <c r="A800" s="34">
        <v>799</v>
      </c>
      <c r="B800" s="34">
        <v>383</v>
      </c>
      <c r="C800" s="34">
        <v>22</v>
      </c>
      <c r="D800" s="34">
        <v>1283</v>
      </c>
      <c r="E800" s="34">
        <v>25</v>
      </c>
      <c r="F800" s="34" t="s">
        <v>56</v>
      </c>
      <c r="G800" s="97">
        <v>0.80344619329842459</v>
      </c>
      <c r="H800" s="34">
        <v>49</v>
      </c>
    </row>
    <row r="801" spans="1:8" x14ac:dyDescent="0.3">
      <c r="A801" s="34">
        <v>800</v>
      </c>
      <c r="B801" s="34">
        <v>606</v>
      </c>
      <c r="C801" s="34">
        <v>24</v>
      </c>
      <c r="D801" s="34">
        <v>2828</v>
      </c>
      <c r="E801" s="34">
        <v>22</v>
      </c>
      <c r="F801" s="34" t="s">
        <v>54</v>
      </c>
      <c r="G801" s="97">
        <v>0.80415937118647429</v>
      </c>
      <c r="H801" s="34">
        <v>50</v>
      </c>
    </row>
    <row r="802" spans="1:8" x14ac:dyDescent="0.3">
      <c r="A802" s="34">
        <v>801</v>
      </c>
      <c r="B802" s="34">
        <v>56</v>
      </c>
      <c r="C802" s="34">
        <v>6</v>
      </c>
      <c r="D802" s="34">
        <v>783</v>
      </c>
      <c r="E802" s="34">
        <v>26</v>
      </c>
      <c r="F802" s="34" t="s">
        <v>54</v>
      </c>
      <c r="G802" s="97">
        <v>0.80418322906251216</v>
      </c>
      <c r="H802" s="34">
        <v>1</v>
      </c>
    </row>
    <row r="803" spans="1:8" x14ac:dyDescent="0.3">
      <c r="A803" s="34">
        <v>802</v>
      </c>
      <c r="B803" s="34">
        <v>990</v>
      </c>
      <c r="C803" s="34">
        <v>24</v>
      </c>
      <c r="D803" s="34">
        <v>1743</v>
      </c>
      <c r="E803" s="34">
        <v>48</v>
      </c>
      <c r="F803" s="34" t="s">
        <v>54</v>
      </c>
      <c r="G803" s="97">
        <v>0.80441233470755535</v>
      </c>
      <c r="H803" s="34">
        <v>2</v>
      </c>
    </row>
    <row r="804" spans="1:8" x14ac:dyDescent="0.3">
      <c r="A804" s="34">
        <v>803</v>
      </c>
      <c r="B804" s="34">
        <v>626</v>
      </c>
      <c r="C804" s="34">
        <v>15</v>
      </c>
      <c r="D804" s="34">
        <v>1979</v>
      </c>
      <c r="E804" s="34">
        <v>35</v>
      </c>
      <c r="F804" s="34" t="s">
        <v>54</v>
      </c>
      <c r="G804" s="97">
        <v>0.80451051860459433</v>
      </c>
      <c r="H804" s="34">
        <v>3</v>
      </c>
    </row>
    <row r="805" spans="1:8" x14ac:dyDescent="0.3">
      <c r="A805" s="34">
        <v>804</v>
      </c>
      <c r="B805" s="34">
        <v>641</v>
      </c>
      <c r="C805" s="34">
        <v>18</v>
      </c>
      <c r="D805" s="34">
        <v>750</v>
      </c>
      <c r="E805" s="34">
        <v>27</v>
      </c>
      <c r="F805" s="34" t="s">
        <v>57</v>
      </c>
      <c r="G805" s="97">
        <v>0.80585411430407472</v>
      </c>
      <c r="H805" s="34">
        <v>4</v>
      </c>
    </row>
    <row r="806" spans="1:8" x14ac:dyDescent="0.3">
      <c r="A806" s="34">
        <v>805</v>
      </c>
      <c r="B806" s="34">
        <v>916</v>
      </c>
      <c r="C806" s="34">
        <v>48</v>
      </c>
      <c r="D806" s="34">
        <v>18424</v>
      </c>
      <c r="E806" s="34">
        <v>32</v>
      </c>
      <c r="F806" s="34" t="s">
        <v>57</v>
      </c>
      <c r="G806" s="97">
        <v>0.80642436922445182</v>
      </c>
      <c r="H806" s="34">
        <v>5</v>
      </c>
    </row>
    <row r="807" spans="1:8" x14ac:dyDescent="0.3">
      <c r="A807" s="34">
        <v>806</v>
      </c>
      <c r="B807" s="34">
        <v>484</v>
      </c>
      <c r="C807" s="34">
        <v>15</v>
      </c>
      <c r="D807" s="34">
        <v>960</v>
      </c>
      <c r="E807" s="34">
        <v>30</v>
      </c>
      <c r="F807" s="34" t="s">
        <v>56</v>
      </c>
      <c r="G807" s="97">
        <v>0.80839250770713955</v>
      </c>
      <c r="H807" s="34">
        <v>6</v>
      </c>
    </row>
    <row r="808" spans="1:8" x14ac:dyDescent="0.3">
      <c r="A808" s="34">
        <v>807</v>
      </c>
      <c r="B808" s="34">
        <v>820</v>
      </c>
      <c r="C808" s="34">
        <v>18</v>
      </c>
      <c r="D808" s="34">
        <v>1345</v>
      </c>
      <c r="E808" s="34">
        <v>26</v>
      </c>
      <c r="F808" s="34" t="s">
        <v>55</v>
      </c>
      <c r="G808" s="97">
        <v>0.80953230464516068</v>
      </c>
      <c r="H808" s="34">
        <v>7</v>
      </c>
    </row>
    <row r="809" spans="1:8" x14ac:dyDescent="0.3">
      <c r="A809" s="34">
        <v>808</v>
      </c>
      <c r="B809" s="34">
        <v>3</v>
      </c>
      <c r="C809" s="34">
        <v>12</v>
      </c>
      <c r="D809" s="34">
        <v>2096</v>
      </c>
      <c r="E809" s="34">
        <v>49</v>
      </c>
      <c r="F809" s="34" t="s">
        <v>54</v>
      </c>
      <c r="G809" s="97">
        <v>0.8098227638627612</v>
      </c>
      <c r="H809" s="34">
        <v>8</v>
      </c>
    </row>
    <row r="810" spans="1:8" x14ac:dyDescent="0.3">
      <c r="A810" s="34">
        <v>809</v>
      </c>
      <c r="B810" s="34">
        <v>271</v>
      </c>
      <c r="C810" s="34">
        <v>18</v>
      </c>
      <c r="D810" s="34">
        <v>2662</v>
      </c>
      <c r="E810" s="34">
        <v>32</v>
      </c>
      <c r="F810" s="34" t="s">
        <v>54</v>
      </c>
      <c r="G810" s="97">
        <v>0.80988490352452258</v>
      </c>
      <c r="H810" s="34">
        <v>9</v>
      </c>
    </row>
    <row r="811" spans="1:8" x14ac:dyDescent="0.3">
      <c r="A811" s="34">
        <v>810</v>
      </c>
      <c r="B811" s="34">
        <v>530</v>
      </c>
      <c r="C811" s="34">
        <v>6</v>
      </c>
      <c r="D811" s="34">
        <v>662</v>
      </c>
      <c r="E811" s="34">
        <v>41</v>
      </c>
      <c r="F811" s="34" t="s">
        <v>54</v>
      </c>
      <c r="G811" s="97">
        <v>0.81048095920089469</v>
      </c>
      <c r="H811" s="34">
        <v>10</v>
      </c>
    </row>
    <row r="812" spans="1:8" x14ac:dyDescent="0.3">
      <c r="A812" s="34">
        <v>811</v>
      </c>
      <c r="B812" s="34">
        <v>217</v>
      </c>
      <c r="C812" s="34">
        <v>18</v>
      </c>
      <c r="D812" s="34">
        <v>3104</v>
      </c>
      <c r="E812" s="34">
        <v>31</v>
      </c>
      <c r="F812" s="34" t="s">
        <v>54</v>
      </c>
      <c r="G812" s="97">
        <v>0.81127971236462082</v>
      </c>
      <c r="H812" s="34">
        <v>11</v>
      </c>
    </row>
    <row r="813" spans="1:8" x14ac:dyDescent="0.3">
      <c r="A813" s="34">
        <v>812</v>
      </c>
      <c r="B813" s="34">
        <v>688</v>
      </c>
      <c r="C813" s="34">
        <v>36</v>
      </c>
      <c r="D813" s="34">
        <v>2862</v>
      </c>
      <c r="E813" s="34">
        <v>30</v>
      </c>
      <c r="F813" s="34" t="s">
        <v>54</v>
      </c>
      <c r="G813" s="97">
        <v>0.81217878229023943</v>
      </c>
      <c r="H813" s="34">
        <v>12</v>
      </c>
    </row>
    <row r="814" spans="1:8" x14ac:dyDescent="0.3">
      <c r="A814" s="34">
        <v>813</v>
      </c>
      <c r="B814" s="34">
        <v>400</v>
      </c>
      <c r="C814" s="34">
        <v>24</v>
      </c>
      <c r="D814" s="34">
        <v>1516</v>
      </c>
      <c r="E814" s="34">
        <v>43</v>
      </c>
      <c r="F814" s="34" t="s">
        <v>56</v>
      </c>
      <c r="G814" s="97">
        <v>0.81539058258908259</v>
      </c>
      <c r="H814" s="34">
        <v>13</v>
      </c>
    </row>
    <row r="815" spans="1:8" x14ac:dyDescent="0.3">
      <c r="A815" s="34">
        <v>814</v>
      </c>
      <c r="B815" s="34">
        <v>792</v>
      </c>
      <c r="C815" s="34">
        <v>24</v>
      </c>
      <c r="D815" s="34">
        <v>6313</v>
      </c>
      <c r="E815" s="34">
        <v>41</v>
      </c>
      <c r="F815" s="34" t="s">
        <v>54</v>
      </c>
      <c r="G815" s="97">
        <v>0.81540813262387624</v>
      </c>
      <c r="H815" s="34">
        <v>14</v>
      </c>
    </row>
    <row r="816" spans="1:8" x14ac:dyDescent="0.3">
      <c r="A816" s="34">
        <v>815</v>
      </c>
      <c r="B816" s="34">
        <v>189</v>
      </c>
      <c r="C816" s="34">
        <v>12</v>
      </c>
      <c r="D816" s="34">
        <v>674</v>
      </c>
      <c r="E816" s="34">
        <v>20</v>
      </c>
      <c r="F816" s="34" t="s">
        <v>55</v>
      </c>
      <c r="G816" s="97">
        <v>0.81542595568949716</v>
      </c>
      <c r="H816" s="34">
        <v>15</v>
      </c>
    </row>
    <row r="817" spans="1:8" x14ac:dyDescent="0.3">
      <c r="A817" s="34">
        <v>816</v>
      </c>
      <c r="B817" s="34">
        <v>467</v>
      </c>
      <c r="C817" s="34">
        <v>24</v>
      </c>
      <c r="D817" s="34">
        <v>1659</v>
      </c>
      <c r="E817" s="34">
        <v>29</v>
      </c>
      <c r="F817" s="34" t="s">
        <v>57</v>
      </c>
      <c r="G817" s="97">
        <v>0.81573172776103509</v>
      </c>
      <c r="H817" s="34">
        <v>16</v>
      </c>
    </row>
    <row r="818" spans="1:8" x14ac:dyDescent="0.3">
      <c r="A818" s="34">
        <v>817</v>
      </c>
      <c r="B818" s="34">
        <v>734</v>
      </c>
      <c r="C818" s="34">
        <v>24</v>
      </c>
      <c r="D818" s="34">
        <v>2603</v>
      </c>
      <c r="E818" s="34">
        <v>28</v>
      </c>
      <c r="F818" s="34" t="s">
        <v>56</v>
      </c>
      <c r="G818" s="97">
        <v>0.81627269440824812</v>
      </c>
      <c r="H818" s="34">
        <v>17</v>
      </c>
    </row>
    <row r="819" spans="1:8" x14ac:dyDescent="0.3">
      <c r="A819" s="34">
        <v>818</v>
      </c>
      <c r="B819" s="34">
        <v>61</v>
      </c>
      <c r="C819" s="34">
        <v>9</v>
      </c>
      <c r="D819" s="34">
        <v>1391</v>
      </c>
      <c r="E819" s="34">
        <v>27</v>
      </c>
      <c r="F819" s="34" t="s">
        <v>54</v>
      </c>
      <c r="G819" s="97">
        <v>0.81656093693629095</v>
      </c>
      <c r="H819" s="34">
        <v>18</v>
      </c>
    </row>
    <row r="820" spans="1:8" x14ac:dyDescent="0.3">
      <c r="A820" s="34">
        <v>819</v>
      </c>
      <c r="B820" s="34">
        <v>561</v>
      </c>
      <c r="C820" s="34">
        <v>24</v>
      </c>
      <c r="D820" s="34">
        <v>2964</v>
      </c>
      <c r="E820" s="34">
        <v>49</v>
      </c>
      <c r="F820" s="34" t="s">
        <v>54</v>
      </c>
      <c r="G820" s="97">
        <v>0.81682521395096597</v>
      </c>
      <c r="H820" s="34">
        <v>19</v>
      </c>
    </row>
    <row r="821" spans="1:8" x14ac:dyDescent="0.3">
      <c r="A821" s="34">
        <v>820</v>
      </c>
      <c r="B821" s="34">
        <v>611</v>
      </c>
      <c r="C821" s="34">
        <v>12</v>
      </c>
      <c r="D821" s="34">
        <v>741</v>
      </c>
      <c r="E821" s="34">
        <v>22</v>
      </c>
      <c r="F821" s="34" t="s">
        <v>57</v>
      </c>
      <c r="G821" s="97">
        <v>0.81808665061571939</v>
      </c>
      <c r="H821" s="34">
        <v>20</v>
      </c>
    </row>
    <row r="822" spans="1:8" x14ac:dyDescent="0.3">
      <c r="A822" s="34">
        <v>821</v>
      </c>
      <c r="B822" s="34">
        <v>947</v>
      </c>
      <c r="C822" s="34">
        <v>24</v>
      </c>
      <c r="D822" s="34">
        <v>3349</v>
      </c>
      <c r="E822" s="34">
        <v>30</v>
      </c>
      <c r="F822" s="34" t="s">
        <v>55</v>
      </c>
      <c r="G822" s="97">
        <v>0.81905332547116638</v>
      </c>
      <c r="H822" s="34">
        <v>21</v>
      </c>
    </row>
    <row r="823" spans="1:8" x14ac:dyDescent="0.3">
      <c r="A823" s="34">
        <v>822</v>
      </c>
      <c r="B823" s="34">
        <v>4</v>
      </c>
      <c r="C823" s="34">
        <v>42</v>
      </c>
      <c r="D823" s="34">
        <v>7882</v>
      </c>
      <c r="E823" s="34">
        <v>45</v>
      </c>
      <c r="F823" s="34" t="s">
        <v>54</v>
      </c>
      <c r="G823" s="97">
        <v>0.81917385008424792</v>
      </c>
      <c r="H823" s="34">
        <v>22</v>
      </c>
    </row>
    <row r="824" spans="1:8" x14ac:dyDescent="0.3">
      <c r="A824" s="34">
        <v>823</v>
      </c>
      <c r="B824" s="34">
        <v>569</v>
      </c>
      <c r="C824" s="34">
        <v>48</v>
      </c>
      <c r="D824" s="34">
        <v>3979</v>
      </c>
      <c r="E824" s="34">
        <v>41</v>
      </c>
      <c r="F824" s="34" t="s">
        <v>54</v>
      </c>
      <c r="G824" s="97">
        <v>0.81966447574725021</v>
      </c>
      <c r="H824" s="34">
        <v>23</v>
      </c>
    </row>
    <row r="825" spans="1:8" x14ac:dyDescent="0.3">
      <c r="A825" s="34">
        <v>824</v>
      </c>
      <c r="B825" s="34">
        <v>382</v>
      </c>
      <c r="C825" s="34">
        <v>18</v>
      </c>
      <c r="D825" s="34">
        <v>12976</v>
      </c>
      <c r="E825" s="34">
        <v>38</v>
      </c>
      <c r="F825" s="34" t="s">
        <v>57</v>
      </c>
      <c r="G825" s="97">
        <v>0.8203745254071908</v>
      </c>
      <c r="H825" s="34">
        <v>24</v>
      </c>
    </row>
    <row r="826" spans="1:8" x14ac:dyDescent="0.3">
      <c r="A826" s="34">
        <v>825</v>
      </c>
      <c r="B826" s="34">
        <v>242</v>
      </c>
      <c r="C826" s="34">
        <v>6</v>
      </c>
      <c r="D826" s="34">
        <v>1595</v>
      </c>
      <c r="E826" s="34">
        <v>51</v>
      </c>
      <c r="F826" s="34" t="s">
        <v>54</v>
      </c>
      <c r="G826" s="97">
        <v>0.82072493975369309</v>
      </c>
      <c r="H826" s="34">
        <v>25</v>
      </c>
    </row>
    <row r="827" spans="1:8" x14ac:dyDescent="0.3">
      <c r="A827" s="34">
        <v>826</v>
      </c>
      <c r="B827" s="34">
        <v>787</v>
      </c>
      <c r="C827" s="34">
        <v>22</v>
      </c>
      <c r="D827" s="34">
        <v>2675</v>
      </c>
      <c r="E827" s="34">
        <v>40</v>
      </c>
      <c r="F827" s="34" t="s">
        <v>54</v>
      </c>
      <c r="G827" s="97">
        <v>0.82073795313392883</v>
      </c>
      <c r="H827" s="34">
        <v>26</v>
      </c>
    </row>
    <row r="828" spans="1:8" x14ac:dyDescent="0.3">
      <c r="A828" s="34">
        <v>827</v>
      </c>
      <c r="B828" s="34">
        <v>405</v>
      </c>
      <c r="C828" s="34">
        <v>18</v>
      </c>
      <c r="D828" s="34">
        <v>2899</v>
      </c>
      <c r="E828" s="34">
        <v>43</v>
      </c>
      <c r="F828" s="34" t="s">
        <v>54</v>
      </c>
      <c r="G828" s="97">
        <v>0.82157289756409713</v>
      </c>
      <c r="H828" s="34">
        <v>27</v>
      </c>
    </row>
    <row r="829" spans="1:8" x14ac:dyDescent="0.3">
      <c r="A829" s="34">
        <v>828</v>
      </c>
      <c r="B829" s="34">
        <v>377</v>
      </c>
      <c r="C829" s="34">
        <v>18</v>
      </c>
      <c r="D829" s="34">
        <v>2320</v>
      </c>
      <c r="E829" s="34">
        <v>34</v>
      </c>
      <c r="F829" s="34" t="s">
        <v>54</v>
      </c>
      <c r="G829" s="97">
        <v>0.82210214230500023</v>
      </c>
      <c r="H829" s="34">
        <v>28</v>
      </c>
    </row>
    <row r="830" spans="1:8" x14ac:dyDescent="0.3">
      <c r="A830" s="34">
        <v>829</v>
      </c>
      <c r="B830" s="34">
        <v>174</v>
      </c>
      <c r="C830" s="34">
        <v>8</v>
      </c>
      <c r="D830" s="34">
        <v>1414</v>
      </c>
      <c r="E830" s="34">
        <v>33</v>
      </c>
      <c r="F830" s="34" t="s">
        <v>54</v>
      </c>
      <c r="G830" s="97">
        <v>0.82237100923627582</v>
      </c>
      <c r="H830" s="34">
        <v>29</v>
      </c>
    </row>
    <row r="831" spans="1:8" x14ac:dyDescent="0.3">
      <c r="A831" s="34">
        <v>830</v>
      </c>
      <c r="B831" s="34">
        <v>702</v>
      </c>
      <c r="C831" s="34">
        <v>48</v>
      </c>
      <c r="D831" s="34">
        <v>6331</v>
      </c>
      <c r="E831" s="34">
        <v>46</v>
      </c>
      <c r="F831" s="34" t="s">
        <v>55</v>
      </c>
      <c r="G831" s="97">
        <v>0.82272029652971379</v>
      </c>
      <c r="H831" s="34">
        <v>30</v>
      </c>
    </row>
    <row r="832" spans="1:8" x14ac:dyDescent="0.3">
      <c r="A832" s="34">
        <v>831</v>
      </c>
      <c r="B832" s="34">
        <v>349</v>
      </c>
      <c r="C832" s="34">
        <v>6</v>
      </c>
      <c r="D832" s="34">
        <v>1743</v>
      </c>
      <c r="E832" s="34">
        <v>34</v>
      </c>
      <c r="F832" s="34" t="s">
        <v>54</v>
      </c>
      <c r="G832" s="97">
        <v>0.82770532025817156</v>
      </c>
      <c r="H832" s="34">
        <v>31</v>
      </c>
    </row>
    <row r="833" spans="1:8" x14ac:dyDescent="0.3">
      <c r="A833" s="34">
        <v>832</v>
      </c>
      <c r="B833" s="34">
        <v>261</v>
      </c>
      <c r="C833" s="34">
        <v>12</v>
      </c>
      <c r="D833" s="34">
        <v>1657</v>
      </c>
      <c r="E833" s="34">
        <v>27</v>
      </c>
      <c r="F833" s="34" t="s">
        <v>54</v>
      </c>
      <c r="G833" s="97">
        <v>0.82779307451622608</v>
      </c>
      <c r="H833" s="34">
        <v>32</v>
      </c>
    </row>
    <row r="834" spans="1:8" x14ac:dyDescent="0.3">
      <c r="A834" s="34">
        <v>833</v>
      </c>
      <c r="B834" s="34">
        <v>418</v>
      </c>
      <c r="C834" s="34">
        <v>18</v>
      </c>
      <c r="D834" s="34">
        <v>8471</v>
      </c>
      <c r="E834" s="34">
        <v>23</v>
      </c>
      <c r="F834" s="34" t="s">
        <v>56</v>
      </c>
      <c r="G834" s="97">
        <v>0.82948124215684627</v>
      </c>
      <c r="H834" s="34">
        <v>33</v>
      </c>
    </row>
    <row r="835" spans="1:8" x14ac:dyDescent="0.3">
      <c r="A835" s="34">
        <v>834</v>
      </c>
      <c r="B835" s="34">
        <v>115</v>
      </c>
      <c r="C835" s="34">
        <v>12</v>
      </c>
      <c r="D835" s="34">
        <v>1680</v>
      </c>
      <c r="E835" s="34">
        <v>35</v>
      </c>
      <c r="F835" s="34" t="s">
        <v>54</v>
      </c>
      <c r="G835" s="97">
        <v>0.82974243609273379</v>
      </c>
      <c r="H835" s="34">
        <v>34</v>
      </c>
    </row>
    <row r="836" spans="1:8" x14ac:dyDescent="0.3">
      <c r="A836" s="34">
        <v>835</v>
      </c>
      <c r="B836" s="34">
        <v>49</v>
      </c>
      <c r="C836" s="34">
        <v>11</v>
      </c>
      <c r="D836" s="34">
        <v>7228</v>
      </c>
      <c r="E836" s="34">
        <v>39</v>
      </c>
      <c r="F836" s="34" t="s">
        <v>54</v>
      </c>
      <c r="G836" s="97">
        <v>0.83122582794753075</v>
      </c>
      <c r="H836" s="34">
        <v>35</v>
      </c>
    </row>
    <row r="837" spans="1:8" x14ac:dyDescent="0.3">
      <c r="A837" s="34">
        <v>836</v>
      </c>
      <c r="B837" s="34">
        <v>646</v>
      </c>
      <c r="C837" s="34">
        <v>36</v>
      </c>
      <c r="D837" s="34">
        <v>7980</v>
      </c>
      <c r="E837" s="34">
        <v>27</v>
      </c>
      <c r="F837" s="34" t="s">
        <v>55</v>
      </c>
      <c r="G837" s="97">
        <v>0.8317788183586422</v>
      </c>
      <c r="H837" s="34">
        <v>36</v>
      </c>
    </row>
    <row r="838" spans="1:8" x14ac:dyDescent="0.3">
      <c r="A838" s="34">
        <v>837</v>
      </c>
      <c r="B838" s="34">
        <v>317</v>
      </c>
      <c r="C838" s="34">
        <v>12</v>
      </c>
      <c r="D838" s="34">
        <v>708</v>
      </c>
      <c r="E838" s="34">
        <v>38</v>
      </c>
      <c r="F838" s="34" t="s">
        <v>54</v>
      </c>
      <c r="G838" s="97">
        <v>0.83182473524212286</v>
      </c>
      <c r="H838" s="34">
        <v>37</v>
      </c>
    </row>
    <row r="839" spans="1:8" x14ac:dyDescent="0.3">
      <c r="A839" s="34">
        <v>838</v>
      </c>
      <c r="B839" s="34">
        <v>750</v>
      </c>
      <c r="C839" s="34">
        <v>15</v>
      </c>
      <c r="D839" s="34">
        <v>3029</v>
      </c>
      <c r="E839" s="34">
        <v>33</v>
      </c>
      <c r="F839" s="34" t="s">
        <v>54</v>
      </c>
      <c r="G839" s="97">
        <v>0.83210164124388164</v>
      </c>
      <c r="H839" s="34">
        <v>38</v>
      </c>
    </row>
    <row r="840" spans="1:8" x14ac:dyDescent="0.3">
      <c r="A840" s="34">
        <v>839</v>
      </c>
      <c r="B840" s="34">
        <v>373</v>
      </c>
      <c r="C840" s="34">
        <v>10</v>
      </c>
      <c r="D840" s="34">
        <v>2146</v>
      </c>
      <c r="E840" s="34">
        <v>23</v>
      </c>
      <c r="F840" s="34" t="s">
        <v>56</v>
      </c>
      <c r="G840" s="97">
        <v>0.83277058474877663</v>
      </c>
      <c r="H840" s="34">
        <v>39</v>
      </c>
    </row>
    <row r="841" spans="1:8" x14ac:dyDescent="0.3">
      <c r="A841" s="34">
        <v>840</v>
      </c>
      <c r="B841" s="34">
        <v>765</v>
      </c>
      <c r="C841" s="34">
        <v>24</v>
      </c>
      <c r="D841" s="34">
        <v>2463</v>
      </c>
      <c r="E841" s="34">
        <v>27</v>
      </c>
      <c r="F841" s="34" t="s">
        <v>54</v>
      </c>
      <c r="G841" s="97">
        <v>0.83392703185912842</v>
      </c>
      <c r="H841" s="34">
        <v>40</v>
      </c>
    </row>
    <row r="842" spans="1:8" x14ac:dyDescent="0.3">
      <c r="A842" s="34">
        <v>841</v>
      </c>
      <c r="B842" s="34">
        <v>865</v>
      </c>
      <c r="C842" s="34">
        <v>10</v>
      </c>
      <c r="D842" s="34">
        <v>2210</v>
      </c>
      <c r="E842" s="34">
        <v>25</v>
      </c>
      <c r="F842" s="34" t="s">
        <v>55</v>
      </c>
      <c r="G842" s="97">
        <v>0.83406867516131022</v>
      </c>
      <c r="H842" s="34">
        <v>41</v>
      </c>
    </row>
    <row r="843" spans="1:8" x14ac:dyDescent="0.3">
      <c r="A843" s="34">
        <v>842</v>
      </c>
      <c r="B843" s="34">
        <v>912</v>
      </c>
      <c r="C843" s="34">
        <v>24</v>
      </c>
      <c r="D843" s="34">
        <v>4736</v>
      </c>
      <c r="E843" s="34">
        <v>25</v>
      </c>
      <c r="F843" s="34" t="s">
        <v>57</v>
      </c>
      <c r="G843" s="97">
        <v>0.8346255725633247</v>
      </c>
      <c r="H843" s="34">
        <v>42</v>
      </c>
    </row>
    <row r="844" spans="1:8" x14ac:dyDescent="0.3">
      <c r="A844" s="34">
        <v>843</v>
      </c>
      <c r="B844" s="34">
        <v>897</v>
      </c>
      <c r="C844" s="34">
        <v>21</v>
      </c>
      <c r="D844" s="34">
        <v>2606</v>
      </c>
      <c r="E844" s="34">
        <v>28</v>
      </c>
      <c r="F844" s="34" t="s">
        <v>56</v>
      </c>
      <c r="G844" s="97">
        <v>0.8346359603448803</v>
      </c>
      <c r="H844" s="34">
        <v>43</v>
      </c>
    </row>
    <row r="845" spans="1:8" x14ac:dyDescent="0.3">
      <c r="A845" s="34">
        <v>844</v>
      </c>
      <c r="B845" s="34">
        <v>409</v>
      </c>
      <c r="C845" s="34">
        <v>24</v>
      </c>
      <c r="D845" s="34">
        <v>3235</v>
      </c>
      <c r="E845" s="34">
        <v>26</v>
      </c>
      <c r="F845" s="34" t="s">
        <v>54</v>
      </c>
      <c r="G845" s="97">
        <v>0.83538746598201685</v>
      </c>
      <c r="H845" s="34">
        <v>44</v>
      </c>
    </row>
    <row r="846" spans="1:8" x14ac:dyDescent="0.3">
      <c r="A846" s="34">
        <v>845</v>
      </c>
      <c r="B846" s="34">
        <v>476</v>
      </c>
      <c r="C846" s="34">
        <v>18</v>
      </c>
      <c r="D846" s="34">
        <v>3114</v>
      </c>
      <c r="E846" s="34">
        <v>26</v>
      </c>
      <c r="F846" s="34" t="s">
        <v>57</v>
      </c>
      <c r="G846" s="97">
        <v>0.835886871949718</v>
      </c>
      <c r="H846" s="34">
        <v>45</v>
      </c>
    </row>
    <row r="847" spans="1:8" x14ac:dyDescent="0.3">
      <c r="A847" s="34">
        <v>846</v>
      </c>
      <c r="B847" s="34">
        <v>198</v>
      </c>
      <c r="C847" s="34">
        <v>12</v>
      </c>
      <c r="D847" s="34">
        <v>951</v>
      </c>
      <c r="E847" s="34">
        <v>27</v>
      </c>
      <c r="F847" s="34" t="s">
        <v>57</v>
      </c>
      <c r="G847" s="97">
        <v>0.8362593206258192</v>
      </c>
      <c r="H847" s="34">
        <v>46</v>
      </c>
    </row>
    <row r="848" spans="1:8" x14ac:dyDescent="0.3">
      <c r="A848" s="34">
        <v>847</v>
      </c>
      <c r="B848" s="34">
        <v>437</v>
      </c>
      <c r="C848" s="34">
        <v>6</v>
      </c>
      <c r="D848" s="34">
        <v>660</v>
      </c>
      <c r="E848" s="34">
        <v>23</v>
      </c>
      <c r="F848" s="34" t="s">
        <v>54</v>
      </c>
      <c r="G848" s="97">
        <v>0.83945361721597356</v>
      </c>
      <c r="H848" s="34">
        <v>47</v>
      </c>
    </row>
    <row r="849" spans="1:8" x14ac:dyDescent="0.3">
      <c r="A849" s="34">
        <v>848</v>
      </c>
      <c r="B849" s="34">
        <v>724</v>
      </c>
      <c r="C849" s="34">
        <v>9</v>
      </c>
      <c r="D849" s="34">
        <v>790</v>
      </c>
      <c r="E849" s="34">
        <v>66</v>
      </c>
      <c r="F849" s="34" t="s">
        <v>56</v>
      </c>
      <c r="G849" s="97">
        <v>0.84077244303395926</v>
      </c>
      <c r="H849" s="34">
        <v>48</v>
      </c>
    </row>
    <row r="850" spans="1:8" x14ac:dyDescent="0.3">
      <c r="A850" s="34">
        <v>849</v>
      </c>
      <c r="B850" s="34">
        <v>228</v>
      </c>
      <c r="C850" s="34">
        <v>12</v>
      </c>
      <c r="D850" s="34">
        <v>7865</v>
      </c>
      <c r="E850" s="34">
        <v>53</v>
      </c>
      <c r="F850" s="34" t="s">
        <v>55</v>
      </c>
      <c r="G850" s="97">
        <v>0.84118636715219175</v>
      </c>
      <c r="H850" s="34">
        <v>49</v>
      </c>
    </row>
    <row r="851" spans="1:8" x14ac:dyDescent="0.3">
      <c r="A851" s="34">
        <v>850</v>
      </c>
      <c r="B851" s="34">
        <v>423</v>
      </c>
      <c r="C851" s="34">
        <v>12</v>
      </c>
      <c r="D851" s="34">
        <v>958</v>
      </c>
      <c r="E851" s="34">
        <v>47</v>
      </c>
      <c r="F851" s="34" t="s">
        <v>54</v>
      </c>
      <c r="G851" s="97">
        <v>0.84250020328864894</v>
      </c>
      <c r="H851" s="34">
        <v>50</v>
      </c>
    </row>
    <row r="852" spans="1:8" x14ac:dyDescent="0.3">
      <c r="A852" s="34">
        <v>851</v>
      </c>
      <c r="B852" s="34">
        <v>381</v>
      </c>
      <c r="C852" s="34">
        <v>20</v>
      </c>
      <c r="D852" s="34">
        <v>2212</v>
      </c>
      <c r="E852" s="34">
        <v>39</v>
      </c>
      <c r="F852" s="34" t="s">
        <v>54</v>
      </c>
      <c r="G852" s="97">
        <v>0.84540217531153983</v>
      </c>
      <c r="H852" s="34">
        <v>1</v>
      </c>
    </row>
    <row r="853" spans="1:8" x14ac:dyDescent="0.3">
      <c r="A853" s="34">
        <v>852</v>
      </c>
      <c r="B853" s="34">
        <v>965</v>
      </c>
      <c r="C853" s="34">
        <v>6</v>
      </c>
      <c r="D853" s="34">
        <v>454</v>
      </c>
      <c r="E853" s="34">
        <v>22</v>
      </c>
      <c r="F853" s="34" t="s">
        <v>54</v>
      </c>
      <c r="G853" s="97">
        <v>0.8486307276231595</v>
      </c>
      <c r="H853" s="34">
        <v>2</v>
      </c>
    </row>
    <row r="854" spans="1:8" x14ac:dyDescent="0.3">
      <c r="A854" s="34">
        <v>853</v>
      </c>
      <c r="B854" s="34">
        <v>350</v>
      </c>
      <c r="C854" s="34">
        <v>9</v>
      </c>
      <c r="D854" s="34">
        <v>1136</v>
      </c>
      <c r="E854" s="34">
        <v>32</v>
      </c>
      <c r="F854" s="34" t="s">
        <v>55</v>
      </c>
      <c r="G854" s="97">
        <v>0.85005407115946752</v>
      </c>
      <c r="H854" s="34">
        <v>3</v>
      </c>
    </row>
    <row r="855" spans="1:8" x14ac:dyDescent="0.3">
      <c r="A855" s="34">
        <v>854</v>
      </c>
      <c r="B855" s="34">
        <v>372</v>
      </c>
      <c r="C855" s="34">
        <v>18</v>
      </c>
      <c r="D855" s="34">
        <v>6070</v>
      </c>
      <c r="E855" s="34">
        <v>33</v>
      </c>
      <c r="F855" s="34" t="s">
        <v>54</v>
      </c>
      <c r="G855" s="97">
        <v>0.85036501940363007</v>
      </c>
      <c r="H855" s="34">
        <v>4</v>
      </c>
    </row>
    <row r="856" spans="1:8" x14ac:dyDescent="0.3">
      <c r="A856" s="34">
        <v>855</v>
      </c>
      <c r="B856" s="34">
        <v>926</v>
      </c>
      <c r="C856" s="34">
        <v>12</v>
      </c>
      <c r="D856" s="34">
        <v>697</v>
      </c>
      <c r="E856" s="34">
        <v>46</v>
      </c>
      <c r="F856" s="34" t="s">
        <v>55</v>
      </c>
      <c r="G856" s="97">
        <v>0.85185018881826191</v>
      </c>
      <c r="H856" s="34">
        <v>5</v>
      </c>
    </row>
    <row r="857" spans="1:8" x14ac:dyDescent="0.3">
      <c r="A857" s="34">
        <v>856</v>
      </c>
      <c r="B857" s="34">
        <v>977</v>
      </c>
      <c r="C857" s="34">
        <v>6</v>
      </c>
      <c r="D857" s="34">
        <v>753</v>
      </c>
      <c r="E857" s="34">
        <v>64</v>
      </c>
      <c r="F857" s="34" t="s">
        <v>56</v>
      </c>
      <c r="G857" s="97">
        <v>0.85304859815344758</v>
      </c>
      <c r="H857" s="34">
        <v>6</v>
      </c>
    </row>
    <row r="858" spans="1:8" x14ac:dyDescent="0.3">
      <c r="A858" s="34">
        <v>857</v>
      </c>
      <c r="B858" s="34">
        <v>649</v>
      </c>
      <c r="C858" s="34">
        <v>24</v>
      </c>
      <c r="D858" s="34">
        <v>947</v>
      </c>
      <c r="E858" s="34">
        <v>38</v>
      </c>
      <c r="F858" s="34" t="s">
        <v>55</v>
      </c>
      <c r="G858" s="97">
        <v>0.85404893003764404</v>
      </c>
      <c r="H858" s="34">
        <v>7</v>
      </c>
    </row>
    <row r="859" spans="1:8" x14ac:dyDescent="0.3">
      <c r="A859" s="34">
        <v>858</v>
      </c>
      <c r="B859" s="34">
        <v>37</v>
      </c>
      <c r="C859" s="34">
        <v>48</v>
      </c>
      <c r="D859" s="34">
        <v>6110</v>
      </c>
      <c r="E859" s="34">
        <v>31</v>
      </c>
      <c r="F859" s="34" t="s">
        <v>54</v>
      </c>
      <c r="G859" s="97">
        <v>0.855910891928781</v>
      </c>
      <c r="H859" s="34">
        <v>8</v>
      </c>
    </row>
    <row r="860" spans="1:8" x14ac:dyDescent="0.3">
      <c r="A860" s="34">
        <v>859</v>
      </c>
      <c r="B860" s="34">
        <v>82</v>
      </c>
      <c r="C860" s="34">
        <v>15</v>
      </c>
      <c r="D860" s="34">
        <v>1213</v>
      </c>
      <c r="E860" s="34">
        <v>47</v>
      </c>
      <c r="F860" s="34" t="s">
        <v>54</v>
      </c>
      <c r="G860" s="97">
        <v>0.85741290393008884</v>
      </c>
      <c r="H860" s="34">
        <v>9</v>
      </c>
    </row>
    <row r="861" spans="1:8" x14ac:dyDescent="0.3">
      <c r="A861" s="34">
        <v>860</v>
      </c>
      <c r="B861" s="34">
        <v>150</v>
      </c>
      <c r="C861" s="34">
        <v>18</v>
      </c>
      <c r="D861" s="34">
        <v>1582</v>
      </c>
      <c r="E861" s="34">
        <v>46</v>
      </c>
      <c r="F861" s="34" t="s">
        <v>54</v>
      </c>
      <c r="G861" s="97">
        <v>0.85918539684371231</v>
      </c>
      <c r="H861" s="34">
        <v>10</v>
      </c>
    </row>
    <row r="862" spans="1:8" x14ac:dyDescent="0.3">
      <c r="A862" s="34">
        <v>861</v>
      </c>
      <c r="B862" s="34">
        <v>197</v>
      </c>
      <c r="C862" s="34">
        <v>6</v>
      </c>
      <c r="D862" s="34">
        <v>1382</v>
      </c>
      <c r="E862" s="34">
        <v>28</v>
      </c>
      <c r="F862" s="34" t="s">
        <v>56</v>
      </c>
      <c r="G862" s="97">
        <v>0.85918551610109462</v>
      </c>
      <c r="H862" s="34">
        <v>11</v>
      </c>
    </row>
    <row r="863" spans="1:8" x14ac:dyDescent="0.3">
      <c r="A863" s="34">
        <v>862</v>
      </c>
      <c r="B863" s="34">
        <v>134</v>
      </c>
      <c r="C863" s="34">
        <v>18</v>
      </c>
      <c r="D863" s="34">
        <v>1984</v>
      </c>
      <c r="E863" s="34">
        <v>47</v>
      </c>
      <c r="F863" s="34" t="s">
        <v>54</v>
      </c>
      <c r="G863" s="97">
        <v>0.86064769799252971</v>
      </c>
      <c r="H863" s="34">
        <v>12</v>
      </c>
    </row>
    <row r="864" spans="1:8" x14ac:dyDescent="0.3">
      <c r="A864" s="34">
        <v>863</v>
      </c>
      <c r="B864" s="34">
        <v>131</v>
      </c>
      <c r="C864" s="34">
        <v>48</v>
      </c>
      <c r="D864" s="34">
        <v>8487</v>
      </c>
      <c r="E864" s="34">
        <v>24</v>
      </c>
      <c r="F864" s="34" t="s">
        <v>56</v>
      </c>
      <c r="G864" s="97">
        <v>0.86276091395541232</v>
      </c>
      <c r="H864" s="34">
        <v>13</v>
      </c>
    </row>
    <row r="865" spans="1:8" x14ac:dyDescent="0.3">
      <c r="A865" s="34">
        <v>864</v>
      </c>
      <c r="B865" s="34">
        <v>434</v>
      </c>
      <c r="C865" s="34">
        <v>24</v>
      </c>
      <c r="D865" s="34">
        <v>2058</v>
      </c>
      <c r="E865" s="34">
        <v>33</v>
      </c>
      <c r="F865" s="34" t="s">
        <v>54</v>
      </c>
      <c r="G865" s="97">
        <v>0.86475970844286476</v>
      </c>
      <c r="H865" s="34">
        <v>14</v>
      </c>
    </row>
    <row r="866" spans="1:8" x14ac:dyDescent="0.3">
      <c r="A866" s="34">
        <v>865</v>
      </c>
      <c r="B866" s="34">
        <v>122</v>
      </c>
      <c r="C866" s="34">
        <v>24</v>
      </c>
      <c r="D866" s="34">
        <v>3868</v>
      </c>
      <c r="E866" s="34">
        <v>41</v>
      </c>
      <c r="F866" s="34" t="s">
        <v>56</v>
      </c>
      <c r="G866" s="97">
        <v>0.8648728729942019</v>
      </c>
      <c r="H866" s="34">
        <v>15</v>
      </c>
    </row>
    <row r="867" spans="1:8" x14ac:dyDescent="0.3">
      <c r="A867" s="34">
        <v>866</v>
      </c>
      <c r="B867" s="34">
        <v>535</v>
      </c>
      <c r="C867" s="34">
        <v>24</v>
      </c>
      <c r="D867" s="34">
        <v>3105</v>
      </c>
      <c r="E867" s="34">
        <v>25</v>
      </c>
      <c r="F867" s="34" t="s">
        <v>54</v>
      </c>
      <c r="G867" s="97">
        <v>0.86842961009616093</v>
      </c>
      <c r="H867" s="34">
        <v>16</v>
      </c>
    </row>
    <row r="868" spans="1:8" x14ac:dyDescent="0.3">
      <c r="A868" s="34">
        <v>867</v>
      </c>
      <c r="B868" s="34">
        <v>438</v>
      </c>
      <c r="C868" s="34">
        <v>24</v>
      </c>
      <c r="D868" s="34">
        <v>1287</v>
      </c>
      <c r="E868" s="34">
        <v>37</v>
      </c>
      <c r="F868" s="34" t="s">
        <v>56</v>
      </c>
      <c r="G868" s="97">
        <v>0.86898078130334733</v>
      </c>
      <c r="H868" s="34">
        <v>17</v>
      </c>
    </row>
    <row r="869" spans="1:8" x14ac:dyDescent="0.3">
      <c r="A869" s="34">
        <v>868</v>
      </c>
      <c r="B869" s="34">
        <v>444</v>
      </c>
      <c r="C869" s="34">
        <v>12</v>
      </c>
      <c r="D869" s="34">
        <v>719</v>
      </c>
      <c r="E869" s="34">
        <v>41</v>
      </c>
      <c r="F869" s="34" t="s">
        <v>55</v>
      </c>
      <c r="G869" s="97">
        <v>0.87305457432288769</v>
      </c>
      <c r="H869" s="34">
        <v>18</v>
      </c>
    </row>
    <row r="870" spans="1:8" x14ac:dyDescent="0.3">
      <c r="A870" s="34">
        <v>869</v>
      </c>
      <c r="B870" s="34">
        <v>693</v>
      </c>
      <c r="C870" s="34">
        <v>24</v>
      </c>
      <c r="D870" s="34">
        <v>2896</v>
      </c>
      <c r="E870" s="34">
        <v>29</v>
      </c>
      <c r="F870" s="34" t="s">
        <v>54</v>
      </c>
      <c r="G870" s="97">
        <v>0.87365598831721614</v>
      </c>
      <c r="H870" s="34">
        <v>19</v>
      </c>
    </row>
    <row r="871" spans="1:8" x14ac:dyDescent="0.3">
      <c r="A871" s="34">
        <v>870</v>
      </c>
      <c r="B871" s="34">
        <v>85</v>
      </c>
      <c r="C871" s="34">
        <v>10</v>
      </c>
      <c r="D871" s="34">
        <v>2315</v>
      </c>
      <c r="E871" s="34">
        <v>52</v>
      </c>
      <c r="F871" s="34" t="s">
        <v>54</v>
      </c>
      <c r="G871" s="97">
        <v>0.87501971253701005</v>
      </c>
      <c r="H871" s="34">
        <v>20</v>
      </c>
    </row>
    <row r="872" spans="1:8" x14ac:dyDescent="0.3">
      <c r="A872" s="34">
        <v>871</v>
      </c>
      <c r="B872" s="34">
        <v>799</v>
      </c>
      <c r="C872" s="34">
        <v>24</v>
      </c>
      <c r="D872" s="34">
        <v>717</v>
      </c>
      <c r="E872" s="34">
        <v>54</v>
      </c>
      <c r="F872" s="34" t="s">
        <v>54</v>
      </c>
      <c r="G872" s="97">
        <v>0.8757713901428984</v>
      </c>
      <c r="H872" s="34">
        <v>21</v>
      </c>
    </row>
    <row r="873" spans="1:8" x14ac:dyDescent="0.3">
      <c r="A873" s="34">
        <v>872</v>
      </c>
      <c r="B873" s="34">
        <v>514</v>
      </c>
      <c r="C873" s="34">
        <v>12</v>
      </c>
      <c r="D873" s="34">
        <v>585</v>
      </c>
      <c r="E873" s="34">
        <v>20</v>
      </c>
      <c r="F873" s="34" t="s">
        <v>54</v>
      </c>
      <c r="G873" s="97">
        <v>0.87667294629786263</v>
      </c>
      <c r="H873" s="34">
        <v>22</v>
      </c>
    </row>
    <row r="874" spans="1:8" x14ac:dyDescent="0.3">
      <c r="A874" s="34">
        <v>873</v>
      </c>
      <c r="B874" s="34">
        <v>6</v>
      </c>
      <c r="C874" s="34">
        <v>36</v>
      </c>
      <c r="D874" s="34">
        <v>9055</v>
      </c>
      <c r="E874" s="34">
        <v>35</v>
      </c>
      <c r="F874" s="34" t="s">
        <v>54</v>
      </c>
      <c r="G874" s="97">
        <v>0.8768029749458901</v>
      </c>
      <c r="H874" s="34">
        <v>23</v>
      </c>
    </row>
    <row r="875" spans="1:8" x14ac:dyDescent="0.3">
      <c r="A875" s="34">
        <v>874</v>
      </c>
      <c r="B875" s="34">
        <v>981</v>
      </c>
      <c r="C875" s="34">
        <v>30</v>
      </c>
      <c r="D875" s="34">
        <v>8386</v>
      </c>
      <c r="E875" s="34">
        <v>49</v>
      </c>
      <c r="F875" s="34" t="s">
        <v>55</v>
      </c>
      <c r="G875" s="97">
        <v>0.87884192573311204</v>
      </c>
      <c r="H875" s="34">
        <v>24</v>
      </c>
    </row>
    <row r="876" spans="1:8" x14ac:dyDescent="0.3">
      <c r="A876" s="34">
        <v>875</v>
      </c>
      <c r="B876" s="34">
        <v>528</v>
      </c>
      <c r="C876" s="34">
        <v>4</v>
      </c>
      <c r="D876" s="34">
        <v>1503</v>
      </c>
      <c r="E876" s="34">
        <v>42</v>
      </c>
      <c r="F876" s="34" t="s">
        <v>54</v>
      </c>
      <c r="G876" s="97">
        <v>0.88068904419774208</v>
      </c>
      <c r="H876" s="34">
        <v>25</v>
      </c>
    </row>
    <row r="877" spans="1:8" x14ac:dyDescent="0.3">
      <c r="A877" s="34">
        <v>876</v>
      </c>
      <c r="B877" s="34">
        <v>98</v>
      </c>
      <c r="C877" s="34">
        <v>18</v>
      </c>
      <c r="D877" s="34">
        <v>2622</v>
      </c>
      <c r="E877" s="34">
        <v>34</v>
      </c>
      <c r="F877" s="34" t="s">
        <v>54</v>
      </c>
      <c r="G877" s="97">
        <v>0.88088630332349582</v>
      </c>
      <c r="H877" s="34">
        <v>26</v>
      </c>
    </row>
    <row r="878" spans="1:8" x14ac:dyDescent="0.3">
      <c r="A878" s="34">
        <v>877</v>
      </c>
      <c r="B878" s="34">
        <v>594</v>
      </c>
      <c r="C878" s="34">
        <v>24</v>
      </c>
      <c r="D878" s="34">
        <v>2718</v>
      </c>
      <c r="E878" s="34">
        <v>20</v>
      </c>
      <c r="F878" s="34" t="s">
        <v>57</v>
      </c>
      <c r="G878" s="97">
        <v>0.88131967463222893</v>
      </c>
      <c r="H878" s="34">
        <v>27</v>
      </c>
    </row>
    <row r="879" spans="1:8" x14ac:dyDescent="0.3">
      <c r="A879" s="34">
        <v>878</v>
      </c>
      <c r="B879" s="34">
        <v>123</v>
      </c>
      <c r="C879" s="34">
        <v>12</v>
      </c>
      <c r="D879" s="34">
        <v>1768</v>
      </c>
      <c r="E879" s="34">
        <v>24</v>
      </c>
      <c r="F879" s="34" t="s">
        <v>54</v>
      </c>
      <c r="G879" s="97">
        <v>0.8816397721771414</v>
      </c>
      <c r="H879" s="34">
        <v>28</v>
      </c>
    </row>
    <row r="880" spans="1:8" x14ac:dyDescent="0.3">
      <c r="A880" s="34">
        <v>879</v>
      </c>
      <c r="B880" s="34">
        <v>378</v>
      </c>
      <c r="C880" s="34">
        <v>7</v>
      </c>
      <c r="D880" s="34">
        <v>846</v>
      </c>
      <c r="E880" s="34">
        <v>36</v>
      </c>
      <c r="F880" s="34" t="s">
        <v>54</v>
      </c>
      <c r="G880" s="97">
        <v>0.88241718555782234</v>
      </c>
      <c r="H880" s="34">
        <v>29</v>
      </c>
    </row>
    <row r="881" spans="1:8" x14ac:dyDescent="0.3">
      <c r="A881" s="34">
        <v>880</v>
      </c>
      <c r="B881" s="34">
        <v>181</v>
      </c>
      <c r="C881" s="34">
        <v>36</v>
      </c>
      <c r="D881" s="34">
        <v>9572</v>
      </c>
      <c r="E881" s="34">
        <v>28</v>
      </c>
      <c r="F881" s="34" t="s">
        <v>55</v>
      </c>
      <c r="G881" s="97">
        <v>0.88310571886700728</v>
      </c>
      <c r="H881" s="34">
        <v>30</v>
      </c>
    </row>
    <row r="882" spans="1:8" x14ac:dyDescent="0.3">
      <c r="A882" s="34">
        <v>881</v>
      </c>
      <c r="B882" s="34">
        <v>915</v>
      </c>
      <c r="C882" s="34">
        <v>24</v>
      </c>
      <c r="D882" s="34">
        <v>3161</v>
      </c>
      <c r="E882" s="34">
        <v>31</v>
      </c>
      <c r="F882" s="34" t="s">
        <v>55</v>
      </c>
      <c r="G882" s="97">
        <v>0.88333666742817507</v>
      </c>
      <c r="H882" s="34">
        <v>31</v>
      </c>
    </row>
    <row r="883" spans="1:8" x14ac:dyDescent="0.3">
      <c r="A883" s="34">
        <v>882</v>
      </c>
      <c r="B883" s="34">
        <v>42</v>
      </c>
      <c r="C883" s="34">
        <v>12</v>
      </c>
      <c r="D883" s="34">
        <v>1158</v>
      </c>
      <c r="E883" s="34">
        <v>26</v>
      </c>
      <c r="F883" s="34" t="s">
        <v>54</v>
      </c>
      <c r="G883" s="97">
        <v>0.88369886826939437</v>
      </c>
      <c r="H883" s="34">
        <v>32</v>
      </c>
    </row>
    <row r="884" spans="1:8" x14ac:dyDescent="0.3">
      <c r="A884" s="34">
        <v>883</v>
      </c>
      <c r="B884" s="34">
        <v>555</v>
      </c>
      <c r="C884" s="34">
        <v>9</v>
      </c>
      <c r="D884" s="34">
        <v>1199</v>
      </c>
      <c r="E884" s="34">
        <v>67</v>
      </c>
      <c r="F884" s="34" t="s">
        <v>56</v>
      </c>
      <c r="G884" s="97">
        <v>0.88489829035659417</v>
      </c>
      <c r="H884" s="34">
        <v>33</v>
      </c>
    </row>
    <row r="885" spans="1:8" x14ac:dyDescent="0.3">
      <c r="A885" s="34">
        <v>884</v>
      </c>
      <c r="B885" s="34">
        <v>979</v>
      </c>
      <c r="C885" s="34">
        <v>24</v>
      </c>
      <c r="D885" s="34">
        <v>2538</v>
      </c>
      <c r="E885" s="34">
        <v>47</v>
      </c>
      <c r="F885" s="34" t="s">
        <v>55</v>
      </c>
      <c r="G885" s="97">
        <v>0.88603291213191504</v>
      </c>
      <c r="H885" s="34">
        <v>34</v>
      </c>
    </row>
    <row r="886" spans="1:8" x14ac:dyDescent="0.3">
      <c r="A886" s="34">
        <v>885</v>
      </c>
      <c r="B886" s="34">
        <v>772</v>
      </c>
      <c r="C886" s="34">
        <v>36</v>
      </c>
      <c r="D886" s="34">
        <v>8065</v>
      </c>
      <c r="E886" s="34">
        <v>25</v>
      </c>
      <c r="F886" s="34" t="s">
        <v>57</v>
      </c>
      <c r="G886" s="97">
        <v>0.88609819909977272</v>
      </c>
      <c r="H886" s="34">
        <v>35</v>
      </c>
    </row>
    <row r="887" spans="1:8" x14ac:dyDescent="0.3">
      <c r="A887" s="34">
        <v>886</v>
      </c>
      <c r="B887" s="34">
        <v>686</v>
      </c>
      <c r="C887" s="34">
        <v>60</v>
      </c>
      <c r="D887" s="34">
        <v>6527</v>
      </c>
      <c r="E887" s="34">
        <v>34</v>
      </c>
      <c r="F887" s="34" t="s">
        <v>54</v>
      </c>
      <c r="G887" s="97">
        <v>0.88939776628416822</v>
      </c>
      <c r="H887" s="34">
        <v>36</v>
      </c>
    </row>
    <row r="888" spans="1:8" x14ac:dyDescent="0.3">
      <c r="A888" s="34">
        <v>887</v>
      </c>
      <c r="B888" s="34">
        <v>553</v>
      </c>
      <c r="C888" s="34">
        <v>48</v>
      </c>
      <c r="D888" s="34">
        <v>6999</v>
      </c>
      <c r="E888" s="34">
        <v>34</v>
      </c>
      <c r="F888" s="34" t="s">
        <v>55</v>
      </c>
      <c r="G888" s="97">
        <v>0.88980121806903856</v>
      </c>
      <c r="H888" s="34">
        <v>37</v>
      </c>
    </row>
    <row r="889" spans="1:8" x14ac:dyDescent="0.3">
      <c r="A889" s="34">
        <v>888</v>
      </c>
      <c r="B889" s="34">
        <v>284</v>
      </c>
      <c r="C889" s="34">
        <v>15</v>
      </c>
      <c r="D889" s="34">
        <v>1520</v>
      </c>
      <c r="E889" s="34">
        <v>63</v>
      </c>
      <c r="F889" s="34" t="s">
        <v>54</v>
      </c>
      <c r="G889" s="97">
        <v>0.89124525487935335</v>
      </c>
      <c r="H889" s="34">
        <v>38</v>
      </c>
    </row>
    <row r="890" spans="1:8" x14ac:dyDescent="0.3">
      <c r="A890" s="34">
        <v>889</v>
      </c>
      <c r="B890" s="34">
        <v>462</v>
      </c>
      <c r="C890" s="34">
        <v>15</v>
      </c>
      <c r="D890" s="34">
        <v>1721</v>
      </c>
      <c r="E890" s="34">
        <v>36</v>
      </c>
      <c r="F890" s="34" t="s">
        <v>54</v>
      </c>
      <c r="G890" s="97">
        <v>0.89258393472653375</v>
      </c>
      <c r="H890" s="34">
        <v>39</v>
      </c>
    </row>
    <row r="891" spans="1:8" x14ac:dyDescent="0.3">
      <c r="A891" s="34">
        <v>890</v>
      </c>
      <c r="B891" s="34">
        <v>592</v>
      </c>
      <c r="C891" s="34">
        <v>24</v>
      </c>
      <c r="D891" s="34">
        <v>1965</v>
      </c>
      <c r="E891" s="34">
        <v>42</v>
      </c>
      <c r="F891" s="34" t="s">
        <v>56</v>
      </c>
      <c r="G891" s="97">
        <v>0.89374878627162935</v>
      </c>
      <c r="H891" s="34">
        <v>40</v>
      </c>
    </row>
    <row r="892" spans="1:8" x14ac:dyDescent="0.3">
      <c r="A892" s="34">
        <v>891</v>
      </c>
      <c r="B892" s="34">
        <v>94</v>
      </c>
      <c r="C892" s="34">
        <v>24</v>
      </c>
      <c r="D892" s="34">
        <v>3617</v>
      </c>
      <c r="E892" s="34">
        <v>20</v>
      </c>
      <c r="F892" s="34" t="s">
        <v>54</v>
      </c>
      <c r="G892" s="97">
        <v>0.89418151187709172</v>
      </c>
      <c r="H892" s="34">
        <v>41</v>
      </c>
    </row>
    <row r="893" spans="1:8" x14ac:dyDescent="0.3">
      <c r="A893" s="34">
        <v>892</v>
      </c>
      <c r="B893" s="34">
        <v>982</v>
      </c>
      <c r="C893" s="34">
        <v>48</v>
      </c>
      <c r="D893" s="34">
        <v>4844</v>
      </c>
      <c r="E893" s="34">
        <v>33</v>
      </c>
      <c r="F893" s="34" t="s">
        <v>55</v>
      </c>
      <c r="G893" s="97">
        <v>0.89674528293110001</v>
      </c>
      <c r="H893" s="34">
        <v>42</v>
      </c>
    </row>
    <row r="894" spans="1:8" x14ac:dyDescent="0.3">
      <c r="A894" s="34">
        <v>893</v>
      </c>
      <c r="B894" s="34">
        <v>885</v>
      </c>
      <c r="C894" s="34">
        <v>24</v>
      </c>
      <c r="D894" s="34">
        <v>4057</v>
      </c>
      <c r="E894" s="34">
        <v>43</v>
      </c>
      <c r="F894" s="34" t="s">
        <v>55</v>
      </c>
      <c r="G894" s="97">
        <v>0.89946905707358837</v>
      </c>
      <c r="H894" s="34">
        <v>43</v>
      </c>
    </row>
    <row r="895" spans="1:8" x14ac:dyDescent="0.3">
      <c r="A895" s="34">
        <v>894</v>
      </c>
      <c r="B895" s="34">
        <v>663</v>
      </c>
      <c r="C895" s="34">
        <v>21</v>
      </c>
      <c r="D895" s="34">
        <v>2241</v>
      </c>
      <c r="E895" s="34">
        <v>50</v>
      </c>
      <c r="F895" s="34" t="s">
        <v>54</v>
      </c>
      <c r="G895" s="97">
        <v>0.90128535899297679</v>
      </c>
      <c r="H895" s="34">
        <v>44</v>
      </c>
    </row>
    <row r="896" spans="1:8" x14ac:dyDescent="0.3">
      <c r="A896" s="34">
        <v>895</v>
      </c>
      <c r="B896" s="34">
        <v>414</v>
      </c>
      <c r="C896" s="34">
        <v>10</v>
      </c>
      <c r="D896" s="34">
        <v>1597</v>
      </c>
      <c r="E896" s="34">
        <v>40</v>
      </c>
      <c r="F896" s="34" t="s">
        <v>54</v>
      </c>
      <c r="G896" s="97">
        <v>0.90138787009425725</v>
      </c>
      <c r="H896" s="34">
        <v>45</v>
      </c>
    </row>
    <row r="897" spans="1:8" x14ac:dyDescent="0.3">
      <c r="A897" s="34">
        <v>896</v>
      </c>
      <c r="B897" s="34">
        <v>497</v>
      </c>
      <c r="C897" s="34">
        <v>36</v>
      </c>
      <c r="D897" s="34">
        <v>9034</v>
      </c>
      <c r="E897" s="34">
        <v>29</v>
      </c>
      <c r="F897" s="34" t="s">
        <v>55</v>
      </c>
      <c r="G897" s="97">
        <v>0.90361983876879137</v>
      </c>
      <c r="H897" s="34">
        <v>46</v>
      </c>
    </row>
    <row r="898" spans="1:8" x14ac:dyDescent="0.3">
      <c r="A898" s="34">
        <v>897</v>
      </c>
      <c r="B898" s="34">
        <v>576</v>
      </c>
      <c r="C898" s="34">
        <v>15</v>
      </c>
      <c r="D898" s="34">
        <v>2788</v>
      </c>
      <c r="E898" s="34">
        <v>24</v>
      </c>
      <c r="F898" s="34" t="s">
        <v>56</v>
      </c>
      <c r="G898" s="97">
        <v>0.90434635705442767</v>
      </c>
      <c r="H898" s="34">
        <v>47</v>
      </c>
    </row>
    <row r="899" spans="1:8" x14ac:dyDescent="0.3">
      <c r="A899" s="34">
        <v>898</v>
      </c>
      <c r="B899" s="34">
        <v>617</v>
      </c>
      <c r="C899" s="34">
        <v>60</v>
      </c>
      <c r="D899" s="34">
        <v>9157</v>
      </c>
      <c r="E899" s="34">
        <v>27</v>
      </c>
      <c r="F899" s="34" t="s">
        <v>54</v>
      </c>
      <c r="G899" s="97">
        <v>0.90452151324845353</v>
      </c>
      <c r="H899" s="34">
        <v>48</v>
      </c>
    </row>
    <row r="900" spans="1:8" x14ac:dyDescent="0.3">
      <c r="A900" s="34">
        <v>899</v>
      </c>
      <c r="B900" s="34">
        <v>292</v>
      </c>
      <c r="C900" s="34">
        <v>36</v>
      </c>
      <c r="D900" s="34">
        <v>9398</v>
      </c>
      <c r="E900" s="34">
        <v>28</v>
      </c>
      <c r="F900" s="34" t="s">
        <v>55</v>
      </c>
      <c r="G900" s="97">
        <v>0.90525875343630335</v>
      </c>
      <c r="H900" s="34">
        <v>49</v>
      </c>
    </row>
    <row r="901" spans="1:8" x14ac:dyDescent="0.3">
      <c r="A901" s="34">
        <v>900</v>
      </c>
      <c r="B901" s="34">
        <v>588</v>
      </c>
      <c r="C901" s="34">
        <v>12</v>
      </c>
      <c r="D901" s="34">
        <v>1289</v>
      </c>
      <c r="E901" s="34">
        <v>21</v>
      </c>
      <c r="F901" s="34" t="s">
        <v>54</v>
      </c>
      <c r="G901" s="97">
        <v>0.90553547468166296</v>
      </c>
      <c r="H901" s="34">
        <v>50</v>
      </c>
    </row>
    <row r="902" spans="1:8" x14ac:dyDescent="0.3">
      <c r="A902" s="34">
        <v>901</v>
      </c>
      <c r="B902" s="34">
        <v>466</v>
      </c>
      <c r="C902" s="34">
        <v>24</v>
      </c>
      <c r="D902" s="34">
        <v>2924</v>
      </c>
      <c r="E902" s="34">
        <v>63</v>
      </c>
      <c r="F902" s="34" t="s">
        <v>54</v>
      </c>
      <c r="G902" s="97">
        <v>0.9070927305941523</v>
      </c>
      <c r="H902" s="34">
        <v>1</v>
      </c>
    </row>
    <row r="903" spans="1:8" x14ac:dyDescent="0.3">
      <c r="A903" s="34">
        <v>902</v>
      </c>
      <c r="B903" s="34">
        <v>124</v>
      </c>
      <c r="C903" s="34">
        <v>10</v>
      </c>
      <c r="D903" s="34">
        <v>781</v>
      </c>
      <c r="E903" s="34">
        <v>63</v>
      </c>
      <c r="F903" s="34" t="s">
        <v>54</v>
      </c>
      <c r="G903" s="97">
        <v>0.90885830767813147</v>
      </c>
      <c r="H903" s="34">
        <v>2</v>
      </c>
    </row>
    <row r="904" spans="1:8" x14ac:dyDescent="0.3">
      <c r="A904" s="34">
        <v>903</v>
      </c>
      <c r="B904" s="34">
        <v>151</v>
      </c>
      <c r="C904" s="34">
        <v>6</v>
      </c>
      <c r="D904" s="34">
        <v>1346</v>
      </c>
      <c r="E904" s="34">
        <v>42</v>
      </c>
      <c r="F904" s="34" t="s">
        <v>54</v>
      </c>
      <c r="G904" s="97">
        <v>0.90969769915950294</v>
      </c>
      <c r="H904" s="34">
        <v>3</v>
      </c>
    </row>
    <row r="905" spans="1:8" x14ac:dyDescent="0.3">
      <c r="A905" s="34">
        <v>904</v>
      </c>
      <c r="B905" s="34">
        <v>808</v>
      </c>
      <c r="C905" s="34">
        <v>12</v>
      </c>
      <c r="D905" s="34">
        <v>930</v>
      </c>
      <c r="E905" s="34">
        <v>65</v>
      </c>
      <c r="F905" s="34" t="s">
        <v>54</v>
      </c>
      <c r="G905" s="97">
        <v>0.91061578374907748</v>
      </c>
      <c r="H905" s="34">
        <v>4</v>
      </c>
    </row>
    <row r="906" spans="1:8" x14ac:dyDescent="0.3">
      <c r="A906" s="34">
        <v>905</v>
      </c>
      <c r="B906" s="34">
        <v>607</v>
      </c>
      <c r="C906" s="34">
        <v>24</v>
      </c>
      <c r="D906" s="34">
        <v>4526</v>
      </c>
      <c r="E906" s="34">
        <v>74</v>
      </c>
      <c r="F906" s="34" t="s">
        <v>54</v>
      </c>
      <c r="G906" s="97">
        <v>0.91199516443571838</v>
      </c>
      <c r="H906" s="34">
        <v>5</v>
      </c>
    </row>
    <row r="907" spans="1:8" x14ac:dyDescent="0.3">
      <c r="A907" s="34">
        <v>906</v>
      </c>
      <c r="B907" s="34">
        <v>247</v>
      </c>
      <c r="C907" s="34">
        <v>12</v>
      </c>
      <c r="D907" s="34">
        <v>717</v>
      </c>
      <c r="E907" s="34">
        <v>52</v>
      </c>
      <c r="F907" s="34" t="s">
        <v>54</v>
      </c>
      <c r="G907" s="97">
        <v>0.91468835999557541</v>
      </c>
      <c r="H907" s="34">
        <v>6</v>
      </c>
    </row>
    <row r="908" spans="1:8" x14ac:dyDescent="0.3">
      <c r="A908" s="34">
        <v>907</v>
      </c>
      <c r="B908" s="34">
        <v>301</v>
      </c>
      <c r="C908" s="34">
        <v>6</v>
      </c>
      <c r="D908" s="34">
        <v>672</v>
      </c>
      <c r="E908" s="34">
        <v>54</v>
      </c>
      <c r="F908" s="34" t="s">
        <v>56</v>
      </c>
      <c r="G908" s="97">
        <v>0.9153845748566487</v>
      </c>
      <c r="H908" s="34">
        <v>7</v>
      </c>
    </row>
    <row r="909" spans="1:8" x14ac:dyDescent="0.3">
      <c r="A909" s="34">
        <v>908</v>
      </c>
      <c r="B909" s="34">
        <v>111</v>
      </c>
      <c r="C909" s="34">
        <v>6</v>
      </c>
      <c r="D909" s="34">
        <v>1449</v>
      </c>
      <c r="E909" s="34">
        <v>31</v>
      </c>
      <c r="F909" s="34" t="s">
        <v>54</v>
      </c>
      <c r="G909" s="97">
        <v>0.9158290214446364</v>
      </c>
      <c r="H909" s="34">
        <v>8</v>
      </c>
    </row>
    <row r="910" spans="1:8" x14ac:dyDescent="0.3">
      <c r="A910" s="34">
        <v>909</v>
      </c>
      <c r="B910" s="34">
        <v>125</v>
      </c>
      <c r="C910" s="34">
        <v>18</v>
      </c>
      <c r="D910" s="34">
        <v>1924</v>
      </c>
      <c r="E910" s="34">
        <v>27</v>
      </c>
      <c r="F910" s="34" t="s">
        <v>57</v>
      </c>
      <c r="G910" s="97">
        <v>0.91631032677400281</v>
      </c>
      <c r="H910" s="34">
        <v>9</v>
      </c>
    </row>
    <row r="911" spans="1:8" x14ac:dyDescent="0.3">
      <c r="A911" s="34">
        <v>910</v>
      </c>
      <c r="B911" s="34">
        <v>159</v>
      </c>
      <c r="C911" s="34">
        <v>24</v>
      </c>
      <c r="D911" s="34">
        <v>3512</v>
      </c>
      <c r="E911" s="34">
        <v>38</v>
      </c>
      <c r="F911" s="34" t="s">
        <v>54</v>
      </c>
      <c r="G911" s="97">
        <v>0.91696913849863204</v>
      </c>
      <c r="H911" s="34">
        <v>10</v>
      </c>
    </row>
    <row r="912" spans="1:8" x14ac:dyDescent="0.3">
      <c r="A912" s="34">
        <v>911</v>
      </c>
      <c r="B912" s="34">
        <v>10</v>
      </c>
      <c r="C912" s="34">
        <v>30</v>
      </c>
      <c r="D912" s="34">
        <v>5234</v>
      </c>
      <c r="E912" s="34">
        <v>28</v>
      </c>
      <c r="F912" s="34" t="s">
        <v>55</v>
      </c>
      <c r="G912" s="97">
        <v>0.91707588436227305</v>
      </c>
      <c r="H912" s="34">
        <v>11</v>
      </c>
    </row>
    <row r="913" spans="1:8" x14ac:dyDescent="0.3">
      <c r="A913" s="34">
        <v>912</v>
      </c>
      <c r="B913" s="34">
        <v>723</v>
      </c>
      <c r="C913" s="34">
        <v>12</v>
      </c>
      <c r="D913" s="34">
        <v>1228</v>
      </c>
      <c r="E913" s="34">
        <v>24</v>
      </c>
      <c r="F913" s="34" t="s">
        <v>57</v>
      </c>
      <c r="G913" s="97">
        <v>0.91828152555425424</v>
      </c>
      <c r="H913" s="34">
        <v>12</v>
      </c>
    </row>
    <row r="914" spans="1:8" x14ac:dyDescent="0.3">
      <c r="A914" s="34">
        <v>913</v>
      </c>
      <c r="B914" s="34">
        <v>431</v>
      </c>
      <c r="C914" s="34">
        <v>5</v>
      </c>
      <c r="D914" s="34">
        <v>3448</v>
      </c>
      <c r="E914" s="34">
        <v>74</v>
      </c>
      <c r="F914" s="34" t="s">
        <v>54</v>
      </c>
      <c r="G914" s="97">
        <v>0.91829489221590688</v>
      </c>
      <c r="H914" s="34">
        <v>13</v>
      </c>
    </row>
    <row r="915" spans="1:8" x14ac:dyDescent="0.3">
      <c r="A915" s="34">
        <v>914</v>
      </c>
      <c r="B915" s="34">
        <v>863</v>
      </c>
      <c r="C915" s="34">
        <v>24</v>
      </c>
      <c r="D915" s="34">
        <v>2439</v>
      </c>
      <c r="E915" s="34">
        <v>35</v>
      </c>
      <c r="F915" s="34" t="s">
        <v>57</v>
      </c>
      <c r="G915" s="97">
        <v>0.9200936822303466</v>
      </c>
      <c r="H915" s="34">
        <v>14</v>
      </c>
    </row>
    <row r="916" spans="1:8" x14ac:dyDescent="0.3">
      <c r="A916" s="34">
        <v>915</v>
      </c>
      <c r="B916" s="34">
        <v>711</v>
      </c>
      <c r="C916" s="34">
        <v>18</v>
      </c>
      <c r="D916" s="34">
        <v>629</v>
      </c>
      <c r="E916" s="34">
        <v>32</v>
      </c>
      <c r="F916" s="34" t="s">
        <v>54</v>
      </c>
      <c r="G916" s="97">
        <v>0.9206908267218592</v>
      </c>
      <c r="H916" s="34">
        <v>15</v>
      </c>
    </row>
    <row r="917" spans="1:8" x14ac:dyDescent="0.3">
      <c r="A917" s="34">
        <v>916</v>
      </c>
      <c r="B917" s="34">
        <v>875</v>
      </c>
      <c r="C917" s="34">
        <v>12</v>
      </c>
      <c r="D917" s="34">
        <v>3590</v>
      </c>
      <c r="E917" s="34">
        <v>29</v>
      </c>
      <c r="F917" s="34" t="s">
        <v>54</v>
      </c>
      <c r="G917" s="97">
        <v>0.92082482252059261</v>
      </c>
      <c r="H917" s="34">
        <v>16</v>
      </c>
    </row>
    <row r="918" spans="1:8" x14ac:dyDescent="0.3">
      <c r="A918" s="34">
        <v>917</v>
      </c>
      <c r="B918" s="34">
        <v>687</v>
      </c>
      <c r="C918" s="34">
        <v>10</v>
      </c>
      <c r="D918" s="34">
        <v>1347</v>
      </c>
      <c r="E918" s="34">
        <v>27</v>
      </c>
      <c r="F918" s="34" t="s">
        <v>54</v>
      </c>
      <c r="G918" s="97">
        <v>0.92455543195071777</v>
      </c>
      <c r="H918" s="34">
        <v>17</v>
      </c>
    </row>
    <row r="919" spans="1:8" x14ac:dyDescent="0.3">
      <c r="A919" s="34">
        <v>918</v>
      </c>
      <c r="B919" s="34">
        <v>252</v>
      </c>
      <c r="C919" s="34">
        <v>12</v>
      </c>
      <c r="D919" s="34">
        <v>2251</v>
      </c>
      <c r="E919" s="34">
        <v>46</v>
      </c>
      <c r="F919" s="34" t="s">
        <v>56</v>
      </c>
      <c r="G919" s="97">
        <v>0.92466661531245642</v>
      </c>
      <c r="H919" s="34">
        <v>18</v>
      </c>
    </row>
    <row r="920" spans="1:8" x14ac:dyDescent="0.3">
      <c r="A920" s="34">
        <v>919</v>
      </c>
      <c r="B920" s="34">
        <v>985</v>
      </c>
      <c r="C920" s="34">
        <v>24</v>
      </c>
      <c r="D920" s="34">
        <v>2028</v>
      </c>
      <c r="E920" s="34">
        <v>30</v>
      </c>
      <c r="F920" s="34" t="s">
        <v>54</v>
      </c>
      <c r="G920" s="97">
        <v>0.9250550216979142</v>
      </c>
      <c r="H920" s="34">
        <v>19</v>
      </c>
    </row>
    <row r="921" spans="1:8" x14ac:dyDescent="0.3">
      <c r="A921" s="34">
        <v>920</v>
      </c>
      <c r="B921" s="34">
        <v>365</v>
      </c>
      <c r="C921" s="34">
        <v>18</v>
      </c>
      <c r="D921" s="34">
        <v>2473</v>
      </c>
      <c r="E921" s="34">
        <v>25</v>
      </c>
      <c r="F921" s="34" t="s">
        <v>55</v>
      </c>
      <c r="G921" s="97">
        <v>0.92566721772652505</v>
      </c>
      <c r="H921" s="34">
        <v>20</v>
      </c>
    </row>
    <row r="922" spans="1:8" x14ac:dyDescent="0.3">
      <c r="A922" s="34">
        <v>921</v>
      </c>
      <c r="B922" s="34">
        <v>359</v>
      </c>
      <c r="C922" s="34">
        <v>12</v>
      </c>
      <c r="D922" s="34">
        <v>776</v>
      </c>
      <c r="E922" s="34">
        <v>28</v>
      </c>
      <c r="F922" s="34" t="s">
        <v>54</v>
      </c>
      <c r="G922" s="97">
        <v>0.92571809221058154</v>
      </c>
      <c r="H922" s="34">
        <v>21</v>
      </c>
    </row>
    <row r="923" spans="1:8" x14ac:dyDescent="0.3">
      <c r="A923" s="34">
        <v>922</v>
      </c>
      <c r="B923" s="34">
        <v>605</v>
      </c>
      <c r="C923" s="34">
        <v>10</v>
      </c>
      <c r="D923" s="34">
        <v>1275</v>
      </c>
      <c r="E923" s="34">
        <v>23</v>
      </c>
      <c r="F923" s="34" t="s">
        <v>56</v>
      </c>
      <c r="G923" s="97">
        <v>0.92872824601343762</v>
      </c>
      <c r="H923" s="34">
        <v>22</v>
      </c>
    </row>
    <row r="924" spans="1:8" x14ac:dyDescent="0.3">
      <c r="A924" s="34">
        <v>923</v>
      </c>
      <c r="B924" s="34">
        <v>107</v>
      </c>
      <c r="C924" s="34">
        <v>18</v>
      </c>
      <c r="D924" s="34">
        <v>6458</v>
      </c>
      <c r="E924" s="34">
        <v>39</v>
      </c>
      <c r="F924" s="34" t="s">
        <v>55</v>
      </c>
      <c r="G924" s="97">
        <v>0.93025942977907261</v>
      </c>
      <c r="H924" s="34">
        <v>23</v>
      </c>
    </row>
    <row r="925" spans="1:8" x14ac:dyDescent="0.3">
      <c r="A925" s="34">
        <v>924</v>
      </c>
      <c r="B925" s="34">
        <v>196</v>
      </c>
      <c r="C925" s="34">
        <v>9</v>
      </c>
      <c r="D925" s="34">
        <v>1501</v>
      </c>
      <c r="E925" s="34">
        <v>34</v>
      </c>
      <c r="F925" s="34" t="s">
        <v>57</v>
      </c>
      <c r="G925" s="97">
        <v>0.93437936704915936</v>
      </c>
      <c r="H925" s="34">
        <v>24</v>
      </c>
    </row>
    <row r="926" spans="1:8" x14ac:dyDescent="0.3">
      <c r="A926" s="34">
        <v>925</v>
      </c>
      <c r="B926" s="34">
        <v>918</v>
      </c>
      <c r="C926" s="34">
        <v>6</v>
      </c>
      <c r="D926" s="34">
        <v>14896</v>
      </c>
      <c r="E926" s="34">
        <v>68</v>
      </c>
      <c r="F926" s="34" t="s">
        <v>55</v>
      </c>
      <c r="G926" s="97">
        <v>0.93489339134188032</v>
      </c>
      <c r="H926" s="34">
        <v>25</v>
      </c>
    </row>
    <row r="927" spans="1:8" x14ac:dyDescent="0.3">
      <c r="A927" s="34">
        <v>926</v>
      </c>
      <c r="B927" s="34">
        <v>888</v>
      </c>
      <c r="C927" s="34">
        <v>48</v>
      </c>
      <c r="D927" s="34">
        <v>15672</v>
      </c>
      <c r="E927" s="34">
        <v>23</v>
      </c>
      <c r="F927" s="34" t="s">
        <v>55</v>
      </c>
      <c r="G927" s="97">
        <v>0.93514174858650678</v>
      </c>
      <c r="H927" s="34">
        <v>26</v>
      </c>
    </row>
    <row r="928" spans="1:8" x14ac:dyDescent="0.3">
      <c r="A928" s="34">
        <v>927</v>
      </c>
      <c r="B928" s="34">
        <v>356</v>
      </c>
      <c r="C928" s="34">
        <v>24</v>
      </c>
      <c r="D928" s="34">
        <v>1246</v>
      </c>
      <c r="E928" s="34">
        <v>23</v>
      </c>
      <c r="F928" s="34" t="s">
        <v>55</v>
      </c>
      <c r="G928" s="97">
        <v>0.93571384057950469</v>
      </c>
      <c r="H928" s="34">
        <v>27</v>
      </c>
    </row>
    <row r="929" spans="1:8" x14ac:dyDescent="0.3">
      <c r="A929" s="34">
        <v>928</v>
      </c>
      <c r="B929" s="34">
        <v>785</v>
      </c>
      <c r="C929" s="34">
        <v>20</v>
      </c>
      <c r="D929" s="34">
        <v>6468</v>
      </c>
      <c r="E929" s="34">
        <v>60</v>
      </c>
      <c r="F929" s="34" t="s">
        <v>54</v>
      </c>
      <c r="G929" s="97">
        <v>0.9359970873679524</v>
      </c>
      <c r="H929" s="34">
        <v>28</v>
      </c>
    </row>
    <row r="930" spans="1:8" x14ac:dyDescent="0.3">
      <c r="A930" s="34">
        <v>929</v>
      </c>
      <c r="B930" s="34">
        <v>199</v>
      </c>
      <c r="C930" s="34">
        <v>24</v>
      </c>
      <c r="D930" s="34">
        <v>2760</v>
      </c>
      <c r="E930" s="34">
        <v>36</v>
      </c>
      <c r="F930" s="34" t="s">
        <v>54</v>
      </c>
      <c r="G930" s="97">
        <v>0.93768679566160174</v>
      </c>
      <c r="H930" s="34">
        <v>29</v>
      </c>
    </row>
    <row r="931" spans="1:8" x14ac:dyDescent="0.3">
      <c r="A931" s="34">
        <v>930</v>
      </c>
      <c r="B931" s="34">
        <v>891</v>
      </c>
      <c r="C931" s="34">
        <v>27</v>
      </c>
      <c r="D931" s="34">
        <v>2442</v>
      </c>
      <c r="E931" s="34">
        <v>43</v>
      </c>
      <c r="F931" s="34" t="s">
        <v>54</v>
      </c>
      <c r="G931" s="97">
        <v>0.93886543250174948</v>
      </c>
      <c r="H931" s="34">
        <v>30</v>
      </c>
    </row>
    <row r="932" spans="1:8" x14ac:dyDescent="0.3">
      <c r="A932" s="34">
        <v>931</v>
      </c>
      <c r="B932" s="34">
        <v>801</v>
      </c>
      <c r="C932" s="34">
        <v>24</v>
      </c>
      <c r="D932" s="34">
        <v>1597</v>
      </c>
      <c r="E932" s="34">
        <v>54</v>
      </c>
      <c r="F932" s="34" t="s">
        <v>54</v>
      </c>
      <c r="G932" s="97">
        <v>0.94002493232807227</v>
      </c>
      <c r="H932" s="34">
        <v>31</v>
      </c>
    </row>
    <row r="933" spans="1:8" x14ac:dyDescent="0.3">
      <c r="A933" s="34">
        <v>932</v>
      </c>
      <c r="B933" s="34">
        <v>662</v>
      </c>
      <c r="C933" s="34">
        <v>12</v>
      </c>
      <c r="D933" s="34">
        <v>900</v>
      </c>
      <c r="E933" s="34">
        <v>23</v>
      </c>
      <c r="F933" s="34" t="s">
        <v>55</v>
      </c>
      <c r="G933" s="97">
        <v>0.94082801555330187</v>
      </c>
      <c r="H933" s="34">
        <v>32</v>
      </c>
    </row>
    <row r="934" spans="1:8" x14ac:dyDescent="0.3">
      <c r="A934" s="34">
        <v>933</v>
      </c>
      <c r="B934" s="34">
        <v>938</v>
      </c>
      <c r="C934" s="34">
        <v>6</v>
      </c>
      <c r="D934" s="34">
        <v>2063</v>
      </c>
      <c r="E934" s="34">
        <v>30</v>
      </c>
      <c r="F934" s="34" t="s">
        <v>54</v>
      </c>
      <c r="G934" s="97">
        <v>0.94188745677545305</v>
      </c>
      <c r="H934" s="34">
        <v>33</v>
      </c>
    </row>
    <row r="935" spans="1:8" x14ac:dyDescent="0.3">
      <c r="A935" s="34">
        <v>934</v>
      </c>
      <c r="B935" s="34">
        <v>288</v>
      </c>
      <c r="C935" s="34">
        <v>48</v>
      </c>
      <c r="D935" s="34">
        <v>7582</v>
      </c>
      <c r="E935" s="34">
        <v>31</v>
      </c>
      <c r="F935" s="34" t="s">
        <v>54</v>
      </c>
      <c r="G935" s="97">
        <v>0.94305238132263713</v>
      </c>
      <c r="H935" s="34">
        <v>34</v>
      </c>
    </row>
    <row r="936" spans="1:8" x14ac:dyDescent="0.3">
      <c r="A936" s="34">
        <v>935</v>
      </c>
      <c r="B936" s="34">
        <v>879</v>
      </c>
      <c r="C936" s="34">
        <v>9</v>
      </c>
      <c r="D936" s="34">
        <v>1422</v>
      </c>
      <c r="E936" s="34">
        <v>27</v>
      </c>
      <c r="F936" s="34" t="s">
        <v>55</v>
      </c>
      <c r="G936" s="97">
        <v>0.94390907530479939</v>
      </c>
      <c r="H936" s="34">
        <v>35</v>
      </c>
    </row>
    <row r="937" spans="1:8" x14ac:dyDescent="0.3">
      <c r="A937" s="34">
        <v>936</v>
      </c>
      <c r="B937" s="34">
        <v>183</v>
      </c>
      <c r="C937" s="34">
        <v>21</v>
      </c>
      <c r="D937" s="34">
        <v>1647</v>
      </c>
      <c r="E937" s="34">
        <v>40</v>
      </c>
      <c r="F937" s="34" t="s">
        <v>55</v>
      </c>
      <c r="G937" s="97">
        <v>0.94454347636298586</v>
      </c>
      <c r="H937" s="34">
        <v>36</v>
      </c>
    </row>
    <row r="938" spans="1:8" x14ac:dyDescent="0.3">
      <c r="A938" s="34">
        <v>937</v>
      </c>
      <c r="B938" s="34">
        <v>886</v>
      </c>
      <c r="C938" s="34">
        <v>12</v>
      </c>
      <c r="D938" s="34">
        <v>795</v>
      </c>
      <c r="E938" s="34">
        <v>53</v>
      </c>
      <c r="F938" s="34" t="s">
        <v>57</v>
      </c>
      <c r="G938" s="97">
        <v>0.94596116411075992</v>
      </c>
      <c r="H938" s="34">
        <v>37</v>
      </c>
    </row>
    <row r="939" spans="1:8" x14ac:dyDescent="0.3">
      <c r="A939" s="34">
        <v>938</v>
      </c>
      <c r="B939" s="34">
        <v>807</v>
      </c>
      <c r="C939" s="34">
        <v>6</v>
      </c>
      <c r="D939" s="34">
        <v>590</v>
      </c>
      <c r="E939" s="34">
        <v>26</v>
      </c>
      <c r="F939" s="34" t="s">
        <v>54</v>
      </c>
      <c r="G939" s="97">
        <v>0.9463048388561428</v>
      </c>
      <c r="H939" s="34">
        <v>38</v>
      </c>
    </row>
    <row r="940" spans="1:8" x14ac:dyDescent="0.3">
      <c r="A940" s="34">
        <v>939</v>
      </c>
      <c r="B940" s="34">
        <v>836</v>
      </c>
      <c r="C940" s="34">
        <v>12</v>
      </c>
      <c r="D940" s="34">
        <v>1082</v>
      </c>
      <c r="E940" s="34">
        <v>48</v>
      </c>
      <c r="F940" s="34" t="s">
        <v>55</v>
      </c>
      <c r="G940" s="97">
        <v>0.94681789874301192</v>
      </c>
      <c r="H940" s="34">
        <v>39</v>
      </c>
    </row>
    <row r="941" spans="1:8" x14ac:dyDescent="0.3">
      <c r="A941" s="34">
        <v>940</v>
      </c>
      <c r="B941" s="34">
        <v>695</v>
      </c>
      <c r="C941" s="34">
        <v>24</v>
      </c>
      <c r="D941" s="34">
        <v>2284</v>
      </c>
      <c r="E941" s="34">
        <v>28</v>
      </c>
      <c r="F941" s="34" t="s">
        <v>54</v>
      </c>
      <c r="G941" s="97">
        <v>0.94689113997785379</v>
      </c>
      <c r="H941" s="34">
        <v>40</v>
      </c>
    </row>
    <row r="942" spans="1:8" x14ac:dyDescent="0.3">
      <c r="A942" s="34">
        <v>941</v>
      </c>
      <c r="B942" s="34">
        <v>881</v>
      </c>
      <c r="C942" s="34">
        <v>24</v>
      </c>
      <c r="D942" s="34">
        <v>7814</v>
      </c>
      <c r="E942" s="34">
        <v>38</v>
      </c>
      <c r="F942" s="34" t="s">
        <v>54</v>
      </c>
      <c r="G942" s="97">
        <v>0.94759135884816725</v>
      </c>
      <c r="H942" s="34">
        <v>41</v>
      </c>
    </row>
    <row r="943" spans="1:8" x14ac:dyDescent="0.3">
      <c r="A943" s="34">
        <v>942</v>
      </c>
      <c r="B943" s="34">
        <v>132</v>
      </c>
      <c r="C943" s="34">
        <v>36</v>
      </c>
      <c r="D943" s="34">
        <v>6887</v>
      </c>
      <c r="E943" s="34">
        <v>29</v>
      </c>
      <c r="F943" s="34" t="s">
        <v>55</v>
      </c>
      <c r="G943" s="97">
        <v>0.94825652814413153</v>
      </c>
      <c r="H943" s="34">
        <v>42</v>
      </c>
    </row>
    <row r="944" spans="1:8" x14ac:dyDescent="0.3">
      <c r="A944" s="34">
        <v>943</v>
      </c>
      <c r="B944" s="34">
        <v>425</v>
      </c>
      <c r="C944" s="34">
        <v>12</v>
      </c>
      <c r="D944" s="34">
        <v>2762</v>
      </c>
      <c r="E944" s="34">
        <v>25</v>
      </c>
      <c r="F944" s="34" t="s">
        <v>57</v>
      </c>
      <c r="G944" s="97">
        <v>0.94853980103999369</v>
      </c>
      <c r="H944" s="34">
        <v>43</v>
      </c>
    </row>
    <row r="945" spans="1:8" x14ac:dyDescent="0.3">
      <c r="A945" s="34">
        <v>944</v>
      </c>
      <c r="B945" s="34">
        <v>158</v>
      </c>
      <c r="C945" s="34">
        <v>12</v>
      </c>
      <c r="D945" s="34">
        <v>339</v>
      </c>
      <c r="E945" s="34">
        <v>45</v>
      </c>
      <c r="F945" s="34" t="s">
        <v>54</v>
      </c>
      <c r="G945" s="97">
        <v>0.94880524158473123</v>
      </c>
      <c r="H945" s="34">
        <v>44</v>
      </c>
    </row>
    <row r="946" spans="1:8" x14ac:dyDescent="0.3">
      <c r="A946" s="34">
        <v>945</v>
      </c>
      <c r="B946" s="34">
        <v>991</v>
      </c>
      <c r="C946" s="34">
        <v>12</v>
      </c>
      <c r="D946" s="34">
        <v>3565</v>
      </c>
      <c r="E946" s="34">
        <v>37</v>
      </c>
      <c r="F946" s="34" t="s">
        <v>54</v>
      </c>
      <c r="G946" s="97">
        <v>0.94956257133684485</v>
      </c>
      <c r="H946" s="34">
        <v>45</v>
      </c>
    </row>
    <row r="947" spans="1:8" x14ac:dyDescent="0.3">
      <c r="A947" s="34">
        <v>946</v>
      </c>
      <c r="B947" s="34">
        <v>309</v>
      </c>
      <c r="C947" s="34">
        <v>8</v>
      </c>
      <c r="D947" s="34">
        <v>1237</v>
      </c>
      <c r="E947" s="34">
        <v>24</v>
      </c>
      <c r="F947" s="34" t="s">
        <v>57</v>
      </c>
      <c r="G947" s="97">
        <v>0.94995166169926337</v>
      </c>
      <c r="H947" s="34">
        <v>46</v>
      </c>
    </row>
    <row r="948" spans="1:8" x14ac:dyDescent="0.3">
      <c r="A948" s="34">
        <v>947</v>
      </c>
      <c r="B948" s="34">
        <v>638</v>
      </c>
      <c r="C948" s="34">
        <v>60</v>
      </c>
      <c r="D948" s="34">
        <v>15653</v>
      </c>
      <c r="E948" s="34">
        <v>21</v>
      </c>
      <c r="F948" s="34" t="s">
        <v>54</v>
      </c>
      <c r="G948" s="97">
        <v>0.95280313941521877</v>
      </c>
      <c r="H948" s="34">
        <v>47</v>
      </c>
    </row>
    <row r="949" spans="1:8" x14ac:dyDescent="0.3">
      <c r="A949" s="34">
        <v>948</v>
      </c>
      <c r="B949" s="34">
        <v>968</v>
      </c>
      <c r="C949" s="34">
        <v>15</v>
      </c>
      <c r="D949" s="34">
        <v>3568</v>
      </c>
      <c r="E949" s="34">
        <v>54</v>
      </c>
      <c r="F949" s="34" t="s">
        <v>56</v>
      </c>
      <c r="G949" s="97">
        <v>0.95399226381266111</v>
      </c>
      <c r="H949" s="34">
        <v>48</v>
      </c>
    </row>
    <row r="950" spans="1:8" x14ac:dyDescent="0.3">
      <c r="A950" s="34">
        <v>949</v>
      </c>
      <c r="B950" s="34">
        <v>379</v>
      </c>
      <c r="C950" s="34">
        <v>36</v>
      </c>
      <c r="D950" s="34">
        <v>14318</v>
      </c>
      <c r="E950" s="34">
        <v>57</v>
      </c>
      <c r="F950" s="34" t="s">
        <v>55</v>
      </c>
      <c r="G950" s="97">
        <v>0.95608717863551473</v>
      </c>
      <c r="H950" s="34">
        <v>49</v>
      </c>
    </row>
    <row r="951" spans="1:8" x14ac:dyDescent="0.3">
      <c r="A951" s="34">
        <v>950</v>
      </c>
      <c r="B951" s="34">
        <v>78</v>
      </c>
      <c r="C951" s="34">
        <v>11</v>
      </c>
      <c r="D951" s="34">
        <v>4771</v>
      </c>
      <c r="E951" s="34">
        <v>51</v>
      </c>
      <c r="F951" s="34" t="s">
        <v>54</v>
      </c>
      <c r="G951" s="97">
        <v>0.95616221566330528</v>
      </c>
      <c r="H951" s="34">
        <v>50</v>
      </c>
    </row>
    <row r="952" spans="1:8" x14ac:dyDescent="0.3">
      <c r="A952" s="34">
        <v>951</v>
      </c>
      <c r="B952" s="34">
        <v>921</v>
      </c>
      <c r="C952" s="34">
        <v>18</v>
      </c>
      <c r="D952" s="34">
        <v>1817</v>
      </c>
      <c r="E952" s="34">
        <v>28</v>
      </c>
      <c r="F952" s="34" t="s">
        <v>56</v>
      </c>
      <c r="G952" s="97">
        <v>0.95866237145043931</v>
      </c>
      <c r="H952" s="34">
        <v>1</v>
      </c>
    </row>
    <row r="953" spans="1:8" x14ac:dyDescent="0.3">
      <c r="A953" s="34">
        <v>952</v>
      </c>
      <c r="B953" s="34">
        <v>268</v>
      </c>
      <c r="C953" s="34">
        <v>24</v>
      </c>
      <c r="D953" s="34">
        <v>1533</v>
      </c>
      <c r="E953" s="34">
        <v>38</v>
      </c>
      <c r="F953" s="34" t="s">
        <v>56</v>
      </c>
      <c r="G953" s="97">
        <v>0.95917184825829782</v>
      </c>
      <c r="H953" s="34">
        <v>2</v>
      </c>
    </row>
    <row r="954" spans="1:8" x14ac:dyDescent="0.3">
      <c r="A954" s="34">
        <v>953</v>
      </c>
      <c r="B954" s="34">
        <v>927</v>
      </c>
      <c r="C954" s="34">
        <v>18</v>
      </c>
      <c r="D954" s="34">
        <v>1049</v>
      </c>
      <c r="E954" s="34">
        <v>21</v>
      </c>
      <c r="F954" s="34" t="s">
        <v>56</v>
      </c>
      <c r="G954" s="97">
        <v>0.96071571591526406</v>
      </c>
      <c r="H954" s="34">
        <v>3</v>
      </c>
    </row>
    <row r="955" spans="1:8" x14ac:dyDescent="0.3">
      <c r="A955" s="34">
        <v>954</v>
      </c>
      <c r="B955" s="34">
        <v>334</v>
      </c>
      <c r="C955" s="34">
        <v>48</v>
      </c>
      <c r="D955" s="34">
        <v>11590</v>
      </c>
      <c r="E955" s="34">
        <v>24</v>
      </c>
      <c r="F955" s="34" t="s">
        <v>57</v>
      </c>
      <c r="G955" s="97">
        <v>0.96098204957332967</v>
      </c>
      <c r="H955" s="34">
        <v>4</v>
      </c>
    </row>
    <row r="956" spans="1:8" x14ac:dyDescent="0.3">
      <c r="A956" s="34">
        <v>955</v>
      </c>
      <c r="B956" s="34">
        <v>637</v>
      </c>
      <c r="C956" s="34">
        <v>24</v>
      </c>
      <c r="D956" s="34">
        <v>1376</v>
      </c>
      <c r="E956" s="34">
        <v>28</v>
      </c>
      <c r="F956" s="34" t="s">
        <v>56</v>
      </c>
      <c r="G956" s="97">
        <v>0.96316703101618217</v>
      </c>
      <c r="H956" s="34">
        <v>5</v>
      </c>
    </row>
    <row r="957" spans="1:8" x14ac:dyDescent="0.3">
      <c r="A957" s="34">
        <v>956</v>
      </c>
      <c r="B957" s="34">
        <v>722</v>
      </c>
      <c r="C957" s="34">
        <v>6</v>
      </c>
      <c r="D957" s="34">
        <v>433</v>
      </c>
      <c r="E957" s="34">
        <v>24</v>
      </c>
      <c r="F957" s="34" t="s">
        <v>57</v>
      </c>
      <c r="G957" s="97">
        <v>0.96365902264073688</v>
      </c>
      <c r="H957" s="34">
        <v>6</v>
      </c>
    </row>
    <row r="958" spans="1:8" x14ac:dyDescent="0.3">
      <c r="A958" s="34">
        <v>957</v>
      </c>
      <c r="B958" s="34">
        <v>529</v>
      </c>
      <c r="C958" s="34">
        <v>36</v>
      </c>
      <c r="D958" s="34">
        <v>2302</v>
      </c>
      <c r="E958" s="34">
        <v>31</v>
      </c>
      <c r="F958" s="34" t="s">
        <v>55</v>
      </c>
      <c r="G958" s="97">
        <v>0.96405055751888846</v>
      </c>
      <c r="H958" s="34">
        <v>7</v>
      </c>
    </row>
    <row r="959" spans="1:8" x14ac:dyDescent="0.3">
      <c r="A959" s="34">
        <v>958</v>
      </c>
      <c r="B959" s="34">
        <v>870</v>
      </c>
      <c r="C959" s="34">
        <v>12</v>
      </c>
      <c r="D959" s="34">
        <v>652</v>
      </c>
      <c r="E959" s="34">
        <v>24</v>
      </c>
      <c r="F959" s="34" t="s">
        <v>56</v>
      </c>
      <c r="G959" s="97">
        <v>0.9647780250563105</v>
      </c>
      <c r="H959" s="34">
        <v>8</v>
      </c>
    </row>
    <row r="960" spans="1:8" x14ac:dyDescent="0.3">
      <c r="A960" s="34">
        <v>959</v>
      </c>
      <c r="B960" s="34">
        <v>168</v>
      </c>
      <c r="C960" s="34">
        <v>11</v>
      </c>
      <c r="D960" s="34">
        <v>1577</v>
      </c>
      <c r="E960" s="34">
        <v>20</v>
      </c>
      <c r="F960" s="34" t="s">
        <v>56</v>
      </c>
      <c r="G960" s="97">
        <v>0.96665145306022704</v>
      </c>
      <c r="H960" s="34">
        <v>9</v>
      </c>
    </row>
    <row r="961" spans="1:8" x14ac:dyDescent="0.3">
      <c r="A961" s="34">
        <v>960</v>
      </c>
      <c r="B961" s="34">
        <v>774</v>
      </c>
      <c r="C961" s="34">
        <v>24</v>
      </c>
      <c r="D961" s="34">
        <v>2223</v>
      </c>
      <c r="E961" s="34">
        <v>52</v>
      </c>
      <c r="F961" s="34" t="s">
        <v>54</v>
      </c>
      <c r="G961" s="97">
        <v>0.96667453115280499</v>
      </c>
      <c r="H961" s="34">
        <v>10</v>
      </c>
    </row>
    <row r="962" spans="1:8" x14ac:dyDescent="0.3">
      <c r="A962" s="34">
        <v>961</v>
      </c>
      <c r="B962" s="34">
        <v>387</v>
      </c>
      <c r="C962" s="34">
        <v>18</v>
      </c>
      <c r="D962" s="34">
        <v>1126</v>
      </c>
      <c r="E962" s="34">
        <v>21</v>
      </c>
      <c r="F962" s="34" t="s">
        <v>56</v>
      </c>
      <c r="G962" s="97">
        <v>0.96696443459539783</v>
      </c>
      <c r="H962" s="34">
        <v>11</v>
      </c>
    </row>
    <row r="963" spans="1:8" x14ac:dyDescent="0.3">
      <c r="A963" s="34">
        <v>962</v>
      </c>
      <c r="B963" s="34">
        <v>994</v>
      </c>
      <c r="C963" s="34">
        <v>36</v>
      </c>
      <c r="D963" s="34">
        <v>3959</v>
      </c>
      <c r="E963" s="34">
        <v>30</v>
      </c>
      <c r="F963" s="34" t="s">
        <v>54</v>
      </c>
      <c r="G963" s="97">
        <v>0.9672563122354394</v>
      </c>
      <c r="H963" s="34">
        <v>12</v>
      </c>
    </row>
    <row r="964" spans="1:8" x14ac:dyDescent="0.3">
      <c r="A964" s="34">
        <v>963</v>
      </c>
      <c r="B964" s="34">
        <v>956</v>
      </c>
      <c r="C964" s="34">
        <v>24</v>
      </c>
      <c r="D964" s="34">
        <v>1231</v>
      </c>
      <c r="E964" s="34">
        <v>57</v>
      </c>
      <c r="F964" s="34" t="s">
        <v>56</v>
      </c>
      <c r="G964" s="97">
        <v>0.96773392482957388</v>
      </c>
      <c r="H964" s="34">
        <v>13</v>
      </c>
    </row>
    <row r="965" spans="1:8" x14ac:dyDescent="0.3">
      <c r="A965" s="34">
        <v>964</v>
      </c>
      <c r="B965" s="34">
        <v>997</v>
      </c>
      <c r="C965" s="34">
        <v>30</v>
      </c>
      <c r="D965" s="34">
        <v>3857</v>
      </c>
      <c r="E965" s="34">
        <v>40</v>
      </c>
      <c r="F965" s="34" t="s">
        <v>54</v>
      </c>
      <c r="G965" s="97">
        <v>0.96875897743426387</v>
      </c>
      <c r="H965" s="34">
        <v>14</v>
      </c>
    </row>
    <row r="966" spans="1:8" x14ac:dyDescent="0.3">
      <c r="A966" s="34">
        <v>965</v>
      </c>
      <c r="B966" s="34">
        <v>999</v>
      </c>
      <c r="C966" s="34">
        <v>45</v>
      </c>
      <c r="D966" s="34">
        <v>1845</v>
      </c>
      <c r="E966" s="34">
        <v>23</v>
      </c>
      <c r="F966" s="34" t="s">
        <v>55</v>
      </c>
      <c r="G966" s="97">
        <v>0.96933746277855248</v>
      </c>
      <c r="H966" s="34">
        <v>15</v>
      </c>
    </row>
    <row r="967" spans="1:8" x14ac:dyDescent="0.3">
      <c r="A967" s="34">
        <v>966</v>
      </c>
      <c r="B967" s="34">
        <v>265</v>
      </c>
      <c r="C967" s="34">
        <v>10</v>
      </c>
      <c r="D967" s="34">
        <v>1231</v>
      </c>
      <c r="E967" s="34">
        <v>32</v>
      </c>
      <c r="F967" s="34" t="s">
        <v>54</v>
      </c>
      <c r="G967" s="97">
        <v>0.97021830646934615</v>
      </c>
      <c r="H967" s="34">
        <v>16</v>
      </c>
    </row>
    <row r="968" spans="1:8" x14ac:dyDescent="0.3">
      <c r="A968" s="34">
        <v>967</v>
      </c>
      <c r="B968" s="34">
        <v>570</v>
      </c>
      <c r="C968" s="34">
        <v>48</v>
      </c>
      <c r="D968" s="34">
        <v>6758</v>
      </c>
      <c r="E968" s="34">
        <v>31</v>
      </c>
      <c r="F968" s="34" t="s">
        <v>57</v>
      </c>
      <c r="G968" s="97">
        <v>0.97076679937568355</v>
      </c>
      <c r="H968" s="34">
        <v>17</v>
      </c>
    </row>
    <row r="969" spans="1:8" x14ac:dyDescent="0.3">
      <c r="A969" s="34">
        <v>968</v>
      </c>
      <c r="B969" s="34">
        <v>18</v>
      </c>
      <c r="C969" s="34">
        <v>30</v>
      </c>
      <c r="D969" s="34">
        <v>8072</v>
      </c>
      <c r="E969" s="34">
        <v>25</v>
      </c>
      <c r="F969" s="34" t="s">
        <v>54</v>
      </c>
      <c r="G969" s="97">
        <v>0.97220025217558526</v>
      </c>
      <c r="H969" s="34">
        <v>18</v>
      </c>
    </row>
    <row r="970" spans="1:8" x14ac:dyDescent="0.3">
      <c r="A970" s="34">
        <v>969</v>
      </c>
      <c r="B970" s="34">
        <v>537</v>
      </c>
      <c r="C970" s="34">
        <v>6</v>
      </c>
      <c r="D970" s="34">
        <v>1374</v>
      </c>
      <c r="E970" s="34">
        <v>75</v>
      </c>
      <c r="F970" s="34" t="s">
        <v>56</v>
      </c>
      <c r="G970" s="97">
        <v>0.97227500637240116</v>
      </c>
      <c r="H970" s="34">
        <v>19</v>
      </c>
    </row>
    <row r="971" spans="1:8" x14ac:dyDescent="0.3">
      <c r="A971" s="34">
        <v>970</v>
      </c>
      <c r="B971" s="34">
        <v>195</v>
      </c>
      <c r="C971" s="34">
        <v>45</v>
      </c>
      <c r="D971" s="34">
        <v>3031</v>
      </c>
      <c r="E971" s="34">
        <v>21</v>
      </c>
      <c r="F971" s="34" t="s">
        <v>55</v>
      </c>
      <c r="G971" s="97">
        <v>0.97392042314183902</v>
      </c>
      <c r="H971" s="34">
        <v>20</v>
      </c>
    </row>
    <row r="972" spans="1:8" x14ac:dyDescent="0.3">
      <c r="A972" s="34">
        <v>971</v>
      </c>
      <c r="B972" s="34">
        <v>474</v>
      </c>
      <c r="C972" s="34">
        <v>6</v>
      </c>
      <c r="D972" s="34">
        <v>1238</v>
      </c>
      <c r="E972" s="34">
        <v>36</v>
      </c>
      <c r="F972" s="34" t="s">
        <v>54</v>
      </c>
      <c r="G972" s="97">
        <v>0.97402724270997543</v>
      </c>
      <c r="H972" s="34">
        <v>21</v>
      </c>
    </row>
    <row r="973" spans="1:8" x14ac:dyDescent="0.3">
      <c r="A973" s="34">
        <v>972</v>
      </c>
      <c r="B973" s="34">
        <v>24</v>
      </c>
      <c r="C973" s="34">
        <v>12</v>
      </c>
      <c r="D973" s="34">
        <v>1804</v>
      </c>
      <c r="E973" s="34">
        <v>44</v>
      </c>
      <c r="F973" s="34" t="s">
        <v>54</v>
      </c>
      <c r="G973" s="97">
        <v>0.97408137046544041</v>
      </c>
      <c r="H973" s="34">
        <v>22</v>
      </c>
    </row>
    <row r="974" spans="1:8" x14ac:dyDescent="0.3">
      <c r="A974" s="34">
        <v>973</v>
      </c>
      <c r="B974" s="34">
        <v>91</v>
      </c>
      <c r="C974" s="34">
        <v>12</v>
      </c>
      <c r="D974" s="34">
        <v>618</v>
      </c>
      <c r="E974" s="34">
        <v>56</v>
      </c>
      <c r="F974" s="34" t="s">
        <v>54</v>
      </c>
      <c r="G974" s="97">
        <v>0.97551979495699948</v>
      </c>
      <c r="H974" s="34">
        <v>23</v>
      </c>
    </row>
    <row r="975" spans="1:8" x14ac:dyDescent="0.3">
      <c r="A975" s="34">
        <v>974</v>
      </c>
      <c r="B975" s="34">
        <v>837</v>
      </c>
      <c r="C975" s="34">
        <v>12</v>
      </c>
      <c r="D975" s="34">
        <v>886</v>
      </c>
      <c r="E975" s="34">
        <v>21</v>
      </c>
      <c r="F975" s="34" t="s">
        <v>56</v>
      </c>
      <c r="G975" s="97">
        <v>0.97696590309883313</v>
      </c>
      <c r="H975" s="34">
        <v>24</v>
      </c>
    </row>
    <row r="976" spans="1:8" x14ac:dyDescent="0.3">
      <c r="A976" s="34">
        <v>975</v>
      </c>
      <c r="B976" s="34">
        <v>623</v>
      </c>
      <c r="C976" s="34">
        <v>48</v>
      </c>
      <c r="D976" s="34">
        <v>3914</v>
      </c>
      <c r="E976" s="34">
        <v>38</v>
      </c>
      <c r="F976" s="34" t="s">
        <v>55</v>
      </c>
      <c r="G976" s="97">
        <v>0.97723862728995692</v>
      </c>
      <c r="H976" s="34">
        <v>25</v>
      </c>
    </row>
    <row r="977" spans="1:8" x14ac:dyDescent="0.3">
      <c r="A977" s="34">
        <v>976</v>
      </c>
      <c r="B977" s="34">
        <v>667</v>
      </c>
      <c r="C977" s="34">
        <v>30</v>
      </c>
      <c r="D977" s="34">
        <v>3496</v>
      </c>
      <c r="E977" s="34">
        <v>34</v>
      </c>
      <c r="F977" s="34" t="s">
        <v>54</v>
      </c>
      <c r="G977" s="97">
        <v>0.97726802374497657</v>
      </c>
      <c r="H977" s="34">
        <v>26</v>
      </c>
    </row>
    <row r="978" spans="1:8" x14ac:dyDescent="0.3">
      <c r="A978" s="34">
        <v>977</v>
      </c>
      <c r="B978" s="34">
        <v>839</v>
      </c>
      <c r="C978" s="34">
        <v>24</v>
      </c>
      <c r="D978" s="34">
        <v>2957</v>
      </c>
      <c r="E978" s="34">
        <v>63</v>
      </c>
      <c r="F978" s="34" t="s">
        <v>54</v>
      </c>
      <c r="G978" s="97">
        <v>0.9782786190144509</v>
      </c>
      <c r="H978" s="34">
        <v>27</v>
      </c>
    </row>
    <row r="979" spans="1:8" x14ac:dyDescent="0.3">
      <c r="A979" s="34">
        <v>978</v>
      </c>
      <c r="B979" s="34">
        <v>524</v>
      </c>
      <c r="C979" s="34">
        <v>24</v>
      </c>
      <c r="D979" s="34">
        <v>3488</v>
      </c>
      <c r="E979" s="34">
        <v>23</v>
      </c>
      <c r="F979" s="34" t="s">
        <v>56</v>
      </c>
      <c r="G979" s="97">
        <v>0.97917358244157215</v>
      </c>
      <c r="H979" s="34">
        <v>28</v>
      </c>
    </row>
    <row r="980" spans="1:8" x14ac:dyDescent="0.3">
      <c r="A980" s="34">
        <v>979</v>
      </c>
      <c r="B980" s="34">
        <v>160</v>
      </c>
      <c r="C980" s="34">
        <v>6</v>
      </c>
      <c r="D980" s="34">
        <v>1898</v>
      </c>
      <c r="E980" s="34">
        <v>34</v>
      </c>
      <c r="F980" s="34" t="s">
        <v>54</v>
      </c>
      <c r="G980" s="97">
        <v>0.97925917038320165</v>
      </c>
      <c r="H980" s="34">
        <v>29</v>
      </c>
    </row>
    <row r="981" spans="1:8" x14ac:dyDescent="0.3">
      <c r="A981" s="34">
        <v>980</v>
      </c>
      <c r="B981" s="34">
        <v>796</v>
      </c>
      <c r="C981" s="34">
        <v>9</v>
      </c>
      <c r="D981" s="34">
        <v>2301</v>
      </c>
      <c r="E981" s="34">
        <v>22</v>
      </c>
      <c r="F981" s="34" t="s">
        <v>56</v>
      </c>
      <c r="G981" s="97">
        <v>0.97941838831706329</v>
      </c>
      <c r="H981" s="34">
        <v>30</v>
      </c>
    </row>
    <row r="982" spans="1:8" x14ac:dyDescent="0.3">
      <c r="A982" s="34">
        <v>981</v>
      </c>
      <c r="B982" s="34">
        <v>121</v>
      </c>
      <c r="C982" s="34">
        <v>21</v>
      </c>
      <c r="D982" s="34">
        <v>1835</v>
      </c>
      <c r="E982" s="34">
        <v>25</v>
      </c>
      <c r="F982" s="34" t="s">
        <v>57</v>
      </c>
      <c r="G982" s="97">
        <v>0.97961574714001709</v>
      </c>
      <c r="H982" s="34">
        <v>31</v>
      </c>
    </row>
    <row r="983" spans="1:8" x14ac:dyDescent="0.3">
      <c r="A983" s="34">
        <v>982</v>
      </c>
      <c r="B983" s="34">
        <v>613</v>
      </c>
      <c r="C983" s="34">
        <v>21</v>
      </c>
      <c r="D983" s="34">
        <v>3357</v>
      </c>
      <c r="E983" s="34">
        <v>29</v>
      </c>
      <c r="F983" s="34" t="s">
        <v>56</v>
      </c>
      <c r="G983" s="97">
        <v>0.98019206035421047</v>
      </c>
      <c r="H983" s="34">
        <v>32</v>
      </c>
    </row>
    <row r="984" spans="1:8" x14ac:dyDescent="0.3">
      <c r="A984" s="34">
        <v>983</v>
      </c>
      <c r="B984" s="34">
        <v>568</v>
      </c>
      <c r="C984" s="34">
        <v>24</v>
      </c>
      <c r="D984" s="34">
        <v>2578</v>
      </c>
      <c r="E984" s="34">
        <v>34</v>
      </c>
      <c r="F984" s="34" t="s">
        <v>54</v>
      </c>
      <c r="G984" s="97">
        <v>0.98084401425676437</v>
      </c>
      <c r="H984" s="34">
        <v>33</v>
      </c>
    </row>
    <row r="985" spans="1:8" x14ac:dyDescent="0.3">
      <c r="A985" s="34">
        <v>984</v>
      </c>
      <c r="B985" s="34">
        <v>983</v>
      </c>
      <c r="C985" s="34">
        <v>21</v>
      </c>
      <c r="D985" s="34">
        <v>2923</v>
      </c>
      <c r="E985" s="34">
        <v>28</v>
      </c>
      <c r="F985" s="34" t="s">
        <v>56</v>
      </c>
      <c r="G985" s="97">
        <v>0.98222823285557004</v>
      </c>
      <c r="H985" s="34">
        <v>34</v>
      </c>
    </row>
    <row r="986" spans="1:8" x14ac:dyDescent="0.3">
      <c r="A986" s="34">
        <v>985</v>
      </c>
      <c r="B986" s="34">
        <v>949</v>
      </c>
      <c r="C986" s="34">
        <v>18</v>
      </c>
      <c r="D986" s="34">
        <v>1533</v>
      </c>
      <c r="E986" s="34">
        <v>43</v>
      </c>
      <c r="F986" s="34" t="s">
        <v>55</v>
      </c>
      <c r="G986" s="97">
        <v>0.98298962326650374</v>
      </c>
      <c r="H986" s="34">
        <v>35</v>
      </c>
    </row>
    <row r="987" spans="1:8" x14ac:dyDescent="0.3">
      <c r="A987" s="34">
        <v>986</v>
      </c>
      <c r="B987" s="34">
        <v>440</v>
      </c>
      <c r="C987" s="34">
        <v>12</v>
      </c>
      <c r="D987" s="34">
        <v>609</v>
      </c>
      <c r="E987" s="34">
        <v>26</v>
      </c>
      <c r="F987" s="34" t="s">
        <v>57</v>
      </c>
      <c r="G987" s="97">
        <v>0.98394628704647757</v>
      </c>
      <c r="H987" s="34">
        <v>36</v>
      </c>
    </row>
    <row r="988" spans="1:8" x14ac:dyDescent="0.3">
      <c r="A988" s="34">
        <v>987</v>
      </c>
      <c r="B988" s="34">
        <v>201</v>
      </c>
      <c r="C988" s="34">
        <v>9</v>
      </c>
      <c r="D988" s="34">
        <v>936</v>
      </c>
      <c r="E988" s="34">
        <v>52</v>
      </c>
      <c r="F988" s="34" t="s">
        <v>54</v>
      </c>
      <c r="G988" s="97">
        <v>0.98431383805353267</v>
      </c>
      <c r="H988" s="34">
        <v>37</v>
      </c>
    </row>
    <row r="989" spans="1:8" x14ac:dyDescent="0.3">
      <c r="A989" s="34">
        <v>988</v>
      </c>
      <c r="B989" s="34">
        <v>834</v>
      </c>
      <c r="C989" s="34">
        <v>24</v>
      </c>
      <c r="D989" s="34">
        <v>5084</v>
      </c>
      <c r="E989" s="34">
        <v>42</v>
      </c>
      <c r="F989" s="34" t="s">
        <v>56</v>
      </c>
      <c r="G989" s="97">
        <v>0.98477702237622644</v>
      </c>
      <c r="H989" s="34">
        <v>38</v>
      </c>
    </row>
    <row r="990" spans="1:8" x14ac:dyDescent="0.3">
      <c r="A990" s="34">
        <v>989</v>
      </c>
      <c r="B990" s="34">
        <v>65</v>
      </c>
      <c r="C990" s="34">
        <v>24</v>
      </c>
      <c r="D990" s="34">
        <v>3181</v>
      </c>
      <c r="E990" s="34">
        <v>26</v>
      </c>
      <c r="F990" s="34" t="s">
        <v>56</v>
      </c>
      <c r="G990" s="97">
        <v>0.98819805384851689</v>
      </c>
      <c r="H990" s="34">
        <v>39</v>
      </c>
    </row>
    <row r="991" spans="1:8" x14ac:dyDescent="0.3">
      <c r="A991" s="34">
        <v>990</v>
      </c>
      <c r="B991" s="34">
        <v>477</v>
      </c>
      <c r="C991" s="34">
        <v>39</v>
      </c>
      <c r="D991" s="34">
        <v>2569</v>
      </c>
      <c r="E991" s="34">
        <v>24</v>
      </c>
      <c r="F991" s="34" t="s">
        <v>54</v>
      </c>
      <c r="G991" s="97">
        <v>0.98835747742660107</v>
      </c>
      <c r="H991" s="34">
        <v>40</v>
      </c>
    </row>
    <row r="992" spans="1:8" x14ac:dyDescent="0.3">
      <c r="A992" s="34">
        <v>991</v>
      </c>
      <c r="B992" s="34">
        <v>249</v>
      </c>
      <c r="C992" s="34">
        <v>24</v>
      </c>
      <c r="D992" s="34">
        <v>1925</v>
      </c>
      <c r="E992" s="34">
        <v>26</v>
      </c>
      <c r="F992" s="34" t="s">
        <v>54</v>
      </c>
      <c r="G992" s="97">
        <v>0.98948410689838462</v>
      </c>
      <c r="H992" s="34">
        <v>41</v>
      </c>
    </row>
    <row r="993" spans="1:8" x14ac:dyDescent="0.3">
      <c r="A993" s="34">
        <v>992</v>
      </c>
      <c r="B993" s="34">
        <v>187</v>
      </c>
      <c r="C993" s="34">
        <v>9</v>
      </c>
      <c r="D993" s="34">
        <v>5129</v>
      </c>
      <c r="E993" s="34">
        <v>74</v>
      </c>
      <c r="F993" s="34" t="s">
        <v>57</v>
      </c>
      <c r="G993" s="97">
        <v>0.98964442448829226</v>
      </c>
      <c r="H993" s="34">
        <v>42</v>
      </c>
    </row>
    <row r="994" spans="1:8" x14ac:dyDescent="0.3">
      <c r="A994" s="34">
        <v>993</v>
      </c>
      <c r="B994" s="34">
        <v>838</v>
      </c>
      <c r="C994" s="34">
        <v>4</v>
      </c>
      <c r="D994" s="34">
        <v>601</v>
      </c>
      <c r="E994" s="34">
        <v>23</v>
      </c>
      <c r="F994" s="34" t="s">
        <v>56</v>
      </c>
      <c r="G994" s="97">
        <v>0.98993905947657757</v>
      </c>
      <c r="H994" s="34">
        <v>43</v>
      </c>
    </row>
    <row r="995" spans="1:8" x14ac:dyDescent="0.3">
      <c r="A995" s="34">
        <v>994</v>
      </c>
      <c r="B995" s="34">
        <v>572</v>
      </c>
      <c r="C995" s="34">
        <v>30</v>
      </c>
      <c r="D995" s="34">
        <v>5954</v>
      </c>
      <c r="E995" s="34">
        <v>38</v>
      </c>
      <c r="F995" s="34" t="s">
        <v>54</v>
      </c>
      <c r="G995" s="97">
        <v>0.99158490584055203</v>
      </c>
      <c r="H995" s="34">
        <v>44</v>
      </c>
    </row>
    <row r="996" spans="1:8" x14ac:dyDescent="0.3">
      <c r="A996" s="34">
        <v>995</v>
      </c>
      <c r="B996" s="34">
        <v>308</v>
      </c>
      <c r="C996" s="34">
        <v>12</v>
      </c>
      <c r="D996" s="34">
        <v>727</v>
      </c>
      <c r="E996" s="34">
        <v>33</v>
      </c>
      <c r="F996" s="34" t="s">
        <v>55</v>
      </c>
      <c r="G996" s="97">
        <v>0.99176343134054523</v>
      </c>
      <c r="H996" s="34">
        <v>45</v>
      </c>
    </row>
    <row r="997" spans="1:8" x14ac:dyDescent="0.3">
      <c r="A997" s="34">
        <v>996</v>
      </c>
      <c r="B997" s="34">
        <v>178</v>
      </c>
      <c r="C997" s="34">
        <v>6</v>
      </c>
      <c r="D997" s="34">
        <v>338</v>
      </c>
      <c r="E997" s="34">
        <v>52</v>
      </c>
      <c r="F997" s="34" t="s">
        <v>54</v>
      </c>
      <c r="G997" s="97">
        <v>0.99187795577001114</v>
      </c>
      <c r="H997" s="34">
        <v>46</v>
      </c>
    </row>
    <row r="998" spans="1:8" x14ac:dyDescent="0.3">
      <c r="A998" s="34">
        <v>997</v>
      </c>
      <c r="B998" s="34">
        <v>246</v>
      </c>
      <c r="C998" s="34">
        <v>24</v>
      </c>
      <c r="D998" s="34">
        <v>1258</v>
      </c>
      <c r="E998" s="34">
        <v>25</v>
      </c>
      <c r="F998" s="34" t="s">
        <v>54</v>
      </c>
      <c r="G998" s="97">
        <v>0.99266100221992903</v>
      </c>
      <c r="H998" s="34">
        <v>47</v>
      </c>
    </row>
    <row r="999" spans="1:8" x14ac:dyDescent="0.3">
      <c r="A999" s="34">
        <v>998</v>
      </c>
      <c r="B999" s="34">
        <v>144</v>
      </c>
      <c r="C999" s="34">
        <v>18</v>
      </c>
      <c r="D999" s="34">
        <v>2462</v>
      </c>
      <c r="E999" s="34">
        <v>22</v>
      </c>
      <c r="F999" s="34" t="s">
        <v>55</v>
      </c>
      <c r="G999" s="97">
        <v>0.99628010876833628</v>
      </c>
      <c r="H999" s="34">
        <v>48</v>
      </c>
    </row>
    <row r="1000" spans="1:8" x14ac:dyDescent="0.3">
      <c r="A1000" s="34">
        <v>999</v>
      </c>
      <c r="B1000" s="34">
        <v>233</v>
      </c>
      <c r="C1000" s="34">
        <v>12</v>
      </c>
      <c r="D1000" s="34">
        <v>2141</v>
      </c>
      <c r="E1000" s="34">
        <v>35</v>
      </c>
      <c r="F1000" s="34" t="s">
        <v>54</v>
      </c>
      <c r="G1000" s="97">
        <v>0.99680380312611194</v>
      </c>
      <c r="H1000" s="34">
        <v>49</v>
      </c>
    </row>
    <row r="1001" spans="1:8" x14ac:dyDescent="0.3">
      <c r="A1001" s="35">
        <v>1000</v>
      </c>
      <c r="B1001" s="35">
        <v>99</v>
      </c>
      <c r="C1001" s="35">
        <v>36</v>
      </c>
      <c r="D1001" s="35">
        <v>2337</v>
      </c>
      <c r="E1001" s="35">
        <v>36</v>
      </c>
      <c r="F1001" s="34" t="s">
        <v>54</v>
      </c>
      <c r="G1001" s="98">
        <v>0.99797598196134263</v>
      </c>
      <c r="H1001" s="35">
        <v>50</v>
      </c>
    </row>
  </sheetData>
  <autoFilter ref="A1:H1001" xr:uid="{7F7DD04C-AD2D-4AAF-9285-0CBBEC19826F}"/>
  <sortState xmlns:xlrd2="http://schemas.microsoft.com/office/spreadsheetml/2017/richdata2" ref="N3:O52">
    <sortCondition ref="O3:O52"/>
  </sortState>
  <mergeCells count="1">
    <mergeCell ref="N2:P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7423-97F9-4DDF-969E-D87E68339006}">
  <sheetPr>
    <tabColor theme="8" tint="0.59999389629810485"/>
  </sheetPr>
  <dimension ref="A1:M329"/>
  <sheetViews>
    <sheetView topLeftCell="A39" zoomScale="130" zoomScaleNormal="130" workbookViewId="0">
      <selection activeCell="B7" sqref="B7"/>
    </sheetView>
  </sheetViews>
  <sheetFormatPr defaultRowHeight="14.4" x14ac:dyDescent="0.3"/>
  <cols>
    <col min="2" max="2" width="12.33203125" customWidth="1"/>
    <col min="3" max="3" width="13.44140625" customWidth="1"/>
    <col min="7" max="7" width="9.44140625" bestFit="1" customWidth="1"/>
    <col min="8" max="8" width="11.109375" customWidth="1"/>
    <col min="12" max="12" width="8" customWidth="1"/>
  </cols>
  <sheetData>
    <row r="1" spans="1:13" ht="15" thickBot="1" x14ac:dyDescent="0.35"/>
    <row r="2" spans="1:13" ht="15.75" customHeight="1" thickBot="1" x14ac:dyDescent="0.35">
      <c r="B2" s="329" t="s">
        <v>163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1"/>
    </row>
    <row r="3" spans="1:13" x14ac:dyDescent="0.3">
      <c r="B3" s="332" t="s">
        <v>277</v>
      </c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4"/>
    </row>
    <row r="4" spans="1:13" x14ac:dyDescent="0.3">
      <c r="B4" s="335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7"/>
    </row>
    <row r="5" spans="1:13" x14ac:dyDescent="0.3">
      <c r="B5" s="335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7"/>
    </row>
    <row r="6" spans="1:13" ht="15" thickBot="1" x14ac:dyDescent="0.35">
      <c r="B6" s="338"/>
      <c r="C6" s="339"/>
      <c r="D6" s="339"/>
      <c r="E6" s="339"/>
      <c r="F6" s="339"/>
      <c r="G6" s="339"/>
      <c r="H6" s="339"/>
      <c r="I6" s="339"/>
      <c r="J6" s="339"/>
      <c r="K6" s="339"/>
      <c r="L6" s="339"/>
      <c r="M6" s="340"/>
    </row>
    <row r="7" spans="1:13" x14ac:dyDescent="0.3"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</row>
    <row r="8" spans="1:13" x14ac:dyDescent="0.3">
      <c r="C8" s="33" t="s">
        <v>81</v>
      </c>
      <c r="D8" s="33" t="s">
        <v>46</v>
      </c>
    </row>
    <row r="9" spans="1:13" x14ac:dyDescent="0.3">
      <c r="A9" s="204" t="s">
        <v>13</v>
      </c>
      <c r="B9" s="204" t="s">
        <v>12</v>
      </c>
      <c r="C9" s="204" t="s">
        <v>63</v>
      </c>
      <c r="D9" s="204" t="s">
        <v>87</v>
      </c>
      <c r="F9" s="207" t="s">
        <v>164</v>
      </c>
    </row>
    <row r="10" spans="1:13" ht="21" x14ac:dyDescent="0.45">
      <c r="A10" s="34">
        <v>1</v>
      </c>
      <c r="B10" s="34">
        <v>453</v>
      </c>
      <c r="C10" s="34">
        <v>12</v>
      </c>
      <c r="D10" s="34">
        <v>4</v>
      </c>
      <c r="F10" s="205" t="s">
        <v>82</v>
      </c>
      <c r="G10" s="251" t="s">
        <v>213</v>
      </c>
      <c r="H10" s="203" t="s">
        <v>83</v>
      </c>
    </row>
    <row r="11" spans="1:13" x14ac:dyDescent="0.3">
      <c r="A11" s="34">
        <v>2</v>
      </c>
      <c r="B11" s="34">
        <v>934</v>
      </c>
      <c r="C11" s="34">
        <v>12</v>
      </c>
      <c r="D11" s="34">
        <v>4</v>
      </c>
      <c r="F11" s="38">
        <v>4</v>
      </c>
      <c r="G11" s="12">
        <f>SUMIF($D$10:$D$209,F11,$C$10:$C$209)</f>
        <v>360</v>
      </c>
      <c r="H11" s="12">
        <f t="shared" ref="H11:H20" si="0">G11/$G$26</f>
        <v>18</v>
      </c>
    </row>
    <row r="12" spans="1:13" x14ac:dyDescent="0.3">
      <c r="A12" s="34">
        <v>3</v>
      </c>
      <c r="B12" s="34">
        <v>508</v>
      </c>
      <c r="C12" s="34">
        <v>15</v>
      </c>
      <c r="D12" s="34">
        <v>4</v>
      </c>
      <c r="F12" s="34">
        <v>11</v>
      </c>
      <c r="G12" s="75">
        <f t="shared" ref="G12:G20" si="1">SUMIF($D$10:$D$209,F12,$C$10:$C$209)</f>
        <v>470</v>
      </c>
      <c r="H12" s="75">
        <f>G12/$G$26</f>
        <v>23.5</v>
      </c>
    </row>
    <row r="13" spans="1:13" x14ac:dyDescent="0.3">
      <c r="A13" s="34">
        <v>4</v>
      </c>
      <c r="B13" s="34">
        <v>664</v>
      </c>
      <c r="C13" s="34">
        <v>6</v>
      </c>
      <c r="D13" s="34">
        <v>4</v>
      </c>
      <c r="F13" s="34">
        <v>12</v>
      </c>
      <c r="G13" s="75">
        <f t="shared" si="1"/>
        <v>525</v>
      </c>
      <c r="H13" s="75">
        <f t="shared" si="0"/>
        <v>26.25</v>
      </c>
    </row>
    <row r="14" spans="1:13" x14ac:dyDescent="0.3">
      <c r="A14" s="34">
        <v>5</v>
      </c>
      <c r="B14" s="34">
        <v>804</v>
      </c>
      <c r="C14" s="34">
        <v>12</v>
      </c>
      <c r="D14" s="34">
        <v>4</v>
      </c>
      <c r="F14" s="34">
        <v>15</v>
      </c>
      <c r="G14" s="75">
        <f t="shared" si="1"/>
        <v>436</v>
      </c>
      <c r="H14" s="75">
        <f t="shared" si="0"/>
        <v>21.8</v>
      </c>
    </row>
    <row r="15" spans="1:13" x14ac:dyDescent="0.3">
      <c r="A15" s="34">
        <v>6</v>
      </c>
      <c r="B15" s="34">
        <v>237</v>
      </c>
      <c r="C15" s="34">
        <v>6</v>
      </c>
      <c r="D15" s="34">
        <v>4</v>
      </c>
      <c r="F15" s="34">
        <v>23</v>
      </c>
      <c r="G15" s="75">
        <f t="shared" si="1"/>
        <v>516</v>
      </c>
      <c r="H15" s="75">
        <f t="shared" si="0"/>
        <v>25.8</v>
      </c>
    </row>
    <row r="16" spans="1:13" x14ac:dyDescent="0.3">
      <c r="A16" s="34">
        <v>7</v>
      </c>
      <c r="B16" s="34">
        <v>211</v>
      </c>
      <c r="C16" s="34">
        <v>9</v>
      </c>
      <c r="D16" s="34">
        <v>4</v>
      </c>
      <c r="F16" s="34">
        <v>29</v>
      </c>
      <c r="G16" s="75">
        <f t="shared" si="1"/>
        <v>441</v>
      </c>
      <c r="H16" s="75">
        <f t="shared" si="0"/>
        <v>22.05</v>
      </c>
    </row>
    <row r="17" spans="1:8" x14ac:dyDescent="0.3">
      <c r="A17" s="34">
        <v>8</v>
      </c>
      <c r="B17" s="34">
        <v>775</v>
      </c>
      <c r="C17" s="34">
        <v>12</v>
      </c>
      <c r="D17" s="34">
        <v>4</v>
      </c>
      <c r="F17" s="34">
        <v>34</v>
      </c>
      <c r="G17" s="75">
        <f t="shared" si="1"/>
        <v>412</v>
      </c>
      <c r="H17" s="75">
        <f t="shared" si="0"/>
        <v>20.6</v>
      </c>
    </row>
    <row r="18" spans="1:8" x14ac:dyDescent="0.3">
      <c r="A18" s="34">
        <v>9</v>
      </c>
      <c r="B18" s="34">
        <v>251</v>
      </c>
      <c r="C18" s="34">
        <v>6</v>
      </c>
      <c r="D18" s="34">
        <v>4</v>
      </c>
      <c r="F18" s="34">
        <v>35</v>
      </c>
      <c r="G18" s="75">
        <f t="shared" si="1"/>
        <v>411</v>
      </c>
      <c r="H18" s="75">
        <f t="shared" si="0"/>
        <v>20.55</v>
      </c>
    </row>
    <row r="19" spans="1:8" x14ac:dyDescent="0.3">
      <c r="A19" s="34">
        <v>10</v>
      </c>
      <c r="B19" s="34">
        <v>331</v>
      </c>
      <c r="C19" s="34">
        <v>24</v>
      </c>
      <c r="D19" s="34">
        <v>4</v>
      </c>
      <c r="F19" s="34">
        <v>38</v>
      </c>
      <c r="G19" s="75">
        <f t="shared" si="1"/>
        <v>324</v>
      </c>
      <c r="H19" s="75">
        <f t="shared" si="0"/>
        <v>16.2</v>
      </c>
    </row>
    <row r="20" spans="1:8" x14ac:dyDescent="0.3">
      <c r="A20" s="34">
        <v>11</v>
      </c>
      <c r="B20" s="34">
        <v>416</v>
      </c>
      <c r="C20" s="34">
        <v>36</v>
      </c>
      <c r="D20" s="34">
        <v>4</v>
      </c>
      <c r="F20" s="35">
        <v>46</v>
      </c>
      <c r="G20" s="13">
        <f t="shared" si="1"/>
        <v>422</v>
      </c>
      <c r="H20" s="13">
        <f t="shared" si="0"/>
        <v>21.1</v>
      </c>
    </row>
    <row r="21" spans="1:8" x14ac:dyDescent="0.3">
      <c r="A21" s="34">
        <v>12</v>
      </c>
      <c r="B21" s="34">
        <v>410</v>
      </c>
      <c r="C21" s="34">
        <v>12</v>
      </c>
      <c r="D21" s="34">
        <v>4</v>
      </c>
    </row>
    <row r="22" spans="1:8" x14ac:dyDescent="0.3">
      <c r="A22" s="34">
        <v>13</v>
      </c>
      <c r="B22" s="34">
        <v>643</v>
      </c>
      <c r="C22" s="34">
        <v>15</v>
      </c>
      <c r="D22" s="34">
        <v>4</v>
      </c>
      <c r="F22" s="25" t="s">
        <v>46</v>
      </c>
      <c r="G22" s="4">
        <v>1000</v>
      </c>
    </row>
    <row r="23" spans="1:8" x14ac:dyDescent="0.3">
      <c r="A23" s="34">
        <v>14</v>
      </c>
      <c r="B23" s="34">
        <v>858</v>
      </c>
      <c r="C23" s="34">
        <v>15</v>
      </c>
      <c r="D23" s="34">
        <v>4</v>
      </c>
      <c r="F23" s="25" t="s">
        <v>14</v>
      </c>
      <c r="G23" s="4">
        <v>50</v>
      </c>
    </row>
    <row r="24" spans="1:8" x14ac:dyDescent="0.3">
      <c r="A24" s="34">
        <v>15</v>
      </c>
      <c r="B24" s="34">
        <v>651</v>
      </c>
      <c r="C24" s="34">
        <v>48</v>
      </c>
      <c r="D24" s="34">
        <v>4</v>
      </c>
      <c r="F24" s="25" t="s">
        <v>84</v>
      </c>
      <c r="G24" s="4">
        <v>200</v>
      </c>
    </row>
    <row r="25" spans="1:8" x14ac:dyDescent="0.3">
      <c r="A25" s="34">
        <v>16</v>
      </c>
      <c r="B25" s="34">
        <v>737</v>
      </c>
      <c r="C25" s="34">
        <v>24</v>
      </c>
      <c r="D25" s="34">
        <v>4</v>
      </c>
      <c r="F25" s="25" t="s">
        <v>16</v>
      </c>
      <c r="G25" s="4">
        <v>10</v>
      </c>
    </row>
    <row r="26" spans="1:8" x14ac:dyDescent="0.3">
      <c r="A26" s="34">
        <v>17</v>
      </c>
      <c r="B26" s="34">
        <v>641</v>
      </c>
      <c r="C26" s="34">
        <v>18</v>
      </c>
      <c r="D26" s="34">
        <v>4</v>
      </c>
      <c r="F26" s="25" t="str">
        <f xml:space="preserve"> "M" &amp; _xlfn.UNICHAR(773)</f>
        <v>M̅</v>
      </c>
      <c r="G26" s="4">
        <f>G22/G23</f>
        <v>20</v>
      </c>
    </row>
    <row r="27" spans="1:8" x14ac:dyDescent="0.3">
      <c r="A27" s="34">
        <v>18</v>
      </c>
      <c r="B27" s="34">
        <v>372</v>
      </c>
      <c r="C27" s="34">
        <v>18</v>
      </c>
      <c r="D27" s="34">
        <v>4</v>
      </c>
      <c r="F27" s="25" t="s">
        <v>20</v>
      </c>
      <c r="G27" s="4">
        <v>2</v>
      </c>
    </row>
    <row r="28" spans="1:8" ht="15.6" x14ac:dyDescent="0.35">
      <c r="A28" s="34">
        <v>19</v>
      </c>
      <c r="B28" s="34">
        <v>808</v>
      </c>
      <c r="C28" s="34">
        <v>12</v>
      </c>
      <c r="D28" s="34">
        <v>4</v>
      </c>
      <c r="F28" s="25" t="s">
        <v>214</v>
      </c>
      <c r="G28" s="4" cm="1">
        <f t="array" ref="G28">(1/(G25-1))*SUM((G11:G20-AVERAGE(G11:G20))^2)</f>
        <v>3892.6777777777766</v>
      </c>
    </row>
    <row r="29" spans="1:8" x14ac:dyDescent="0.3">
      <c r="A29" s="34">
        <v>20</v>
      </c>
      <c r="B29" s="34">
        <v>334</v>
      </c>
      <c r="C29" s="34">
        <v>48</v>
      </c>
      <c r="D29" s="34">
        <v>4</v>
      </c>
      <c r="F29" s="25" t="s">
        <v>15</v>
      </c>
      <c r="G29" s="4">
        <f>ROUNDUP(G23/(1+G23*(G26^2)*(G27^2)/(9*G28)),0)</f>
        <v>16</v>
      </c>
      <c r="H29" t="s">
        <v>215</v>
      </c>
    </row>
    <row r="30" spans="1:8" x14ac:dyDescent="0.3">
      <c r="A30" s="34">
        <v>21</v>
      </c>
      <c r="B30" s="34">
        <v>256</v>
      </c>
      <c r="C30" s="34">
        <v>60</v>
      </c>
      <c r="D30" s="34">
        <v>11</v>
      </c>
      <c r="H30" t="s">
        <v>216</v>
      </c>
    </row>
    <row r="31" spans="1:8" x14ac:dyDescent="0.3">
      <c r="A31" s="34">
        <v>22</v>
      </c>
      <c r="B31" s="34">
        <v>402</v>
      </c>
      <c r="C31" s="34">
        <v>18</v>
      </c>
      <c r="D31" s="34">
        <v>11</v>
      </c>
    </row>
    <row r="32" spans="1:8" x14ac:dyDescent="0.3">
      <c r="A32" s="34">
        <v>23</v>
      </c>
      <c r="B32" s="34">
        <v>920</v>
      </c>
      <c r="C32" s="34">
        <v>24</v>
      </c>
      <c r="D32" s="34">
        <v>11</v>
      </c>
      <c r="F32" s="207" t="s">
        <v>164</v>
      </c>
    </row>
    <row r="33" spans="1:8" ht="21" x14ac:dyDescent="0.45">
      <c r="A33" s="34">
        <v>24</v>
      </c>
      <c r="B33" s="34">
        <v>523</v>
      </c>
      <c r="C33" s="34">
        <v>48</v>
      </c>
      <c r="D33" s="34">
        <v>11</v>
      </c>
      <c r="F33" s="205" t="s">
        <v>82</v>
      </c>
      <c r="G33" s="252" t="s">
        <v>213</v>
      </c>
      <c r="H33" s="253" t="s">
        <v>83</v>
      </c>
    </row>
    <row r="34" spans="1:8" x14ac:dyDescent="0.3">
      <c r="A34" s="34">
        <v>25</v>
      </c>
      <c r="B34" s="34">
        <v>184</v>
      </c>
      <c r="C34" s="34">
        <v>24</v>
      </c>
      <c r="D34" s="34">
        <v>11</v>
      </c>
      <c r="F34" s="96">
        <v>4</v>
      </c>
      <c r="G34" s="9">
        <f>SUMIF($D$10:$D$329,F34,$C$10:$C$329)</f>
        <v>360</v>
      </c>
      <c r="H34" s="12">
        <f>G34/$G$26</f>
        <v>18</v>
      </c>
    </row>
    <row r="35" spans="1:8" x14ac:dyDescent="0.3">
      <c r="A35" s="34">
        <v>26</v>
      </c>
      <c r="B35" s="34">
        <v>871</v>
      </c>
      <c r="C35" s="34">
        <v>36</v>
      </c>
      <c r="D35" s="34">
        <v>11</v>
      </c>
      <c r="F35" s="97">
        <v>11</v>
      </c>
      <c r="G35" s="19">
        <f t="shared" ref="G35:G49" si="2">SUMIF($D$10:$D$329,F35,$C$10:$C$329)</f>
        <v>470</v>
      </c>
      <c r="H35" s="75">
        <f>G35/$G$26</f>
        <v>23.5</v>
      </c>
    </row>
    <row r="36" spans="1:8" x14ac:dyDescent="0.3">
      <c r="A36" s="34">
        <v>27</v>
      </c>
      <c r="B36" s="34">
        <v>511</v>
      </c>
      <c r="C36" s="34">
        <v>12</v>
      </c>
      <c r="D36" s="34">
        <v>11</v>
      </c>
      <c r="F36" s="97">
        <v>12</v>
      </c>
      <c r="G36" s="19">
        <f t="shared" si="2"/>
        <v>525</v>
      </c>
      <c r="H36" s="75">
        <f t="shared" ref="H36:H49" si="3">G36/$G$26</f>
        <v>26.25</v>
      </c>
    </row>
    <row r="37" spans="1:8" x14ac:dyDescent="0.3">
      <c r="A37" s="34">
        <v>28</v>
      </c>
      <c r="B37" s="34">
        <v>393</v>
      </c>
      <c r="C37" s="34">
        <v>36</v>
      </c>
      <c r="D37" s="34">
        <v>11</v>
      </c>
      <c r="F37" s="97">
        <v>15</v>
      </c>
      <c r="G37" s="19">
        <f t="shared" si="2"/>
        <v>436</v>
      </c>
      <c r="H37" s="75">
        <f t="shared" si="3"/>
        <v>21.8</v>
      </c>
    </row>
    <row r="38" spans="1:8" x14ac:dyDescent="0.3">
      <c r="A38" s="34">
        <v>29</v>
      </c>
      <c r="B38" s="34">
        <v>880</v>
      </c>
      <c r="C38" s="34">
        <v>30</v>
      </c>
      <c r="D38" s="34">
        <v>11</v>
      </c>
      <c r="F38" s="97">
        <v>23</v>
      </c>
      <c r="G38" s="19">
        <f t="shared" si="2"/>
        <v>516</v>
      </c>
      <c r="H38" s="75">
        <f t="shared" si="3"/>
        <v>25.8</v>
      </c>
    </row>
    <row r="39" spans="1:8" x14ac:dyDescent="0.3">
      <c r="A39" s="34">
        <v>30</v>
      </c>
      <c r="B39" s="34">
        <v>714</v>
      </c>
      <c r="C39" s="34">
        <v>9</v>
      </c>
      <c r="D39" s="34">
        <v>11</v>
      </c>
      <c r="F39" s="97">
        <v>29</v>
      </c>
      <c r="G39" s="19">
        <f t="shared" si="2"/>
        <v>441</v>
      </c>
      <c r="H39" s="75">
        <f t="shared" si="3"/>
        <v>22.05</v>
      </c>
    </row>
    <row r="40" spans="1:8" x14ac:dyDescent="0.3">
      <c r="A40" s="34">
        <v>31</v>
      </c>
      <c r="B40" s="34">
        <v>876</v>
      </c>
      <c r="C40" s="34">
        <v>11</v>
      </c>
      <c r="D40" s="34">
        <v>11</v>
      </c>
      <c r="F40" s="97">
        <v>34</v>
      </c>
      <c r="G40" s="19">
        <f t="shared" si="2"/>
        <v>412</v>
      </c>
      <c r="H40" s="75">
        <f t="shared" si="3"/>
        <v>20.6</v>
      </c>
    </row>
    <row r="41" spans="1:8" x14ac:dyDescent="0.3">
      <c r="A41" s="34">
        <v>32</v>
      </c>
      <c r="B41" s="34">
        <v>679</v>
      </c>
      <c r="C41" s="34">
        <v>24</v>
      </c>
      <c r="D41" s="34">
        <v>11</v>
      </c>
      <c r="F41" s="97">
        <v>35</v>
      </c>
      <c r="G41" s="19">
        <f t="shared" si="2"/>
        <v>411</v>
      </c>
      <c r="H41" s="75">
        <f t="shared" si="3"/>
        <v>20.55</v>
      </c>
    </row>
    <row r="42" spans="1:8" x14ac:dyDescent="0.3">
      <c r="A42" s="34">
        <v>33</v>
      </c>
      <c r="B42" s="34">
        <v>824</v>
      </c>
      <c r="C42" s="34">
        <v>8</v>
      </c>
      <c r="D42" s="34">
        <v>11</v>
      </c>
      <c r="F42" s="97">
        <v>38</v>
      </c>
      <c r="G42" s="19">
        <f t="shared" si="2"/>
        <v>324</v>
      </c>
      <c r="H42" s="75">
        <f t="shared" si="3"/>
        <v>16.2</v>
      </c>
    </row>
    <row r="43" spans="1:8" x14ac:dyDescent="0.3">
      <c r="A43" s="34">
        <v>34</v>
      </c>
      <c r="B43" s="34">
        <v>222</v>
      </c>
      <c r="C43" s="34">
        <v>12</v>
      </c>
      <c r="D43" s="34">
        <v>11</v>
      </c>
      <c r="F43" s="98">
        <v>46</v>
      </c>
      <c r="G43" s="76">
        <f t="shared" si="2"/>
        <v>422</v>
      </c>
      <c r="H43" s="13">
        <f t="shared" si="3"/>
        <v>21.1</v>
      </c>
    </row>
    <row r="44" spans="1:8" x14ac:dyDescent="0.3">
      <c r="A44" s="34">
        <v>35</v>
      </c>
      <c r="B44" s="34">
        <v>88</v>
      </c>
      <c r="C44" s="34">
        <v>36</v>
      </c>
      <c r="D44" s="34">
        <v>11</v>
      </c>
      <c r="F44" s="97">
        <v>9</v>
      </c>
      <c r="G44" s="19">
        <f t="shared" si="2"/>
        <v>399</v>
      </c>
      <c r="H44" s="75">
        <f t="shared" si="3"/>
        <v>19.95</v>
      </c>
    </row>
    <row r="45" spans="1:8" x14ac:dyDescent="0.3">
      <c r="A45" s="34">
        <v>36</v>
      </c>
      <c r="B45" s="34">
        <v>917</v>
      </c>
      <c r="C45" s="34">
        <v>10</v>
      </c>
      <c r="D45" s="34">
        <v>11</v>
      </c>
      <c r="F45" s="97">
        <v>17</v>
      </c>
      <c r="G45" s="19">
        <f t="shared" si="2"/>
        <v>412</v>
      </c>
      <c r="H45" s="75">
        <f t="shared" si="3"/>
        <v>20.6</v>
      </c>
    </row>
    <row r="46" spans="1:8" x14ac:dyDescent="0.3">
      <c r="A46" s="34">
        <v>37</v>
      </c>
      <c r="B46" s="34">
        <v>217</v>
      </c>
      <c r="C46" s="34">
        <v>18</v>
      </c>
      <c r="D46" s="34">
        <v>11</v>
      </c>
      <c r="F46" s="97">
        <v>18</v>
      </c>
      <c r="G46" s="19">
        <f t="shared" si="2"/>
        <v>350</v>
      </c>
      <c r="H46" s="75">
        <f t="shared" si="3"/>
        <v>17.5</v>
      </c>
    </row>
    <row r="47" spans="1:8" x14ac:dyDescent="0.3">
      <c r="A47" s="34">
        <v>38</v>
      </c>
      <c r="B47" s="34">
        <v>197</v>
      </c>
      <c r="C47" s="34">
        <v>6</v>
      </c>
      <c r="D47" s="34">
        <v>11</v>
      </c>
      <c r="F47" s="97">
        <v>27</v>
      </c>
      <c r="G47" s="19">
        <f t="shared" si="2"/>
        <v>460</v>
      </c>
      <c r="H47" s="75">
        <f t="shared" si="3"/>
        <v>23</v>
      </c>
    </row>
    <row r="48" spans="1:8" x14ac:dyDescent="0.3">
      <c r="A48" s="34">
        <v>39</v>
      </c>
      <c r="B48" s="34">
        <v>10</v>
      </c>
      <c r="C48" s="34">
        <v>30</v>
      </c>
      <c r="D48" s="34">
        <v>11</v>
      </c>
      <c r="F48" s="97">
        <v>32</v>
      </c>
      <c r="G48" s="19">
        <f t="shared" si="2"/>
        <v>405</v>
      </c>
      <c r="H48" s="75">
        <f t="shared" si="3"/>
        <v>20.25</v>
      </c>
    </row>
    <row r="49" spans="1:8" x14ac:dyDescent="0.3">
      <c r="A49" s="34">
        <v>40</v>
      </c>
      <c r="B49" s="34">
        <v>387</v>
      </c>
      <c r="C49" s="34">
        <v>18</v>
      </c>
      <c r="D49" s="34">
        <v>11</v>
      </c>
      <c r="F49" s="98">
        <v>49</v>
      </c>
      <c r="G49" s="76">
        <f t="shared" si="2"/>
        <v>377</v>
      </c>
      <c r="H49" s="13">
        <f t="shared" si="3"/>
        <v>18.850000000000001</v>
      </c>
    </row>
    <row r="50" spans="1:8" x14ac:dyDescent="0.3">
      <c r="A50" s="34">
        <v>41</v>
      </c>
      <c r="B50" s="34">
        <v>255</v>
      </c>
      <c r="C50" s="34">
        <v>9</v>
      </c>
      <c r="D50" s="34">
        <v>12</v>
      </c>
    </row>
    <row r="51" spans="1:8" x14ac:dyDescent="0.3">
      <c r="A51" s="34">
        <v>42</v>
      </c>
      <c r="B51" s="34">
        <v>391</v>
      </c>
      <c r="C51" s="34">
        <v>18</v>
      </c>
      <c r="D51" s="34">
        <v>12</v>
      </c>
      <c r="F51" s="25" t="s">
        <v>46</v>
      </c>
      <c r="G51" s="4">
        <v>1000</v>
      </c>
    </row>
    <row r="52" spans="1:8" x14ac:dyDescent="0.3">
      <c r="A52" s="34">
        <v>43</v>
      </c>
      <c r="B52" s="34">
        <v>972</v>
      </c>
      <c r="C52" s="34">
        <v>24</v>
      </c>
      <c r="D52" s="34">
        <v>12</v>
      </c>
      <c r="F52" s="25" t="s">
        <v>14</v>
      </c>
      <c r="G52" s="4">
        <v>50</v>
      </c>
    </row>
    <row r="53" spans="1:8" x14ac:dyDescent="0.3">
      <c r="A53" s="34">
        <v>44</v>
      </c>
      <c r="B53" s="34">
        <v>730</v>
      </c>
      <c r="C53" s="34">
        <v>24</v>
      </c>
      <c r="D53" s="34">
        <v>12</v>
      </c>
      <c r="F53" s="25" t="s">
        <v>84</v>
      </c>
      <c r="G53" s="4">
        <v>320</v>
      </c>
    </row>
    <row r="54" spans="1:8" x14ac:dyDescent="0.3">
      <c r="A54" s="34">
        <v>45</v>
      </c>
      <c r="B54" s="34">
        <v>333</v>
      </c>
      <c r="C54" s="34">
        <v>60</v>
      </c>
      <c r="D54" s="34">
        <v>12</v>
      </c>
      <c r="F54" s="25" t="s">
        <v>16</v>
      </c>
      <c r="G54" s="4">
        <v>16</v>
      </c>
    </row>
    <row r="55" spans="1:8" x14ac:dyDescent="0.3">
      <c r="A55" s="34">
        <v>46</v>
      </c>
      <c r="B55" s="34">
        <v>756</v>
      </c>
      <c r="C55" s="34">
        <v>24</v>
      </c>
      <c r="D55" s="34">
        <v>12</v>
      </c>
      <c r="F55" s="25" t="str">
        <f xml:space="preserve"> "M" &amp; _xlfn.UNICHAR(773)</f>
        <v>M̅</v>
      </c>
      <c r="G55" s="4">
        <f>G51/G52</f>
        <v>20</v>
      </c>
    </row>
    <row r="56" spans="1:8" x14ac:dyDescent="0.3">
      <c r="A56" s="34">
        <v>47</v>
      </c>
      <c r="B56" s="34">
        <v>230</v>
      </c>
      <c r="C56" s="34">
        <v>24</v>
      </c>
      <c r="D56" s="34">
        <v>12</v>
      </c>
      <c r="F56" s="25" t="s">
        <v>20</v>
      </c>
      <c r="G56" s="4">
        <v>2</v>
      </c>
    </row>
    <row r="57" spans="1:8" ht="15.6" x14ac:dyDescent="0.35">
      <c r="A57" s="34">
        <v>48</v>
      </c>
      <c r="B57" s="34">
        <v>447</v>
      </c>
      <c r="C57" s="34">
        <v>36</v>
      </c>
      <c r="D57" s="34">
        <v>12</v>
      </c>
      <c r="F57" s="25" t="s">
        <v>214</v>
      </c>
      <c r="G57" s="4">
        <f>_xlfn.VAR.S(G34:G49)</f>
        <v>3032.1333333333332</v>
      </c>
    </row>
    <row r="58" spans="1:8" x14ac:dyDescent="0.3">
      <c r="A58" s="34">
        <v>49</v>
      </c>
      <c r="B58" s="34">
        <v>900</v>
      </c>
      <c r="C58" s="34">
        <v>18</v>
      </c>
      <c r="D58" s="34">
        <v>12</v>
      </c>
      <c r="F58" s="25" t="s">
        <v>15</v>
      </c>
      <c r="G58" s="4">
        <f>ROUNDUP(G52/(1+G52*(G55^2)*(G56^2)/(9*G57)),0)</f>
        <v>13</v>
      </c>
      <c r="H58" t="s">
        <v>217</v>
      </c>
    </row>
    <row r="59" spans="1:8" x14ac:dyDescent="0.3">
      <c r="A59" s="34">
        <v>50</v>
      </c>
      <c r="B59" s="34">
        <v>869</v>
      </c>
      <c r="C59" s="34">
        <v>36</v>
      </c>
      <c r="D59" s="34">
        <v>12</v>
      </c>
      <c r="F59" s="25" t="s">
        <v>15</v>
      </c>
      <c r="G59" s="32">
        <v>16</v>
      </c>
      <c r="H59" t="s">
        <v>218</v>
      </c>
    </row>
    <row r="60" spans="1:8" x14ac:dyDescent="0.3">
      <c r="A60" s="34">
        <v>51</v>
      </c>
      <c r="B60" s="34">
        <v>647</v>
      </c>
      <c r="C60" s="34">
        <v>30</v>
      </c>
      <c r="D60" s="34">
        <v>12</v>
      </c>
    </row>
    <row r="61" spans="1:8" x14ac:dyDescent="0.3">
      <c r="A61" s="34">
        <v>52</v>
      </c>
      <c r="B61" s="34">
        <v>966</v>
      </c>
      <c r="C61" s="34">
        <v>30</v>
      </c>
      <c r="D61" s="34">
        <v>12</v>
      </c>
      <c r="F61" s="2" t="s">
        <v>69</v>
      </c>
    </row>
    <row r="62" spans="1:8" ht="15.6" x14ac:dyDescent="0.35">
      <c r="A62" s="34">
        <v>53</v>
      </c>
      <c r="B62" s="34">
        <v>738</v>
      </c>
      <c r="C62" s="34">
        <v>18</v>
      </c>
      <c r="D62" s="34">
        <v>12</v>
      </c>
      <c r="F62" s="208" t="s">
        <v>219</v>
      </c>
      <c r="G62" s="100">
        <f>SUM(G34:G49)/(G54*G55)</f>
        <v>21</v>
      </c>
    </row>
    <row r="63" spans="1:8" ht="15.6" x14ac:dyDescent="0.35">
      <c r="A63" s="34">
        <v>54</v>
      </c>
      <c r="B63" s="34">
        <v>454</v>
      </c>
      <c r="C63" s="34">
        <v>24</v>
      </c>
      <c r="D63" s="34">
        <v>12</v>
      </c>
      <c r="F63" s="28" t="s">
        <v>85</v>
      </c>
      <c r="G63" s="26">
        <f>_xlfn.VAR.S(G34:G49)</f>
        <v>3032.1333333333332</v>
      </c>
    </row>
    <row r="64" spans="1:8" x14ac:dyDescent="0.3">
      <c r="A64" s="34">
        <v>55</v>
      </c>
      <c r="B64" s="34">
        <v>142</v>
      </c>
      <c r="C64" s="34">
        <v>36</v>
      </c>
      <c r="D64" s="34">
        <v>12</v>
      </c>
      <c r="F64" s="28" t="str">
        <f>"D"&amp;_xlfn.UNICHAR(770) &amp; "²(ȳz)"</f>
        <v>D̂²(ȳz)</v>
      </c>
      <c r="G64" s="26">
        <f>(1-G59/G52)*(G63/(G54*(G55^2)))</f>
        <v>0.32216416666666664</v>
      </c>
    </row>
    <row r="65" spans="1:7" x14ac:dyDescent="0.3">
      <c r="A65" s="34">
        <v>56</v>
      </c>
      <c r="B65" s="34">
        <v>620</v>
      </c>
      <c r="C65" s="34">
        <v>12</v>
      </c>
      <c r="D65" s="34">
        <v>12</v>
      </c>
      <c r="F65" s="28" t="str">
        <f>"D"&amp;_xlfn.UNICHAR(770) &amp; "(ȳz)"</f>
        <v>D̂(ȳz)</v>
      </c>
      <c r="G65" s="100">
        <f>SQRT(G64)</f>
        <v>0.56759507279984966</v>
      </c>
    </row>
    <row r="66" spans="1:7" x14ac:dyDescent="0.3">
      <c r="A66" s="34">
        <v>57</v>
      </c>
      <c r="B66" s="34">
        <v>688</v>
      </c>
      <c r="C66" s="34">
        <v>36</v>
      </c>
      <c r="D66" s="34">
        <v>12</v>
      </c>
    </row>
    <row r="67" spans="1:7" x14ac:dyDescent="0.3">
      <c r="A67" s="34">
        <v>58</v>
      </c>
      <c r="B67" s="34">
        <v>134</v>
      </c>
      <c r="C67" s="34">
        <v>18</v>
      </c>
      <c r="D67" s="34">
        <v>12</v>
      </c>
      <c r="F67" t="s">
        <v>264</v>
      </c>
    </row>
    <row r="68" spans="1:7" x14ac:dyDescent="0.3">
      <c r="A68" s="34">
        <v>59</v>
      </c>
      <c r="B68" s="34">
        <v>723</v>
      </c>
      <c r="C68" s="34">
        <v>12</v>
      </c>
      <c r="D68" s="34">
        <v>12</v>
      </c>
    </row>
    <row r="69" spans="1:7" x14ac:dyDescent="0.3">
      <c r="A69" s="34">
        <v>60</v>
      </c>
      <c r="B69" s="34">
        <v>994</v>
      </c>
      <c r="C69" s="34">
        <v>36</v>
      </c>
      <c r="D69" s="34">
        <v>12</v>
      </c>
      <c r="F69" s="2" t="s">
        <v>71</v>
      </c>
    </row>
    <row r="70" spans="1:7" ht="15.6" x14ac:dyDescent="0.3">
      <c r="A70" s="34">
        <v>61</v>
      </c>
      <c r="B70" s="34">
        <v>294</v>
      </c>
      <c r="C70" s="34">
        <v>42</v>
      </c>
      <c r="D70" s="34">
        <v>15</v>
      </c>
      <c r="F70" s="64" t="s">
        <v>22</v>
      </c>
      <c r="G70" s="190">
        <f>G51*G62</f>
        <v>21000</v>
      </c>
    </row>
    <row r="71" spans="1:7" ht="15.6" x14ac:dyDescent="0.3">
      <c r="A71" s="34">
        <v>62</v>
      </c>
      <c r="B71" s="34">
        <v>856</v>
      </c>
      <c r="C71" s="34">
        <v>24</v>
      </c>
      <c r="D71" s="34">
        <v>15</v>
      </c>
      <c r="F71" s="64" t="str">
        <f>"D"&amp;_xlfn.UNICHAR(770) &amp; "²(ŷ)"</f>
        <v>D̂²(ŷ)</v>
      </c>
      <c r="G71" s="4">
        <f>G51*G62^2</f>
        <v>441000</v>
      </c>
    </row>
    <row r="72" spans="1:7" ht="15.6" x14ac:dyDescent="0.3">
      <c r="A72" s="34">
        <v>63</v>
      </c>
      <c r="B72" s="34">
        <v>675</v>
      </c>
      <c r="C72" s="34">
        <v>21</v>
      </c>
      <c r="D72" s="34">
        <v>15</v>
      </c>
      <c r="F72" s="64" t="str">
        <f>"D"&amp;_xlfn.UNICHAR(770) &amp; "(ŷ)"</f>
        <v>D̂(ŷ)</v>
      </c>
      <c r="G72" s="100">
        <f>SQRT(G71)</f>
        <v>664.07830863535969</v>
      </c>
    </row>
    <row r="73" spans="1:7" x14ac:dyDescent="0.3">
      <c r="A73" s="34">
        <v>64</v>
      </c>
      <c r="B73" s="34">
        <v>26</v>
      </c>
      <c r="C73" s="34">
        <v>6</v>
      </c>
      <c r="D73" s="34">
        <v>15</v>
      </c>
    </row>
    <row r="74" spans="1:7" x14ac:dyDescent="0.3">
      <c r="A74" s="34">
        <v>65</v>
      </c>
      <c r="B74" s="34">
        <v>945</v>
      </c>
      <c r="C74" s="34">
        <v>15</v>
      </c>
      <c r="D74" s="34">
        <v>15</v>
      </c>
      <c r="F74" t="s">
        <v>265</v>
      </c>
    </row>
    <row r="75" spans="1:7" x14ac:dyDescent="0.3">
      <c r="A75" s="34">
        <v>66</v>
      </c>
      <c r="B75" s="34">
        <v>404</v>
      </c>
      <c r="C75" s="34">
        <v>14</v>
      </c>
      <c r="D75" s="34">
        <v>15</v>
      </c>
    </row>
    <row r="76" spans="1:7" x14ac:dyDescent="0.3">
      <c r="A76" s="34">
        <v>67</v>
      </c>
      <c r="B76" s="34">
        <v>614</v>
      </c>
      <c r="C76" s="34">
        <v>24</v>
      </c>
      <c r="D76" s="34">
        <v>15</v>
      </c>
      <c r="F76" s="101" t="s">
        <v>165</v>
      </c>
    </row>
    <row r="77" spans="1:7" x14ac:dyDescent="0.3">
      <c r="A77" s="34">
        <v>68</v>
      </c>
      <c r="B77" s="34">
        <v>903</v>
      </c>
      <c r="C77" s="34">
        <v>36</v>
      </c>
      <c r="D77" s="34">
        <v>15</v>
      </c>
      <c r="F77" s="6" t="s">
        <v>80</v>
      </c>
      <c r="G77" s="4">
        <f>_xlfn.VAR.S(C10:C329)</f>
        <v>159.05956112852664</v>
      </c>
    </row>
    <row r="78" spans="1:7" x14ac:dyDescent="0.3">
      <c r="A78" s="34">
        <v>69</v>
      </c>
      <c r="B78" s="34">
        <v>105</v>
      </c>
      <c r="C78" s="34">
        <v>12</v>
      </c>
      <c r="D78" s="34">
        <v>15</v>
      </c>
      <c r="F78" s="6" t="str">
        <f>"K"&amp;_xlfn.UNICHAR(770)</f>
        <v>K̂</v>
      </c>
      <c r="G78" s="4">
        <f>(G63/(G55^2)-(G77/G55))/((G55-1)*G77/G55)</f>
        <v>-2.4661051525147124E-3</v>
      </c>
    </row>
    <row r="79" spans="1:7" x14ac:dyDescent="0.3">
      <c r="A79" s="34">
        <v>70</v>
      </c>
      <c r="B79" s="34">
        <v>313</v>
      </c>
      <c r="C79" s="34">
        <v>24</v>
      </c>
      <c r="D79" s="34">
        <v>15</v>
      </c>
      <c r="F79" s="6" t="str">
        <f>"D"&amp;_xlfn.UNICHAR(770) &amp; "²(ȳz)"</f>
        <v>D̂²(ȳz)</v>
      </c>
      <c r="G79" s="26">
        <f>(1+(G55-1)*G78)*G80</f>
        <v>0.32216416666666664</v>
      </c>
    </row>
    <row r="80" spans="1:7" x14ac:dyDescent="0.3">
      <c r="A80" s="34">
        <v>71</v>
      </c>
      <c r="B80" s="34">
        <v>7</v>
      </c>
      <c r="C80" s="34">
        <v>24</v>
      </c>
      <c r="D80" s="34">
        <v>15</v>
      </c>
      <c r="F80" s="6" t="str">
        <f>"D"&amp;_xlfn.UNICHAR(770) &amp; "²(ȳ)"</f>
        <v>D̂²(ȳ)</v>
      </c>
      <c r="G80" s="26">
        <f>(1-G53/G51)*(G77/G53)</f>
        <v>0.3380015673981191</v>
      </c>
    </row>
    <row r="81" spans="1:7" x14ac:dyDescent="0.3">
      <c r="A81" s="34">
        <v>72</v>
      </c>
      <c r="B81" s="34">
        <v>602</v>
      </c>
      <c r="C81" s="34">
        <v>9</v>
      </c>
      <c r="D81" s="34">
        <v>15</v>
      </c>
      <c r="F81" s="6" t="str">
        <f>"D"&amp;_xlfn.UNICHAR(770) &amp; "(ȳ)"</f>
        <v>D̂(ȳ)</v>
      </c>
      <c r="G81" s="26">
        <f>SQRT(G80)</f>
        <v>0.58137902215174486</v>
      </c>
    </row>
    <row r="82" spans="1:7" x14ac:dyDescent="0.3">
      <c r="A82" s="34">
        <v>73</v>
      </c>
      <c r="B82" s="34">
        <v>929</v>
      </c>
      <c r="C82" s="34">
        <v>30</v>
      </c>
      <c r="D82" s="34">
        <v>15</v>
      </c>
    </row>
    <row r="83" spans="1:7" x14ac:dyDescent="0.3">
      <c r="A83" s="34">
        <v>74</v>
      </c>
      <c r="B83" s="34">
        <v>580</v>
      </c>
      <c r="C83" s="34">
        <v>24</v>
      </c>
      <c r="D83" s="34">
        <v>15</v>
      </c>
      <c r="G83" s="261">
        <f>(G64-G80)/G80</f>
        <v>-4.6855997897779535E-2</v>
      </c>
    </row>
    <row r="84" spans="1:7" x14ac:dyDescent="0.3">
      <c r="A84" s="34">
        <v>75</v>
      </c>
      <c r="B84" s="34">
        <v>656</v>
      </c>
      <c r="C84" s="34">
        <v>14</v>
      </c>
      <c r="D84" s="34">
        <v>15</v>
      </c>
    </row>
    <row r="85" spans="1:7" x14ac:dyDescent="0.3">
      <c r="A85" s="34">
        <v>76</v>
      </c>
      <c r="B85" s="34">
        <v>780</v>
      </c>
      <c r="C85" s="34">
        <v>18</v>
      </c>
      <c r="D85" s="34">
        <v>15</v>
      </c>
      <c r="F85" s="43" t="s">
        <v>220</v>
      </c>
    </row>
    <row r="86" spans="1:7" x14ac:dyDescent="0.3">
      <c r="A86" s="34">
        <v>77</v>
      </c>
      <c r="B86" s="34">
        <v>189</v>
      </c>
      <c r="C86" s="34">
        <v>12</v>
      </c>
      <c r="D86" s="34">
        <v>15</v>
      </c>
    </row>
    <row r="87" spans="1:7" x14ac:dyDescent="0.3">
      <c r="A87" s="34">
        <v>78</v>
      </c>
      <c r="B87" s="34">
        <v>122</v>
      </c>
      <c r="C87" s="34">
        <v>24</v>
      </c>
      <c r="D87" s="34">
        <v>15</v>
      </c>
    </row>
    <row r="88" spans="1:7" x14ac:dyDescent="0.3">
      <c r="A88" s="34">
        <v>79</v>
      </c>
      <c r="B88" s="34">
        <v>711</v>
      </c>
      <c r="C88" s="34">
        <v>18</v>
      </c>
      <c r="D88" s="34">
        <v>15</v>
      </c>
    </row>
    <row r="89" spans="1:7" x14ac:dyDescent="0.3">
      <c r="A89" s="34">
        <v>80</v>
      </c>
      <c r="B89" s="34">
        <v>999</v>
      </c>
      <c r="C89" s="34">
        <v>45</v>
      </c>
      <c r="D89" s="34">
        <v>15</v>
      </c>
    </row>
    <row r="90" spans="1:7" x14ac:dyDescent="0.3">
      <c r="A90" s="34">
        <v>81</v>
      </c>
      <c r="B90" s="34">
        <v>718</v>
      </c>
      <c r="C90" s="34">
        <v>18</v>
      </c>
      <c r="D90" s="34">
        <v>23</v>
      </c>
    </row>
    <row r="91" spans="1:7" x14ac:dyDescent="0.3">
      <c r="A91" s="34">
        <v>82</v>
      </c>
      <c r="B91" s="34">
        <v>855</v>
      </c>
      <c r="C91" s="34">
        <v>36</v>
      </c>
      <c r="D91" s="34">
        <v>23</v>
      </c>
    </row>
    <row r="92" spans="1:7" x14ac:dyDescent="0.3">
      <c r="A92" s="34">
        <v>83</v>
      </c>
      <c r="B92" s="34">
        <v>226</v>
      </c>
      <c r="C92" s="34">
        <v>36</v>
      </c>
      <c r="D92" s="34">
        <v>23</v>
      </c>
    </row>
    <row r="93" spans="1:7" x14ac:dyDescent="0.3">
      <c r="A93" s="34">
        <v>84</v>
      </c>
      <c r="B93" s="34">
        <v>172</v>
      </c>
      <c r="C93" s="34">
        <v>12</v>
      </c>
      <c r="D93" s="34">
        <v>23</v>
      </c>
    </row>
    <row r="94" spans="1:7" x14ac:dyDescent="0.3">
      <c r="A94" s="34">
        <v>85</v>
      </c>
      <c r="B94" s="34">
        <v>752</v>
      </c>
      <c r="C94" s="34">
        <v>18</v>
      </c>
      <c r="D94" s="34">
        <v>23</v>
      </c>
    </row>
    <row r="95" spans="1:7" x14ac:dyDescent="0.3">
      <c r="A95" s="34">
        <v>86</v>
      </c>
      <c r="B95" s="34">
        <v>354</v>
      </c>
      <c r="C95" s="34">
        <v>12</v>
      </c>
      <c r="D95" s="34">
        <v>23</v>
      </c>
    </row>
    <row r="96" spans="1:7" x14ac:dyDescent="0.3">
      <c r="A96" s="34">
        <v>87</v>
      </c>
      <c r="B96" s="34">
        <v>873</v>
      </c>
      <c r="C96" s="34">
        <v>24</v>
      </c>
      <c r="D96" s="34">
        <v>23</v>
      </c>
    </row>
    <row r="97" spans="1:4" x14ac:dyDescent="0.3">
      <c r="A97" s="34">
        <v>88</v>
      </c>
      <c r="B97" s="34">
        <v>543</v>
      </c>
      <c r="C97" s="34">
        <v>30</v>
      </c>
      <c r="D97" s="34">
        <v>23</v>
      </c>
    </row>
    <row r="98" spans="1:4" x14ac:dyDescent="0.3">
      <c r="A98" s="34">
        <v>89</v>
      </c>
      <c r="B98" s="34">
        <v>522</v>
      </c>
      <c r="C98" s="34">
        <v>18</v>
      </c>
      <c r="D98" s="34">
        <v>23</v>
      </c>
    </row>
    <row r="99" spans="1:4" x14ac:dyDescent="0.3">
      <c r="A99" s="34">
        <v>90</v>
      </c>
      <c r="B99" s="34">
        <v>883</v>
      </c>
      <c r="C99" s="34">
        <v>30</v>
      </c>
      <c r="D99" s="34">
        <v>23</v>
      </c>
    </row>
    <row r="100" spans="1:4" x14ac:dyDescent="0.3">
      <c r="A100" s="34">
        <v>91</v>
      </c>
      <c r="B100" s="34">
        <v>130</v>
      </c>
      <c r="C100" s="34">
        <v>12</v>
      </c>
      <c r="D100" s="34">
        <v>23</v>
      </c>
    </row>
    <row r="101" spans="1:4" x14ac:dyDescent="0.3">
      <c r="A101" s="34">
        <v>92</v>
      </c>
      <c r="B101" s="34">
        <v>35</v>
      </c>
      <c r="C101" s="34">
        <v>12</v>
      </c>
      <c r="D101" s="34">
        <v>23</v>
      </c>
    </row>
    <row r="102" spans="1:4" x14ac:dyDescent="0.3">
      <c r="A102" s="34">
        <v>93</v>
      </c>
      <c r="B102" s="34">
        <v>754</v>
      </c>
      <c r="C102" s="34">
        <v>30</v>
      </c>
      <c r="D102" s="34">
        <v>23</v>
      </c>
    </row>
    <row r="103" spans="1:4" x14ac:dyDescent="0.3">
      <c r="A103" s="34">
        <v>94</v>
      </c>
      <c r="B103" s="34">
        <v>253</v>
      </c>
      <c r="C103" s="34">
        <v>30</v>
      </c>
      <c r="D103" s="34">
        <v>23</v>
      </c>
    </row>
    <row r="104" spans="1:4" x14ac:dyDescent="0.3">
      <c r="A104" s="34">
        <v>95</v>
      </c>
      <c r="B104" s="34">
        <v>262</v>
      </c>
      <c r="C104" s="34">
        <v>24</v>
      </c>
      <c r="D104" s="34">
        <v>23</v>
      </c>
    </row>
    <row r="105" spans="1:4" x14ac:dyDescent="0.3">
      <c r="A105" s="34">
        <v>96</v>
      </c>
      <c r="B105" s="34">
        <v>715</v>
      </c>
      <c r="C105" s="34">
        <v>60</v>
      </c>
      <c r="D105" s="34">
        <v>23</v>
      </c>
    </row>
    <row r="106" spans="1:4" x14ac:dyDescent="0.3">
      <c r="A106" s="34">
        <v>97</v>
      </c>
      <c r="B106" s="34">
        <v>569</v>
      </c>
      <c r="C106" s="34">
        <v>48</v>
      </c>
      <c r="D106" s="34">
        <v>23</v>
      </c>
    </row>
    <row r="107" spans="1:4" x14ac:dyDescent="0.3">
      <c r="A107" s="34">
        <v>98</v>
      </c>
      <c r="B107" s="34">
        <v>6</v>
      </c>
      <c r="C107" s="34">
        <v>36</v>
      </c>
      <c r="D107" s="34">
        <v>23</v>
      </c>
    </row>
    <row r="108" spans="1:4" x14ac:dyDescent="0.3">
      <c r="A108" s="34">
        <v>99</v>
      </c>
      <c r="B108" s="34">
        <v>107</v>
      </c>
      <c r="C108" s="34">
        <v>18</v>
      </c>
      <c r="D108" s="34">
        <v>23</v>
      </c>
    </row>
    <row r="109" spans="1:4" x14ac:dyDescent="0.3">
      <c r="A109" s="34">
        <v>100</v>
      </c>
      <c r="B109" s="34">
        <v>91</v>
      </c>
      <c r="C109" s="34">
        <v>12</v>
      </c>
      <c r="D109" s="34">
        <v>23</v>
      </c>
    </row>
    <row r="110" spans="1:4" x14ac:dyDescent="0.3">
      <c r="A110" s="34">
        <v>101</v>
      </c>
      <c r="B110" s="34">
        <v>703</v>
      </c>
      <c r="C110" s="34">
        <v>24</v>
      </c>
      <c r="D110" s="34">
        <v>29</v>
      </c>
    </row>
    <row r="111" spans="1:4" x14ac:dyDescent="0.3">
      <c r="A111" s="34">
        <v>102</v>
      </c>
      <c r="B111" s="34">
        <v>2</v>
      </c>
      <c r="C111" s="34">
        <v>48</v>
      </c>
      <c r="D111" s="34">
        <v>29</v>
      </c>
    </row>
    <row r="112" spans="1:4" x14ac:dyDescent="0.3">
      <c r="A112" s="34">
        <v>103</v>
      </c>
      <c r="B112" s="34">
        <v>319</v>
      </c>
      <c r="C112" s="34">
        <v>12</v>
      </c>
      <c r="D112" s="34">
        <v>29</v>
      </c>
    </row>
    <row r="113" spans="1:4" x14ac:dyDescent="0.3">
      <c r="A113" s="34">
        <v>104</v>
      </c>
      <c r="B113" s="34">
        <v>330</v>
      </c>
      <c r="C113" s="34">
        <v>6</v>
      </c>
      <c r="D113" s="34">
        <v>29</v>
      </c>
    </row>
    <row r="114" spans="1:4" x14ac:dyDescent="0.3">
      <c r="A114" s="34">
        <v>105</v>
      </c>
      <c r="B114" s="34">
        <v>86</v>
      </c>
      <c r="C114" s="34">
        <v>12</v>
      </c>
      <c r="D114" s="34">
        <v>29</v>
      </c>
    </row>
    <row r="115" spans="1:4" x14ac:dyDescent="0.3">
      <c r="A115" s="34">
        <v>106</v>
      </c>
      <c r="B115" s="34">
        <v>264</v>
      </c>
      <c r="C115" s="34">
        <v>12</v>
      </c>
      <c r="D115" s="34">
        <v>29</v>
      </c>
    </row>
    <row r="116" spans="1:4" x14ac:dyDescent="0.3">
      <c r="A116" s="34">
        <v>107</v>
      </c>
      <c r="B116" s="34">
        <v>394</v>
      </c>
      <c r="C116" s="34">
        <v>6</v>
      </c>
      <c r="D116" s="34">
        <v>29</v>
      </c>
    </row>
    <row r="117" spans="1:4" x14ac:dyDescent="0.3">
      <c r="A117" s="34">
        <v>108</v>
      </c>
      <c r="B117" s="34">
        <v>550</v>
      </c>
      <c r="C117" s="34">
        <v>48</v>
      </c>
      <c r="D117" s="34">
        <v>29</v>
      </c>
    </row>
    <row r="118" spans="1:4" x14ac:dyDescent="0.3">
      <c r="A118" s="34">
        <v>109</v>
      </c>
      <c r="B118" s="34">
        <v>54</v>
      </c>
      <c r="C118" s="34">
        <v>18</v>
      </c>
      <c r="D118" s="34">
        <v>29</v>
      </c>
    </row>
    <row r="119" spans="1:4" x14ac:dyDescent="0.3">
      <c r="A119" s="34">
        <v>110</v>
      </c>
      <c r="B119" s="34">
        <v>969</v>
      </c>
      <c r="C119" s="34">
        <v>42</v>
      </c>
      <c r="D119" s="34">
        <v>29</v>
      </c>
    </row>
    <row r="120" spans="1:4" x14ac:dyDescent="0.3">
      <c r="A120" s="34">
        <v>111</v>
      </c>
      <c r="B120" s="34">
        <v>717</v>
      </c>
      <c r="C120" s="34">
        <v>30</v>
      </c>
      <c r="D120" s="34">
        <v>29</v>
      </c>
    </row>
    <row r="121" spans="1:4" x14ac:dyDescent="0.3">
      <c r="A121" s="34">
        <v>112</v>
      </c>
      <c r="B121" s="34">
        <v>153</v>
      </c>
      <c r="C121" s="34">
        <v>36</v>
      </c>
      <c r="D121" s="34">
        <v>29</v>
      </c>
    </row>
    <row r="122" spans="1:4" x14ac:dyDescent="0.3">
      <c r="A122" s="34">
        <v>113</v>
      </c>
      <c r="B122" s="34">
        <v>483</v>
      </c>
      <c r="C122" s="34">
        <v>30</v>
      </c>
      <c r="D122" s="34">
        <v>29</v>
      </c>
    </row>
    <row r="123" spans="1:4" x14ac:dyDescent="0.3">
      <c r="A123" s="34">
        <v>114</v>
      </c>
      <c r="B123" s="34">
        <v>165</v>
      </c>
      <c r="C123" s="34">
        <v>36</v>
      </c>
      <c r="D123" s="34">
        <v>29</v>
      </c>
    </row>
    <row r="124" spans="1:4" x14ac:dyDescent="0.3">
      <c r="A124" s="34">
        <v>115</v>
      </c>
      <c r="B124" s="34">
        <v>179</v>
      </c>
      <c r="C124" s="34">
        <v>12</v>
      </c>
      <c r="D124" s="34">
        <v>29</v>
      </c>
    </row>
    <row r="125" spans="1:4" x14ac:dyDescent="0.3">
      <c r="A125" s="34">
        <v>116</v>
      </c>
      <c r="B125" s="34">
        <v>51</v>
      </c>
      <c r="C125" s="34">
        <v>24</v>
      </c>
      <c r="D125" s="34">
        <v>29</v>
      </c>
    </row>
    <row r="126" spans="1:4" x14ac:dyDescent="0.3">
      <c r="A126" s="34">
        <v>117</v>
      </c>
      <c r="B126" s="34">
        <v>174</v>
      </c>
      <c r="C126" s="34">
        <v>8</v>
      </c>
      <c r="D126" s="34">
        <v>29</v>
      </c>
    </row>
    <row r="127" spans="1:4" x14ac:dyDescent="0.3">
      <c r="A127" s="34">
        <v>118</v>
      </c>
      <c r="B127" s="34">
        <v>378</v>
      </c>
      <c r="C127" s="34">
        <v>7</v>
      </c>
      <c r="D127" s="34">
        <v>29</v>
      </c>
    </row>
    <row r="128" spans="1:4" x14ac:dyDescent="0.3">
      <c r="A128" s="34">
        <v>119</v>
      </c>
      <c r="B128" s="34">
        <v>199</v>
      </c>
      <c r="C128" s="34">
        <v>24</v>
      </c>
      <c r="D128" s="34">
        <v>29</v>
      </c>
    </row>
    <row r="129" spans="1:4" x14ac:dyDescent="0.3">
      <c r="A129" s="34">
        <v>120</v>
      </c>
      <c r="B129" s="34">
        <v>160</v>
      </c>
      <c r="C129" s="34">
        <v>6</v>
      </c>
      <c r="D129" s="34">
        <v>29</v>
      </c>
    </row>
    <row r="130" spans="1:4" x14ac:dyDescent="0.3">
      <c r="A130" s="34">
        <v>121</v>
      </c>
      <c r="B130" s="34">
        <v>360</v>
      </c>
      <c r="C130" s="34">
        <v>30</v>
      </c>
      <c r="D130" s="34">
        <v>34</v>
      </c>
    </row>
    <row r="131" spans="1:4" x14ac:dyDescent="0.3">
      <c r="A131" s="34">
        <v>122</v>
      </c>
      <c r="B131" s="34">
        <v>13</v>
      </c>
      <c r="C131" s="34">
        <v>12</v>
      </c>
      <c r="D131" s="34">
        <v>34</v>
      </c>
    </row>
    <row r="132" spans="1:4" x14ac:dyDescent="0.3">
      <c r="A132" s="34">
        <v>123</v>
      </c>
      <c r="B132" s="34">
        <v>304</v>
      </c>
      <c r="C132" s="34">
        <v>10</v>
      </c>
      <c r="D132" s="34">
        <v>34</v>
      </c>
    </row>
    <row r="133" spans="1:4" x14ac:dyDescent="0.3">
      <c r="A133" s="34">
        <v>124</v>
      </c>
      <c r="B133" s="34">
        <v>145</v>
      </c>
      <c r="C133" s="34">
        <v>21</v>
      </c>
      <c r="D133" s="34">
        <v>34</v>
      </c>
    </row>
    <row r="134" spans="1:4" x14ac:dyDescent="0.3">
      <c r="A134" s="34">
        <v>125</v>
      </c>
      <c r="B134" s="34">
        <v>367</v>
      </c>
      <c r="C134" s="34">
        <v>18</v>
      </c>
      <c r="D134" s="34">
        <v>34</v>
      </c>
    </row>
    <row r="135" spans="1:4" x14ac:dyDescent="0.3">
      <c r="A135" s="34">
        <v>126</v>
      </c>
      <c r="B135" s="34">
        <v>567</v>
      </c>
      <c r="C135" s="34">
        <v>12</v>
      </c>
      <c r="D135" s="34">
        <v>34</v>
      </c>
    </row>
    <row r="136" spans="1:4" x14ac:dyDescent="0.3">
      <c r="A136" s="34">
        <v>127</v>
      </c>
      <c r="B136" s="34">
        <v>283</v>
      </c>
      <c r="C136" s="34">
        <v>18</v>
      </c>
      <c r="D136" s="34">
        <v>34</v>
      </c>
    </row>
    <row r="137" spans="1:4" x14ac:dyDescent="0.3">
      <c r="A137" s="34">
        <v>128</v>
      </c>
      <c r="B137" s="34">
        <v>441</v>
      </c>
      <c r="C137" s="34">
        <v>12</v>
      </c>
      <c r="D137" s="34">
        <v>34</v>
      </c>
    </row>
    <row r="138" spans="1:4" x14ac:dyDescent="0.3">
      <c r="A138" s="34">
        <v>129</v>
      </c>
      <c r="B138" s="34">
        <v>269</v>
      </c>
      <c r="C138" s="34">
        <v>14</v>
      </c>
      <c r="D138" s="34">
        <v>34</v>
      </c>
    </row>
    <row r="139" spans="1:4" x14ac:dyDescent="0.3">
      <c r="A139" s="34">
        <v>130</v>
      </c>
      <c r="B139" s="34">
        <v>653</v>
      </c>
      <c r="C139" s="34">
        <v>24</v>
      </c>
      <c r="D139" s="34">
        <v>34</v>
      </c>
    </row>
    <row r="140" spans="1:4" x14ac:dyDescent="0.3">
      <c r="A140" s="34">
        <v>131</v>
      </c>
      <c r="B140" s="34">
        <v>996</v>
      </c>
      <c r="C140" s="34">
        <v>12</v>
      </c>
      <c r="D140" s="34">
        <v>34</v>
      </c>
    </row>
    <row r="141" spans="1:4" x14ac:dyDescent="0.3">
      <c r="A141" s="34">
        <v>132</v>
      </c>
      <c r="B141" s="34">
        <v>668</v>
      </c>
      <c r="C141" s="34">
        <v>48</v>
      </c>
      <c r="D141" s="34">
        <v>34</v>
      </c>
    </row>
    <row r="142" spans="1:4" x14ac:dyDescent="0.3">
      <c r="A142" s="34">
        <v>133</v>
      </c>
      <c r="B142" s="34">
        <v>427</v>
      </c>
      <c r="C142" s="34">
        <v>28</v>
      </c>
      <c r="D142" s="34">
        <v>34</v>
      </c>
    </row>
    <row r="143" spans="1:4" x14ac:dyDescent="0.3">
      <c r="A143" s="34">
        <v>134</v>
      </c>
      <c r="B143" s="34">
        <v>259</v>
      </c>
      <c r="C143" s="34">
        <v>15</v>
      </c>
      <c r="D143" s="34">
        <v>34</v>
      </c>
    </row>
    <row r="144" spans="1:4" x14ac:dyDescent="0.3">
      <c r="A144" s="34">
        <v>135</v>
      </c>
      <c r="B144" s="34">
        <v>930</v>
      </c>
      <c r="C144" s="34">
        <v>12</v>
      </c>
      <c r="D144" s="34">
        <v>34</v>
      </c>
    </row>
    <row r="145" spans="1:4" x14ac:dyDescent="0.3">
      <c r="A145" s="34">
        <v>136</v>
      </c>
      <c r="B145" s="34">
        <v>764</v>
      </c>
      <c r="C145" s="34">
        <v>21</v>
      </c>
      <c r="D145" s="34">
        <v>34</v>
      </c>
    </row>
    <row r="146" spans="1:4" x14ac:dyDescent="0.3">
      <c r="A146" s="34">
        <v>137</v>
      </c>
      <c r="B146" s="34">
        <v>115</v>
      </c>
      <c r="C146" s="34">
        <v>12</v>
      </c>
      <c r="D146" s="34">
        <v>34</v>
      </c>
    </row>
    <row r="147" spans="1:4" x14ac:dyDescent="0.3">
      <c r="A147" s="34">
        <v>138</v>
      </c>
      <c r="B147" s="34">
        <v>979</v>
      </c>
      <c r="C147" s="34">
        <v>24</v>
      </c>
      <c r="D147" s="34">
        <v>34</v>
      </c>
    </row>
    <row r="148" spans="1:4" x14ac:dyDescent="0.3">
      <c r="A148" s="34">
        <v>139</v>
      </c>
      <c r="B148" s="34">
        <v>288</v>
      </c>
      <c r="C148" s="34">
        <v>48</v>
      </c>
      <c r="D148" s="34">
        <v>34</v>
      </c>
    </row>
    <row r="149" spans="1:4" x14ac:dyDescent="0.3">
      <c r="A149" s="34">
        <v>140</v>
      </c>
      <c r="B149" s="34">
        <v>983</v>
      </c>
      <c r="C149" s="34">
        <v>21</v>
      </c>
      <c r="D149" s="34">
        <v>34</v>
      </c>
    </row>
    <row r="150" spans="1:4" x14ac:dyDescent="0.3">
      <c r="A150" s="34">
        <v>141</v>
      </c>
      <c r="B150" s="34">
        <v>944</v>
      </c>
      <c r="C150" s="34">
        <v>4</v>
      </c>
      <c r="D150" s="34">
        <v>35</v>
      </c>
    </row>
    <row r="151" spans="1:4" x14ac:dyDescent="0.3">
      <c r="A151" s="34">
        <v>142</v>
      </c>
      <c r="B151" s="34">
        <v>221</v>
      </c>
      <c r="C151" s="34">
        <v>12</v>
      </c>
      <c r="D151" s="34">
        <v>35</v>
      </c>
    </row>
    <row r="152" spans="1:4" x14ac:dyDescent="0.3">
      <c r="A152" s="34">
        <v>143</v>
      </c>
      <c r="B152" s="34">
        <v>439</v>
      </c>
      <c r="C152" s="34">
        <v>42</v>
      </c>
      <c r="D152" s="34">
        <v>35</v>
      </c>
    </row>
    <row r="153" spans="1:4" x14ac:dyDescent="0.3">
      <c r="A153" s="34">
        <v>144</v>
      </c>
      <c r="B153" s="34">
        <v>519</v>
      </c>
      <c r="C153" s="34">
        <v>6</v>
      </c>
      <c r="D153" s="34">
        <v>35</v>
      </c>
    </row>
    <row r="154" spans="1:4" x14ac:dyDescent="0.3">
      <c r="A154" s="34">
        <v>145</v>
      </c>
      <c r="B154" s="34">
        <v>924</v>
      </c>
      <c r="C154" s="34">
        <v>12</v>
      </c>
      <c r="D154" s="34">
        <v>35</v>
      </c>
    </row>
    <row r="155" spans="1:4" x14ac:dyDescent="0.3">
      <c r="A155" s="34">
        <v>146</v>
      </c>
      <c r="B155" s="34">
        <v>320</v>
      </c>
      <c r="C155" s="34">
        <v>15</v>
      </c>
      <c r="D155" s="34">
        <v>35</v>
      </c>
    </row>
    <row r="156" spans="1:4" x14ac:dyDescent="0.3">
      <c r="A156" s="34">
        <v>147</v>
      </c>
      <c r="B156" s="34">
        <v>830</v>
      </c>
      <c r="C156" s="34">
        <v>48</v>
      </c>
      <c r="D156" s="34">
        <v>35</v>
      </c>
    </row>
    <row r="157" spans="1:4" x14ac:dyDescent="0.3">
      <c r="A157" s="34">
        <v>148</v>
      </c>
      <c r="B157" s="34">
        <v>239</v>
      </c>
      <c r="C157" s="34">
        <v>12</v>
      </c>
      <c r="D157" s="34">
        <v>35</v>
      </c>
    </row>
    <row r="158" spans="1:4" x14ac:dyDescent="0.3">
      <c r="A158" s="34">
        <v>149</v>
      </c>
      <c r="B158" s="34">
        <v>390</v>
      </c>
      <c r="C158" s="34">
        <v>9</v>
      </c>
      <c r="D158" s="34">
        <v>35</v>
      </c>
    </row>
    <row r="159" spans="1:4" x14ac:dyDescent="0.3">
      <c r="A159" s="34">
        <v>150</v>
      </c>
      <c r="B159" s="34">
        <v>541</v>
      </c>
      <c r="C159" s="34">
        <v>12</v>
      </c>
      <c r="D159" s="34">
        <v>35</v>
      </c>
    </row>
    <row r="160" spans="1:4" x14ac:dyDescent="0.3">
      <c r="A160" s="34">
        <v>151</v>
      </c>
      <c r="B160" s="34">
        <v>815</v>
      </c>
      <c r="C160" s="34">
        <v>48</v>
      </c>
      <c r="D160" s="34">
        <v>35</v>
      </c>
    </row>
    <row r="161" spans="1:4" x14ac:dyDescent="0.3">
      <c r="A161" s="34">
        <v>152</v>
      </c>
      <c r="B161" s="34">
        <v>43</v>
      </c>
      <c r="C161" s="34">
        <v>18</v>
      </c>
      <c r="D161" s="34">
        <v>35</v>
      </c>
    </row>
    <row r="162" spans="1:4" x14ac:dyDescent="0.3">
      <c r="A162" s="34">
        <v>153</v>
      </c>
      <c r="B162" s="34">
        <v>729</v>
      </c>
      <c r="C162" s="34">
        <v>48</v>
      </c>
      <c r="D162" s="34">
        <v>35</v>
      </c>
    </row>
    <row r="163" spans="1:4" x14ac:dyDescent="0.3">
      <c r="A163" s="34">
        <v>154</v>
      </c>
      <c r="B163" s="34">
        <v>546</v>
      </c>
      <c r="C163" s="34">
        <v>24</v>
      </c>
      <c r="D163" s="34">
        <v>35</v>
      </c>
    </row>
    <row r="164" spans="1:4" x14ac:dyDescent="0.3">
      <c r="A164" s="34">
        <v>155</v>
      </c>
      <c r="B164" s="34">
        <v>706</v>
      </c>
      <c r="C164" s="34">
        <v>15</v>
      </c>
      <c r="D164" s="34">
        <v>35</v>
      </c>
    </row>
    <row r="165" spans="1:4" x14ac:dyDescent="0.3">
      <c r="A165" s="34">
        <v>156</v>
      </c>
      <c r="B165" s="34">
        <v>690</v>
      </c>
      <c r="C165" s="34">
        <v>12</v>
      </c>
      <c r="D165" s="34">
        <v>35</v>
      </c>
    </row>
    <row r="166" spans="1:4" x14ac:dyDescent="0.3">
      <c r="A166" s="34">
        <v>157</v>
      </c>
      <c r="B166" s="34">
        <v>49</v>
      </c>
      <c r="C166" s="34">
        <v>11</v>
      </c>
      <c r="D166" s="34">
        <v>35</v>
      </c>
    </row>
    <row r="167" spans="1:4" x14ac:dyDescent="0.3">
      <c r="A167" s="34">
        <v>158</v>
      </c>
      <c r="B167" s="34">
        <v>772</v>
      </c>
      <c r="C167" s="34">
        <v>36</v>
      </c>
      <c r="D167" s="34">
        <v>35</v>
      </c>
    </row>
    <row r="168" spans="1:4" x14ac:dyDescent="0.3">
      <c r="A168" s="34">
        <v>159</v>
      </c>
      <c r="B168" s="34">
        <v>879</v>
      </c>
      <c r="C168" s="34">
        <v>9</v>
      </c>
      <c r="D168" s="34">
        <v>35</v>
      </c>
    </row>
    <row r="169" spans="1:4" x14ac:dyDescent="0.3">
      <c r="A169" s="34">
        <v>160</v>
      </c>
      <c r="B169" s="34">
        <v>949</v>
      </c>
      <c r="C169" s="34">
        <v>18</v>
      </c>
      <c r="D169" s="34">
        <v>35</v>
      </c>
    </row>
    <row r="170" spans="1:4" x14ac:dyDescent="0.3">
      <c r="A170" s="34">
        <v>161</v>
      </c>
      <c r="B170" s="34">
        <v>224</v>
      </c>
      <c r="C170" s="34">
        <v>24</v>
      </c>
      <c r="D170" s="34">
        <v>38</v>
      </c>
    </row>
    <row r="171" spans="1:4" x14ac:dyDescent="0.3">
      <c r="A171" s="34">
        <v>162</v>
      </c>
      <c r="B171" s="34">
        <v>684</v>
      </c>
      <c r="C171" s="34">
        <v>24</v>
      </c>
      <c r="D171" s="34">
        <v>38</v>
      </c>
    </row>
    <row r="172" spans="1:4" x14ac:dyDescent="0.3">
      <c r="A172" s="34">
        <v>163</v>
      </c>
      <c r="B172" s="34">
        <v>778</v>
      </c>
      <c r="C172" s="34">
        <v>18</v>
      </c>
      <c r="D172" s="34">
        <v>38</v>
      </c>
    </row>
    <row r="173" spans="1:4" x14ac:dyDescent="0.3">
      <c r="A173" s="34">
        <v>164</v>
      </c>
      <c r="B173" s="34">
        <v>932</v>
      </c>
      <c r="C173" s="34">
        <v>9</v>
      </c>
      <c r="D173" s="34">
        <v>38</v>
      </c>
    </row>
    <row r="174" spans="1:4" x14ac:dyDescent="0.3">
      <c r="A174" s="34">
        <v>165</v>
      </c>
      <c r="B174" s="34">
        <v>578</v>
      </c>
      <c r="C174" s="34">
        <v>24</v>
      </c>
      <c r="D174" s="34">
        <v>38</v>
      </c>
    </row>
    <row r="175" spans="1:4" x14ac:dyDescent="0.3">
      <c r="A175" s="34">
        <v>166</v>
      </c>
      <c r="B175" s="34">
        <v>639</v>
      </c>
      <c r="C175" s="34">
        <v>12</v>
      </c>
      <c r="D175" s="34">
        <v>38</v>
      </c>
    </row>
    <row r="176" spans="1:4" x14ac:dyDescent="0.3">
      <c r="A176" s="34">
        <v>167</v>
      </c>
      <c r="B176" s="34">
        <v>141</v>
      </c>
      <c r="C176" s="34">
        <v>6</v>
      </c>
      <c r="D176" s="34">
        <v>38</v>
      </c>
    </row>
    <row r="177" spans="1:4" x14ac:dyDescent="0.3">
      <c r="A177" s="34">
        <v>168</v>
      </c>
      <c r="B177" s="34">
        <v>129</v>
      </c>
      <c r="C177" s="34">
        <v>12</v>
      </c>
      <c r="D177" s="34">
        <v>38</v>
      </c>
    </row>
    <row r="178" spans="1:4" x14ac:dyDescent="0.3">
      <c r="A178" s="34">
        <v>169</v>
      </c>
      <c r="B178" s="34">
        <v>163</v>
      </c>
      <c r="C178" s="34">
        <v>15</v>
      </c>
      <c r="D178" s="34">
        <v>38</v>
      </c>
    </row>
    <row r="179" spans="1:4" x14ac:dyDescent="0.3">
      <c r="A179" s="34">
        <v>170</v>
      </c>
      <c r="B179" s="34">
        <v>408</v>
      </c>
      <c r="C179" s="34">
        <v>15</v>
      </c>
      <c r="D179" s="34">
        <v>38</v>
      </c>
    </row>
    <row r="180" spans="1:4" x14ac:dyDescent="0.3">
      <c r="A180" s="34">
        <v>171</v>
      </c>
      <c r="B180" s="34">
        <v>504</v>
      </c>
      <c r="C180" s="34">
        <v>24</v>
      </c>
      <c r="D180" s="34">
        <v>38</v>
      </c>
    </row>
    <row r="181" spans="1:4" x14ac:dyDescent="0.3">
      <c r="A181" s="34">
        <v>172</v>
      </c>
      <c r="B181" s="34">
        <v>963</v>
      </c>
      <c r="C181" s="34">
        <v>15</v>
      </c>
      <c r="D181" s="34">
        <v>38</v>
      </c>
    </row>
    <row r="182" spans="1:4" x14ac:dyDescent="0.3">
      <c r="A182" s="34">
        <v>173</v>
      </c>
      <c r="B182" s="34">
        <v>357</v>
      </c>
      <c r="C182" s="34">
        <v>12</v>
      </c>
      <c r="D182" s="34">
        <v>38</v>
      </c>
    </row>
    <row r="183" spans="1:4" x14ac:dyDescent="0.3">
      <c r="A183" s="34">
        <v>174</v>
      </c>
      <c r="B183" s="34">
        <v>166</v>
      </c>
      <c r="C183" s="34">
        <v>6</v>
      </c>
      <c r="D183" s="34">
        <v>38</v>
      </c>
    </row>
    <row r="184" spans="1:4" x14ac:dyDescent="0.3">
      <c r="A184" s="34">
        <v>175</v>
      </c>
      <c r="B184" s="34">
        <v>328</v>
      </c>
      <c r="C184" s="34">
        <v>24</v>
      </c>
      <c r="D184" s="34">
        <v>38</v>
      </c>
    </row>
    <row r="185" spans="1:4" x14ac:dyDescent="0.3">
      <c r="A185" s="34">
        <v>176</v>
      </c>
      <c r="B185" s="34">
        <v>293</v>
      </c>
      <c r="C185" s="34">
        <v>24</v>
      </c>
      <c r="D185" s="34">
        <v>38</v>
      </c>
    </row>
    <row r="186" spans="1:4" x14ac:dyDescent="0.3">
      <c r="A186" s="34">
        <v>177</v>
      </c>
      <c r="B186" s="34">
        <v>750</v>
      </c>
      <c r="C186" s="34">
        <v>15</v>
      </c>
      <c r="D186" s="34">
        <v>38</v>
      </c>
    </row>
    <row r="187" spans="1:4" x14ac:dyDescent="0.3">
      <c r="A187" s="34">
        <v>178</v>
      </c>
      <c r="B187" s="34">
        <v>284</v>
      </c>
      <c r="C187" s="34">
        <v>15</v>
      </c>
      <c r="D187" s="34">
        <v>38</v>
      </c>
    </row>
    <row r="188" spans="1:4" x14ac:dyDescent="0.3">
      <c r="A188" s="34">
        <v>179</v>
      </c>
      <c r="B188" s="34">
        <v>807</v>
      </c>
      <c r="C188" s="34">
        <v>6</v>
      </c>
      <c r="D188" s="34">
        <v>38</v>
      </c>
    </row>
    <row r="189" spans="1:4" x14ac:dyDescent="0.3">
      <c r="A189" s="34">
        <v>180</v>
      </c>
      <c r="B189" s="34">
        <v>834</v>
      </c>
      <c r="C189" s="34">
        <v>24</v>
      </c>
      <c r="D189" s="34">
        <v>38</v>
      </c>
    </row>
    <row r="190" spans="1:4" x14ac:dyDescent="0.3">
      <c r="A190" s="34">
        <v>181</v>
      </c>
      <c r="B190" s="34">
        <v>846</v>
      </c>
      <c r="C190" s="34">
        <v>21</v>
      </c>
      <c r="D190" s="34">
        <v>46</v>
      </c>
    </row>
    <row r="191" spans="1:4" x14ac:dyDescent="0.3">
      <c r="A191" s="34">
        <v>182</v>
      </c>
      <c r="B191" s="34">
        <v>30</v>
      </c>
      <c r="C191" s="34">
        <v>60</v>
      </c>
      <c r="D191" s="34">
        <v>46</v>
      </c>
    </row>
    <row r="192" spans="1:4" x14ac:dyDescent="0.3">
      <c r="A192" s="34">
        <v>183</v>
      </c>
      <c r="B192" s="34">
        <v>909</v>
      </c>
      <c r="C192" s="34">
        <v>15</v>
      </c>
      <c r="D192" s="34">
        <v>46</v>
      </c>
    </row>
    <row r="193" spans="1:4" x14ac:dyDescent="0.3">
      <c r="A193" s="34">
        <v>184</v>
      </c>
      <c r="B193" s="34">
        <v>200</v>
      </c>
      <c r="C193" s="34">
        <v>18</v>
      </c>
      <c r="D193" s="34">
        <v>46</v>
      </c>
    </row>
    <row r="194" spans="1:4" x14ac:dyDescent="0.3">
      <c r="A194" s="34">
        <v>185</v>
      </c>
      <c r="B194" s="34">
        <v>148</v>
      </c>
      <c r="C194" s="34">
        <v>12</v>
      </c>
      <c r="D194" s="34">
        <v>46</v>
      </c>
    </row>
    <row r="195" spans="1:4" x14ac:dyDescent="0.3">
      <c r="A195" s="34">
        <v>186</v>
      </c>
      <c r="B195" s="34">
        <v>281</v>
      </c>
      <c r="C195" s="34">
        <v>15</v>
      </c>
      <c r="D195" s="34">
        <v>46</v>
      </c>
    </row>
    <row r="196" spans="1:4" x14ac:dyDescent="0.3">
      <c r="A196" s="34">
        <v>187</v>
      </c>
      <c r="B196" s="34">
        <v>773</v>
      </c>
      <c r="C196" s="34">
        <v>21</v>
      </c>
      <c r="D196" s="34">
        <v>46</v>
      </c>
    </row>
    <row r="197" spans="1:4" x14ac:dyDescent="0.3">
      <c r="A197" s="34">
        <v>188</v>
      </c>
      <c r="B197" s="34">
        <v>753</v>
      </c>
      <c r="C197" s="34">
        <v>12</v>
      </c>
      <c r="D197" s="34">
        <v>46</v>
      </c>
    </row>
    <row r="198" spans="1:4" x14ac:dyDescent="0.3">
      <c r="A198" s="34">
        <v>189</v>
      </c>
      <c r="B198" s="34">
        <v>323</v>
      </c>
      <c r="C198" s="34">
        <v>24</v>
      </c>
      <c r="D198" s="34">
        <v>46</v>
      </c>
    </row>
    <row r="199" spans="1:4" x14ac:dyDescent="0.3">
      <c r="A199" s="34">
        <v>190</v>
      </c>
      <c r="B199" s="34">
        <v>931</v>
      </c>
      <c r="C199" s="34">
        <v>24</v>
      </c>
      <c r="D199" s="34">
        <v>46</v>
      </c>
    </row>
    <row r="200" spans="1:4" x14ac:dyDescent="0.3">
      <c r="A200" s="34">
        <v>191</v>
      </c>
      <c r="B200" s="34">
        <v>682</v>
      </c>
      <c r="C200" s="34">
        <v>12</v>
      </c>
      <c r="D200" s="34">
        <v>46</v>
      </c>
    </row>
    <row r="201" spans="1:4" x14ac:dyDescent="0.3">
      <c r="A201" s="34">
        <v>192</v>
      </c>
      <c r="B201" s="34">
        <v>215</v>
      </c>
      <c r="C201" s="34">
        <v>36</v>
      </c>
      <c r="D201" s="34">
        <v>46</v>
      </c>
    </row>
    <row r="202" spans="1:4" x14ac:dyDescent="0.3">
      <c r="A202" s="34">
        <v>193</v>
      </c>
      <c r="B202" s="34">
        <v>759</v>
      </c>
      <c r="C202" s="34">
        <v>24</v>
      </c>
      <c r="D202" s="34">
        <v>46</v>
      </c>
    </row>
    <row r="203" spans="1:4" x14ac:dyDescent="0.3">
      <c r="A203" s="34">
        <v>194</v>
      </c>
      <c r="B203" s="34">
        <v>925</v>
      </c>
      <c r="C203" s="34">
        <v>24</v>
      </c>
      <c r="D203" s="34">
        <v>46</v>
      </c>
    </row>
    <row r="204" spans="1:4" x14ac:dyDescent="0.3">
      <c r="A204" s="34">
        <v>195</v>
      </c>
      <c r="B204" s="34">
        <v>353</v>
      </c>
      <c r="C204" s="34">
        <v>18</v>
      </c>
      <c r="D204" s="34">
        <v>46</v>
      </c>
    </row>
    <row r="205" spans="1:4" x14ac:dyDescent="0.3">
      <c r="A205" s="34">
        <v>196</v>
      </c>
      <c r="B205" s="34">
        <v>719</v>
      </c>
      <c r="C205" s="34">
        <v>24</v>
      </c>
      <c r="D205" s="34">
        <v>46</v>
      </c>
    </row>
    <row r="206" spans="1:4" x14ac:dyDescent="0.3">
      <c r="A206" s="34">
        <v>197</v>
      </c>
      <c r="B206" s="34">
        <v>198</v>
      </c>
      <c r="C206" s="34">
        <v>12</v>
      </c>
      <c r="D206" s="34">
        <v>46</v>
      </c>
    </row>
    <row r="207" spans="1:4" x14ac:dyDescent="0.3">
      <c r="A207" s="34">
        <v>198</v>
      </c>
      <c r="B207" s="34">
        <v>497</v>
      </c>
      <c r="C207" s="34">
        <v>36</v>
      </c>
      <c r="D207" s="34">
        <v>46</v>
      </c>
    </row>
    <row r="208" spans="1:4" x14ac:dyDescent="0.3">
      <c r="A208" s="34">
        <v>199</v>
      </c>
      <c r="B208" s="34">
        <v>309</v>
      </c>
      <c r="C208" s="34">
        <v>8</v>
      </c>
      <c r="D208" s="34">
        <v>46</v>
      </c>
    </row>
    <row r="209" spans="1:4" x14ac:dyDescent="0.3">
      <c r="A209" s="34">
        <v>200</v>
      </c>
      <c r="B209" s="35">
        <v>178</v>
      </c>
      <c r="C209" s="35">
        <v>6</v>
      </c>
      <c r="D209" s="35">
        <v>46</v>
      </c>
    </row>
    <row r="210" spans="1:4" x14ac:dyDescent="0.3">
      <c r="A210" s="38">
        <v>201</v>
      </c>
      <c r="B210" s="39">
        <v>136</v>
      </c>
      <c r="C210" s="34">
        <v>12</v>
      </c>
      <c r="D210" s="34">
        <v>9</v>
      </c>
    </row>
    <row r="211" spans="1:4" x14ac:dyDescent="0.3">
      <c r="A211" s="34">
        <v>202</v>
      </c>
      <c r="B211" s="39">
        <v>961</v>
      </c>
      <c r="C211" s="34">
        <v>6</v>
      </c>
      <c r="D211" s="34">
        <v>9</v>
      </c>
    </row>
    <row r="212" spans="1:4" x14ac:dyDescent="0.3">
      <c r="A212" s="34">
        <v>203</v>
      </c>
      <c r="B212" s="39">
        <v>452</v>
      </c>
      <c r="C212" s="34">
        <v>6</v>
      </c>
      <c r="D212" s="34">
        <v>9</v>
      </c>
    </row>
    <row r="213" spans="1:4" x14ac:dyDescent="0.3">
      <c r="A213" s="34">
        <v>204</v>
      </c>
      <c r="B213" s="39">
        <v>76</v>
      </c>
      <c r="C213" s="34">
        <v>12</v>
      </c>
      <c r="D213" s="34">
        <v>9</v>
      </c>
    </row>
    <row r="214" spans="1:4" x14ac:dyDescent="0.3">
      <c r="A214" s="34">
        <v>205</v>
      </c>
      <c r="B214" s="39">
        <v>950</v>
      </c>
      <c r="C214" s="34">
        <v>24</v>
      </c>
      <c r="D214" s="34">
        <v>9</v>
      </c>
    </row>
    <row r="215" spans="1:4" x14ac:dyDescent="0.3">
      <c r="A215" s="34">
        <v>206</v>
      </c>
      <c r="B215" s="39">
        <v>147</v>
      </c>
      <c r="C215" s="34">
        <v>6</v>
      </c>
      <c r="D215" s="34">
        <v>9</v>
      </c>
    </row>
    <row r="216" spans="1:4" x14ac:dyDescent="0.3">
      <c r="A216" s="34">
        <v>207</v>
      </c>
      <c r="B216" s="39">
        <v>475</v>
      </c>
      <c r="C216" s="34">
        <v>18</v>
      </c>
      <c r="D216" s="34">
        <v>9</v>
      </c>
    </row>
    <row r="217" spans="1:4" x14ac:dyDescent="0.3">
      <c r="A217" s="34">
        <v>208</v>
      </c>
      <c r="B217" s="39">
        <v>478</v>
      </c>
      <c r="C217" s="34">
        <v>24</v>
      </c>
      <c r="D217" s="34">
        <v>9</v>
      </c>
    </row>
    <row r="218" spans="1:4" x14ac:dyDescent="0.3">
      <c r="A218" s="34">
        <v>209</v>
      </c>
      <c r="B218" s="39">
        <v>346</v>
      </c>
      <c r="C218" s="34">
        <v>15</v>
      </c>
      <c r="D218" s="34">
        <v>9</v>
      </c>
    </row>
    <row r="219" spans="1:4" x14ac:dyDescent="0.3">
      <c r="A219" s="34">
        <v>210</v>
      </c>
      <c r="B219" s="39">
        <v>539</v>
      </c>
      <c r="C219" s="34">
        <v>48</v>
      </c>
      <c r="D219" s="34">
        <v>9</v>
      </c>
    </row>
    <row r="220" spans="1:4" x14ac:dyDescent="0.3">
      <c r="A220" s="34">
        <v>211</v>
      </c>
      <c r="B220" s="39">
        <v>600</v>
      </c>
      <c r="C220" s="34">
        <v>24</v>
      </c>
      <c r="D220" s="34">
        <v>9</v>
      </c>
    </row>
    <row r="221" spans="1:4" x14ac:dyDescent="0.3">
      <c r="A221" s="34">
        <v>212</v>
      </c>
      <c r="B221" s="39">
        <v>188</v>
      </c>
      <c r="C221" s="34">
        <v>16</v>
      </c>
      <c r="D221" s="34">
        <v>9</v>
      </c>
    </row>
    <row r="222" spans="1:4" x14ac:dyDescent="0.3">
      <c r="A222" s="34">
        <v>213</v>
      </c>
      <c r="B222" s="39">
        <v>692</v>
      </c>
      <c r="C222" s="34">
        <v>15</v>
      </c>
      <c r="D222" s="34">
        <v>9</v>
      </c>
    </row>
    <row r="223" spans="1:4" x14ac:dyDescent="0.3">
      <c r="A223" s="34">
        <v>214</v>
      </c>
      <c r="B223" s="39">
        <v>15</v>
      </c>
      <c r="C223" s="34">
        <v>15</v>
      </c>
      <c r="D223" s="34">
        <v>9</v>
      </c>
    </row>
    <row r="224" spans="1:4" x14ac:dyDescent="0.3">
      <c r="A224" s="34">
        <v>215</v>
      </c>
      <c r="B224" s="39">
        <v>311</v>
      </c>
      <c r="C224" s="34">
        <v>48</v>
      </c>
      <c r="D224" s="34">
        <v>9</v>
      </c>
    </row>
    <row r="225" spans="1:4" x14ac:dyDescent="0.3">
      <c r="A225" s="34">
        <v>216</v>
      </c>
      <c r="B225" s="39">
        <v>287</v>
      </c>
      <c r="C225" s="34">
        <v>48</v>
      </c>
      <c r="D225" s="34">
        <v>9</v>
      </c>
    </row>
    <row r="226" spans="1:4" x14ac:dyDescent="0.3">
      <c r="A226" s="34">
        <v>217</v>
      </c>
      <c r="B226" s="39">
        <v>271</v>
      </c>
      <c r="C226" s="34">
        <v>18</v>
      </c>
      <c r="D226" s="34">
        <v>9</v>
      </c>
    </row>
    <row r="227" spans="1:4" x14ac:dyDescent="0.3">
      <c r="A227" s="34">
        <v>218</v>
      </c>
      <c r="B227" s="39">
        <v>82</v>
      </c>
      <c r="C227" s="34">
        <v>15</v>
      </c>
      <c r="D227" s="34">
        <v>9</v>
      </c>
    </row>
    <row r="228" spans="1:4" x14ac:dyDescent="0.3">
      <c r="A228" s="34">
        <v>219</v>
      </c>
      <c r="B228" s="39">
        <v>125</v>
      </c>
      <c r="C228" s="34">
        <v>18</v>
      </c>
      <c r="D228" s="34">
        <v>9</v>
      </c>
    </row>
    <row r="229" spans="1:4" x14ac:dyDescent="0.3">
      <c r="A229" s="34">
        <v>220</v>
      </c>
      <c r="B229" s="39">
        <v>168</v>
      </c>
      <c r="C229" s="34">
        <v>11</v>
      </c>
      <c r="D229" s="34">
        <v>9</v>
      </c>
    </row>
    <row r="230" spans="1:4" x14ac:dyDescent="0.3">
      <c r="A230" s="34">
        <v>221</v>
      </c>
      <c r="B230" s="39">
        <v>899</v>
      </c>
      <c r="C230" s="34">
        <v>15</v>
      </c>
      <c r="D230" s="34">
        <v>17</v>
      </c>
    </row>
    <row r="231" spans="1:4" x14ac:dyDescent="0.3">
      <c r="A231" s="34">
        <v>222</v>
      </c>
      <c r="B231" s="39">
        <v>364</v>
      </c>
      <c r="C231" s="34">
        <v>6</v>
      </c>
      <c r="D231" s="34">
        <v>17</v>
      </c>
    </row>
    <row r="232" spans="1:4" x14ac:dyDescent="0.3">
      <c r="A232" s="34">
        <v>223</v>
      </c>
      <c r="B232" s="39">
        <v>595</v>
      </c>
      <c r="C232" s="34">
        <v>24</v>
      </c>
      <c r="D232" s="34">
        <v>17</v>
      </c>
    </row>
    <row r="233" spans="1:4" x14ac:dyDescent="0.3">
      <c r="A233" s="34">
        <v>224</v>
      </c>
      <c r="B233" s="39">
        <v>170</v>
      </c>
      <c r="C233" s="34">
        <v>24</v>
      </c>
      <c r="D233" s="34">
        <v>17</v>
      </c>
    </row>
    <row r="234" spans="1:4" x14ac:dyDescent="0.3">
      <c r="A234" s="34">
        <v>225</v>
      </c>
      <c r="B234" s="39">
        <v>552</v>
      </c>
      <c r="C234" s="34">
        <v>6</v>
      </c>
      <c r="D234" s="34">
        <v>17</v>
      </c>
    </row>
    <row r="235" spans="1:4" x14ac:dyDescent="0.3">
      <c r="A235" s="34">
        <v>226</v>
      </c>
      <c r="B235" s="39">
        <v>16</v>
      </c>
      <c r="C235" s="34">
        <v>24</v>
      </c>
      <c r="D235" s="34">
        <v>17</v>
      </c>
    </row>
    <row r="236" spans="1:4" x14ac:dyDescent="0.3">
      <c r="A236" s="34">
        <v>227</v>
      </c>
      <c r="B236" s="39">
        <v>212</v>
      </c>
      <c r="C236" s="34">
        <v>36</v>
      </c>
      <c r="D236" s="34">
        <v>17</v>
      </c>
    </row>
    <row r="237" spans="1:4" x14ac:dyDescent="0.3">
      <c r="A237" s="34">
        <v>228</v>
      </c>
      <c r="B237" s="39">
        <v>586</v>
      </c>
      <c r="C237" s="34">
        <v>18</v>
      </c>
      <c r="D237" s="34">
        <v>17</v>
      </c>
    </row>
    <row r="238" spans="1:4" x14ac:dyDescent="0.3">
      <c r="A238" s="34">
        <v>229</v>
      </c>
      <c r="B238" s="39">
        <v>167</v>
      </c>
      <c r="C238" s="34">
        <v>18</v>
      </c>
      <c r="D238" s="34">
        <v>17</v>
      </c>
    </row>
    <row r="239" spans="1:4" x14ac:dyDescent="0.3">
      <c r="A239" s="34">
        <v>230</v>
      </c>
      <c r="B239" s="39">
        <v>14</v>
      </c>
      <c r="C239" s="34">
        <v>24</v>
      </c>
      <c r="D239" s="34">
        <v>17</v>
      </c>
    </row>
    <row r="240" spans="1:4" x14ac:dyDescent="0.3">
      <c r="A240" s="34">
        <v>231</v>
      </c>
      <c r="B240" s="39">
        <v>973</v>
      </c>
      <c r="C240" s="34">
        <v>24</v>
      </c>
      <c r="D240" s="34">
        <v>17</v>
      </c>
    </row>
    <row r="241" spans="1:4" x14ac:dyDescent="0.3">
      <c r="A241" s="34">
        <v>232</v>
      </c>
      <c r="B241" s="39">
        <v>62</v>
      </c>
      <c r="C241" s="34">
        <v>15</v>
      </c>
      <c r="D241" s="34">
        <v>17</v>
      </c>
    </row>
    <row r="242" spans="1:4" x14ac:dyDescent="0.3">
      <c r="A242" s="34">
        <v>233</v>
      </c>
      <c r="B242" s="39">
        <v>575</v>
      </c>
      <c r="C242" s="34">
        <v>9</v>
      </c>
      <c r="D242" s="34">
        <v>17</v>
      </c>
    </row>
    <row r="243" spans="1:4" x14ac:dyDescent="0.3">
      <c r="A243" s="34">
        <v>234</v>
      </c>
      <c r="B243" s="39">
        <v>238</v>
      </c>
      <c r="C243" s="34">
        <v>21</v>
      </c>
      <c r="D243" s="34">
        <v>17</v>
      </c>
    </row>
    <row r="244" spans="1:4" x14ac:dyDescent="0.3">
      <c r="A244" s="34">
        <v>235</v>
      </c>
      <c r="B244" s="39">
        <v>490</v>
      </c>
      <c r="C244" s="34">
        <v>6</v>
      </c>
      <c r="D244" s="34">
        <v>17</v>
      </c>
    </row>
    <row r="245" spans="1:4" x14ac:dyDescent="0.3">
      <c r="A245" s="34">
        <v>236</v>
      </c>
      <c r="B245" s="39">
        <v>114</v>
      </c>
      <c r="C245" s="34">
        <v>36</v>
      </c>
      <c r="D245" s="34">
        <v>17</v>
      </c>
    </row>
    <row r="246" spans="1:4" x14ac:dyDescent="0.3">
      <c r="A246" s="34">
        <v>237</v>
      </c>
      <c r="B246" s="39">
        <v>734</v>
      </c>
      <c r="C246" s="34">
        <v>24</v>
      </c>
      <c r="D246" s="34">
        <v>17</v>
      </c>
    </row>
    <row r="247" spans="1:4" x14ac:dyDescent="0.3">
      <c r="A247" s="34">
        <v>238</v>
      </c>
      <c r="B247" s="39">
        <v>438</v>
      </c>
      <c r="C247" s="34">
        <v>24</v>
      </c>
      <c r="D247" s="34">
        <v>17</v>
      </c>
    </row>
    <row r="248" spans="1:4" x14ac:dyDescent="0.3">
      <c r="A248" s="34">
        <v>239</v>
      </c>
      <c r="B248" s="39">
        <v>687</v>
      </c>
      <c r="C248" s="34">
        <v>10</v>
      </c>
      <c r="D248" s="34">
        <v>17</v>
      </c>
    </row>
    <row r="249" spans="1:4" x14ac:dyDescent="0.3">
      <c r="A249" s="34">
        <v>240</v>
      </c>
      <c r="B249" s="39">
        <v>570</v>
      </c>
      <c r="C249" s="34">
        <v>48</v>
      </c>
      <c r="D249" s="34">
        <v>17</v>
      </c>
    </row>
    <row r="250" spans="1:4" x14ac:dyDescent="0.3">
      <c r="A250" s="34">
        <v>241</v>
      </c>
      <c r="B250" s="39">
        <v>232</v>
      </c>
      <c r="C250" s="34">
        <v>9</v>
      </c>
      <c r="D250" s="34">
        <v>18</v>
      </c>
    </row>
    <row r="251" spans="1:4" x14ac:dyDescent="0.3">
      <c r="A251" s="34">
        <v>242</v>
      </c>
      <c r="B251" s="39">
        <v>463</v>
      </c>
      <c r="C251" s="34">
        <v>12</v>
      </c>
      <c r="D251" s="34">
        <v>18</v>
      </c>
    </row>
    <row r="252" spans="1:4" x14ac:dyDescent="0.3">
      <c r="A252" s="34">
        <v>243</v>
      </c>
      <c r="B252" s="39">
        <v>162</v>
      </c>
      <c r="C252" s="34">
        <v>18</v>
      </c>
      <c r="D252" s="34">
        <v>18</v>
      </c>
    </row>
    <row r="253" spans="1:4" x14ac:dyDescent="0.3">
      <c r="A253" s="34">
        <v>244</v>
      </c>
      <c r="B253" s="39">
        <v>872</v>
      </c>
      <c r="C253" s="34">
        <v>6</v>
      </c>
      <c r="D253" s="34">
        <v>18</v>
      </c>
    </row>
    <row r="254" spans="1:4" x14ac:dyDescent="0.3">
      <c r="A254" s="34">
        <v>245</v>
      </c>
      <c r="B254" s="39">
        <v>520</v>
      </c>
      <c r="C254" s="34">
        <v>6</v>
      </c>
      <c r="D254" s="34">
        <v>18</v>
      </c>
    </row>
    <row r="255" spans="1:4" x14ac:dyDescent="0.3">
      <c r="A255" s="34">
        <v>246</v>
      </c>
      <c r="B255" s="39">
        <v>164</v>
      </c>
      <c r="C255" s="34">
        <v>10</v>
      </c>
      <c r="D255" s="34">
        <v>18</v>
      </c>
    </row>
    <row r="256" spans="1:4" x14ac:dyDescent="0.3">
      <c r="A256" s="34">
        <v>247</v>
      </c>
      <c r="B256" s="39">
        <v>636</v>
      </c>
      <c r="C256" s="34">
        <v>12</v>
      </c>
      <c r="D256" s="34">
        <v>18</v>
      </c>
    </row>
    <row r="257" spans="1:4" x14ac:dyDescent="0.3">
      <c r="A257" s="34">
        <v>248</v>
      </c>
      <c r="B257" s="39">
        <v>235</v>
      </c>
      <c r="C257" s="34">
        <v>4</v>
      </c>
      <c r="D257" s="34">
        <v>18</v>
      </c>
    </row>
    <row r="258" spans="1:4" x14ac:dyDescent="0.3">
      <c r="A258" s="34">
        <v>249</v>
      </c>
      <c r="B258" s="39">
        <v>998</v>
      </c>
      <c r="C258" s="34">
        <v>12</v>
      </c>
      <c r="D258" s="34">
        <v>18</v>
      </c>
    </row>
    <row r="259" spans="1:4" x14ac:dyDescent="0.3">
      <c r="A259" s="34">
        <v>250</v>
      </c>
      <c r="B259" s="39">
        <v>989</v>
      </c>
      <c r="C259" s="34">
        <v>24</v>
      </c>
      <c r="D259" s="34">
        <v>18</v>
      </c>
    </row>
    <row r="260" spans="1:4" x14ac:dyDescent="0.3">
      <c r="A260" s="34">
        <v>251</v>
      </c>
      <c r="B260" s="39">
        <v>823</v>
      </c>
      <c r="C260" s="34">
        <v>36</v>
      </c>
      <c r="D260" s="34">
        <v>18</v>
      </c>
    </row>
    <row r="261" spans="1:4" x14ac:dyDescent="0.3">
      <c r="A261" s="34">
        <v>252</v>
      </c>
      <c r="B261" s="39">
        <v>707</v>
      </c>
      <c r="C261" s="34">
        <v>48</v>
      </c>
      <c r="D261" s="34">
        <v>18</v>
      </c>
    </row>
    <row r="262" spans="1:4" x14ac:dyDescent="0.3">
      <c r="A262" s="34">
        <v>253</v>
      </c>
      <c r="B262" s="39">
        <v>554</v>
      </c>
      <c r="C262" s="34">
        <v>12</v>
      </c>
      <c r="D262" s="34">
        <v>18</v>
      </c>
    </row>
    <row r="263" spans="1:4" x14ac:dyDescent="0.3">
      <c r="A263" s="34">
        <v>254</v>
      </c>
      <c r="B263" s="39">
        <v>316</v>
      </c>
      <c r="C263" s="34">
        <v>36</v>
      </c>
      <c r="D263" s="34">
        <v>18</v>
      </c>
    </row>
    <row r="264" spans="1:4" x14ac:dyDescent="0.3">
      <c r="A264" s="34">
        <v>255</v>
      </c>
      <c r="B264" s="39">
        <v>102</v>
      </c>
      <c r="C264" s="34">
        <v>36</v>
      </c>
      <c r="D264" s="34">
        <v>18</v>
      </c>
    </row>
    <row r="265" spans="1:4" x14ac:dyDescent="0.3">
      <c r="A265" s="34">
        <v>256</v>
      </c>
      <c r="B265" s="39">
        <v>48</v>
      </c>
      <c r="C265" s="34">
        <v>6</v>
      </c>
      <c r="D265" s="34">
        <v>18</v>
      </c>
    </row>
    <row r="266" spans="1:4" x14ac:dyDescent="0.3">
      <c r="A266" s="34">
        <v>257</v>
      </c>
      <c r="B266" s="39">
        <v>61</v>
      </c>
      <c r="C266" s="34">
        <v>9</v>
      </c>
      <c r="D266" s="34">
        <v>18</v>
      </c>
    </row>
    <row r="267" spans="1:4" x14ac:dyDescent="0.3">
      <c r="A267" s="34">
        <v>258</v>
      </c>
      <c r="B267" s="39">
        <v>444</v>
      </c>
      <c r="C267" s="34">
        <v>12</v>
      </c>
      <c r="D267" s="34">
        <v>18</v>
      </c>
    </row>
    <row r="268" spans="1:4" x14ac:dyDescent="0.3">
      <c r="A268" s="34">
        <v>259</v>
      </c>
      <c r="B268" s="39">
        <v>252</v>
      </c>
      <c r="C268" s="34">
        <v>12</v>
      </c>
      <c r="D268" s="34">
        <v>18</v>
      </c>
    </row>
    <row r="269" spans="1:4" x14ac:dyDescent="0.3">
      <c r="A269" s="34">
        <v>260</v>
      </c>
      <c r="B269" s="39">
        <v>18</v>
      </c>
      <c r="C269" s="34">
        <v>30</v>
      </c>
      <c r="D269" s="34">
        <v>18</v>
      </c>
    </row>
    <row r="270" spans="1:4" x14ac:dyDescent="0.3">
      <c r="A270" s="34">
        <v>261</v>
      </c>
      <c r="B270" s="39">
        <v>786</v>
      </c>
      <c r="C270" s="34">
        <v>18</v>
      </c>
      <c r="D270" s="34">
        <v>27</v>
      </c>
    </row>
    <row r="271" spans="1:4" x14ac:dyDescent="0.3">
      <c r="A271" s="34">
        <v>262</v>
      </c>
      <c r="B271" s="39">
        <v>980</v>
      </c>
      <c r="C271" s="34">
        <v>15</v>
      </c>
      <c r="D271" s="34">
        <v>27</v>
      </c>
    </row>
    <row r="272" spans="1:4" x14ac:dyDescent="0.3">
      <c r="A272" s="34">
        <v>263</v>
      </c>
      <c r="B272" s="39">
        <v>34</v>
      </c>
      <c r="C272" s="34">
        <v>12</v>
      </c>
      <c r="D272" s="34">
        <v>27</v>
      </c>
    </row>
    <row r="273" spans="1:4" x14ac:dyDescent="0.3">
      <c r="A273" s="34">
        <v>264</v>
      </c>
      <c r="B273" s="39">
        <v>171</v>
      </c>
      <c r="C273" s="34">
        <v>15</v>
      </c>
      <c r="D273" s="34">
        <v>27</v>
      </c>
    </row>
    <row r="274" spans="1:4" x14ac:dyDescent="0.3">
      <c r="A274" s="34">
        <v>265</v>
      </c>
      <c r="B274" s="39">
        <v>901</v>
      </c>
      <c r="C274" s="34">
        <v>16</v>
      </c>
      <c r="D274" s="34">
        <v>27</v>
      </c>
    </row>
    <row r="275" spans="1:4" x14ac:dyDescent="0.3">
      <c r="A275" s="34">
        <v>266</v>
      </c>
      <c r="B275" s="39">
        <v>243</v>
      </c>
      <c r="C275" s="34">
        <v>48</v>
      </c>
      <c r="D275" s="34">
        <v>27</v>
      </c>
    </row>
    <row r="276" spans="1:4" x14ac:dyDescent="0.3">
      <c r="A276" s="34">
        <v>267</v>
      </c>
      <c r="B276" s="39">
        <v>624</v>
      </c>
      <c r="C276" s="34">
        <v>12</v>
      </c>
      <c r="D276" s="34">
        <v>27</v>
      </c>
    </row>
    <row r="277" spans="1:4" x14ac:dyDescent="0.3">
      <c r="A277" s="34">
        <v>268</v>
      </c>
      <c r="B277" s="39">
        <v>79</v>
      </c>
      <c r="C277" s="34">
        <v>54</v>
      </c>
      <c r="D277" s="34">
        <v>27</v>
      </c>
    </row>
    <row r="278" spans="1:4" x14ac:dyDescent="0.3">
      <c r="A278" s="34">
        <v>269</v>
      </c>
      <c r="B278" s="39">
        <v>896</v>
      </c>
      <c r="C278" s="34">
        <v>36</v>
      </c>
      <c r="D278" s="34">
        <v>27</v>
      </c>
    </row>
    <row r="279" spans="1:4" x14ac:dyDescent="0.3">
      <c r="A279" s="34">
        <v>270</v>
      </c>
      <c r="B279" s="39">
        <v>329</v>
      </c>
      <c r="C279" s="34">
        <v>36</v>
      </c>
      <c r="D279" s="34">
        <v>27</v>
      </c>
    </row>
    <row r="280" spans="1:4" x14ac:dyDescent="0.3">
      <c r="A280" s="34">
        <v>271</v>
      </c>
      <c r="B280" s="39">
        <v>670</v>
      </c>
      <c r="C280" s="34">
        <v>30</v>
      </c>
      <c r="D280" s="34">
        <v>27</v>
      </c>
    </row>
    <row r="281" spans="1:4" x14ac:dyDescent="0.3">
      <c r="A281" s="34">
        <v>272</v>
      </c>
      <c r="B281" s="39">
        <v>41</v>
      </c>
      <c r="C281" s="34">
        <v>30</v>
      </c>
      <c r="D281" s="34">
        <v>27</v>
      </c>
    </row>
    <row r="282" spans="1:4" x14ac:dyDescent="0.3">
      <c r="A282" s="34">
        <v>273</v>
      </c>
      <c r="B282" s="39">
        <v>817</v>
      </c>
      <c r="C282" s="34">
        <v>6</v>
      </c>
      <c r="D282" s="34">
        <v>27</v>
      </c>
    </row>
    <row r="283" spans="1:4" x14ac:dyDescent="0.3">
      <c r="A283" s="34">
        <v>274</v>
      </c>
      <c r="B283" s="39">
        <v>90</v>
      </c>
      <c r="C283" s="34">
        <v>12</v>
      </c>
      <c r="D283" s="34">
        <v>27</v>
      </c>
    </row>
    <row r="284" spans="1:4" x14ac:dyDescent="0.3">
      <c r="A284" s="34">
        <v>275</v>
      </c>
      <c r="B284" s="39">
        <v>844</v>
      </c>
      <c r="C284" s="34">
        <v>24</v>
      </c>
      <c r="D284" s="34">
        <v>27</v>
      </c>
    </row>
    <row r="285" spans="1:4" x14ac:dyDescent="0.3">
      <c r="A285" s="34">
        <v>276</v>
      </c>
      <c r="B285" s="39">
        <v>726</v>
      </c>
      <c r="C285" s="34">
        <v>6</v>
      </c>
      <c r="D285" s="34">
        <v>27</v>
      </c>
    </row>
    <row r="286" spans="1:4" x14ac:dyDescent="0.3">
      <c r="A286" s="34">
        <v>277</v>
      </c>
      <c r="B286" s="39">
        <v>405</v>
      </c>
      <c r="C286" s="34">
        <v>18</v>
      </c>
      <c r="D286" s="34">
        <v>27</v>
      </c>
    </row>
    <row r="287" spans="1:4" x14ac:dyDescent="0.3">
      <c r="A287" s="34">
        <v>278</v>
      </c>
      <c r="B287" s="39">
        <v>594</v>
      </c>
      <c r="C287" s="34">
        <v>24</v>
      </c>
      <c r="D287" s="34">
        <v>27</v>
      </c>
    </row>
    <row r="288" spans="1:4" x14ac:dyDescent="0.3">
      <c r="A288" s="34">
        <v>279</v>
      </c>
      <c r="B288" s="39">
        <v>356</v>
      </c>
      <c r="C288" s="34">
        <v>24</v>
      </c>
      <c r="D288" s="34">
        <v>27</v>
      </c>
    </row>
    <row r="289" spans="1:4" x14ac:dyDescent="0.3">
      <c r="A289" s="34">
        <v>280</v>
      </c>
      <c r="B289" s="39">
        <v>839</v>
      </c>
      <c r="C289" s="34">
        <v>24</v>
      </c>
      <c r="D289" s="34">
        <v>27</v>
      </c>
    </row>
    <row r="290" spans="1:4" x14ac:dyDescent="0.3">
      <c r="A290" s="34">
        <v>281</v>
      </c>
      <c r="B290" s="39">
        <v>960</v>
      </c>
      <c r="C290" s="34">
        <v>24</v>
      </c>
      <c r="D290" s="34">
        <v>32</v>
      </c>
    </row>
    <row r="291" spans="1:4" x14ac:dyDescent="0.3">
      <c r="A291" s="34">
        <v>282</v>
      </c>
      <c r="B291" s="39">
        <v>451</v>
      </c>
      <c r="C291" s="34">
        <v>36</v>
      </c>
      <c r="D291" s="34">
        <v>32</v>
      </c>
    </row>
    <row r="292" spans="1:4" x14ac:dyDescent="0.3">
      <c r="A292" s="34">
        <v>283</v>
      </c>
      <c r="B292" s="39">
        <v>194</v>
      </c>
      <c r="C292" s="34">
        <v>6</v>
      </c>
      <c r="D292" s="34">
        <v>32</v>
      </c>
    </row>
    <row r="293" spans="1:4" x14ac:dyDescent="0.3">
      <c r="A293" s="34">
        <v>284</v>
      </c>
      <c r="B293" s="39">
        <v>428</v>
      </c>
      <c r="C293" s="34">
        <v>18</v>
      </c>
      <c r="D293" s="34">
        <v>32</v>
      </c>
    </row>
    <row r="294" spans="1:4" x14ac:dyDescent="0.3">
      <c r="A294" s="34">
        <v>285</v>
      </c>
      <c r="B294" s="39">
        <v>480</v>
      </c>
      <c r="C294" s="34">
        <v>15</v>
      </c>
      <c r="D294" s="34">
        <v>32</v>
      </c>
    </row>
    <row r="295" spans="1:4" x14ac:dyDescent="0.3">
      <c r="A295" s="34">
        <v>286</v>
      </c>
      <c r="B295" s="39">
        <v>527</v>
      </c>
      <c r="C295" s="34">
        <v>15</v>
      </c>
      <c r="D295" s="34">
        <v>32</v>
      </c>
    </row>
    <row r="296" spans="1:4" x14ac:dyDescent="0.3">
      <c r="A296" s="34">
        <v>287</v>
      </c>
      <c r="B296" s="39">
        <v>678</v>
      </c>
      <c r="C296" s="34">
        <v>72</v>
      </c>
      <c r="D296" s="34">
        <v>32</v>
      </c>
    </row>
    <row r="297" spans="1:4" x14ac:dyDescent="0.3">
      <c r="A297" s="34">
        <v>288</v>
      </c>
      <c r="B297" s="39">
        <v>116</v>
      </c>
      <c r="C297" s="34">
        <v>48</v>
      </c>
      <c r="D297" s="34">
        <v>32</v>
      </c>
    </row>
    <row r="298" spans="1:4" x14ac:dyDescent="0.3">
      <c r="A298" s="34">
        <v>289</v>
      </c>
      <c r="B298" s="39">
        <v>73</v>
      </c>
      <c r="C298" s="34">
        <v>8</v>
      </c>
      <c r="D298" s="34">
        <v>32</v>
      </c>
    </row>
    <row r="299" spans="1:4" x14ac:dyDescent="0.3">
      <c r="A299" s="34">
        <v>290</v>
      </c>
      <c r="B299" s="39">
        <v>203</v>
      </c>
      <c r="C299" s="34">
        <v>27</v>
      </c>
      <c r="D299" s="34">
        <v>32</v>
      </c>
    </row>
    <row r="300" spans="1:4" x14ac:dyDescent="0.3">
      <c r="A300" s="34">
        <v>291</v>
      </c>
      <c r="B300" s="39">
        <v>661</v>
      </c>
      <c r="C300" s="34">
        <v>12</v>
      </c>
      <c r="D300" s="34">
        <v>32</v>
      </c>
    </row>
    <row r="301" spans="1:4" x14ac:dyDescent="0.3">
      <c r="A301" s="34">
        <v>292</v>
      </c>
      <c r="B301" s="39">
        <v>840</v>
      </c>
      <c r="C301" s="34">
        <v>24</v>
      </c>
      <c r="D301" s="34">
        <v>32</v>
      </c>
    </row>
    <row r="302" spans="1:4" x14ac:dyDescent="0.3">
      <c r="A302" s="34">
        <v>293</v>
      </c>
      <c r="B302" s="39">
        <v>39</v>
      </c>
      <c r="C302" s="34">
        <v>10</v>
      </c>
      <c r="D302" s="34">
        <v>32</v>
      </c>
    </row>
    <row r="303" spans="1:4" x14ac:dyDescent="0.3">
      <c r="A303" s="34">
        <v>294</v>
      </c>
      <c r="B303" s="39">
        <v>986</v>
      </c>
      <c r="C303" s="34">
        <v>15</v>
      </c>
      <c r="D303" s="34">
        <v>32</v>
      </c>
    </row>
    <row r="304" spans="1:4" x14ac:dyDescent="0.3">
      <c r="A304" s="34">
        <v>295</v>
      </c>
      <c r="B304" s="39">
        <v>336</v>
      </c>
      <c r="C304" s="34">
        <v>6</v>
      </c>
      <c r="D304" s="34">
        <v>32</v>
      </c>
    </row>
    <row r="305" spans="1:4" x14ac:dyDescent="0.3">
      <c r="A305" s="34">
        <v>296</v>
      </c>
      <c r="B305" s="39">
        <v>698</v>
      </c>
      <c r="C305" s="34">
        <v>12</v>
      </c>
      <c r="D305" s="34">
        <v>32</v>
      </c>
    </row>
    <row r="306" spans="1:4" x14ac:dyDescent="0.3">
      <c r="A306" s="34">
        <v>297</v>
      </c>
      <c r="B306" s="39">
        <v>261</v>
      </c>
      <c r="C306" s="34">
        <v>12</v>
      </c>
      <c r="D306" s="34">
        <v>32</v>
      </c>
    </row>
    <row r="307" spans="1:4" x14ac:dyDescent="0.3">
      <c r="A307" s="34">
        <v>298</v>
      </c>
      <c r="B307" s="39">
        <v>42</v>
      </c>
      <c r="C307" s="34">
        <v>12</v>
      </c>
      <c r="D307" s="34">
        <v>32</v>
      </c>
    </row>
    <row r="308" spans="1:4" x14ac:dyDescent="0.3">
      <c r="A308" s="34">
        <v>299</v>
      </c>
      <c r="B308" s="39">
        <v>662</v>
      </c>
      <c r="C308" s="34">
        <v>12</v>
      </c>
      <c r="D308" s="34">
        <v>32</v>
      </c>
    </row>
    <row r="309" spans="1:4" x14ac:dyDescent="0.3">
      <c r="A309" s="34">
        <v>300</v>
      </c>
      <c r="B309" s="39">
        <v>613</v>
      </c>
      <c r="C309" s="34">
        <v>21</v>
      </c>
      <c r="D309" s="34">
        <v>32</v>
      </c>
    </row>
    <row r="310" spans="1:4" x14ac:dyDescent="0.3">
      <c r="A310" s="34">
        <v>301</v>
      </c>
      <c r="B310" s="39">
        <v>650</v>
      </c>
      <c r="C310" s="34">
        <v>12</v>
      </c>
      <c r="D310" s="34">
        <v>49</v>
      </c>
    </row>
    <row r="311" spans="1:4" x14ac:dyDescent="0.3">
      <c r="A311" s="34">
        <v>302</v>
      </c>
      <c r="B311" s="39">
        <v>768</v>
      </c>
      <c r="C311" s="34">
        <v>10</v>
      </c>
      <c r="D311" s="34">
        <v>49</v>
      </c>
    </row>
    <row r="312" spans="1:4" x14ac:dyDescent="0.3">
      <c r="A312" s="34">
        <v>303</v>
      </c>
      <c r="B312" s="39">
        <v>848</v>
      </c>
      <c r="C312" s="34">
        <v>24</v>
      </c>
      <c r="D312" s="34">
        <v>49</v>
      </c>
    </row>
    <row r="313" spans="1:4" x14ac:dyDescent="0.3">
      <c r="A313" s="34">
        <v>304</v>
      </c>
      <c r="B313" s="39">
        <v>295</v>
      </c>
      <c r="C313" s="34">
        <v>48</v>
      </c>
      <c r="D313" s="34">
        <v>49</v>
      </c>
    </row>
    <row r="314" spans="1:4" x14ac:dyDescent="0.3">
      <c r="A314" s="34">
        <v>305</v>
      </c>
      <c r="B314" s="39">
        <v>306</v>
      </c>
      <c r="C314" s="34">
        <v>6</v>
      </c>
      <c r="D314" s="34">
        <v>49</v>
      </c>
    </row>
    <row r="315" spans="1:4" x14ac:dyDescent="0.3">
      <c r="A315" s="34">
        <v>306</v>
      </c>
      <c r="B315" s="39">
        <v>326</v>
      </c>
      <c r="C315" s="34">
        <v>8</v>
      </c>
      <c r="D315" s="34">
        <v>49</v>
      </c>
    </row>
    <row r="316" spans="1:4" x14ac:dyDescent="0.3">
      <c r="A316" s="34">
        <v>307</v>
      </c>
      <c r="B316" s="39">
        <v>422</v>
      </c>
      <c r="C316" s="34">
        <v>12</v>
      </c>
      <c r="D316" s="34">
        <v>49</v>
      </c>
    </row>
    <row r="317" spans="1:4" x14ac:dyDescent="0.3">
      <c r="A317" s="34">
        <v>308</v>
      </c>
      <c r="B317" s="39">
        <v>739</v>
      </c>
      <c r="C317" s="34">
        <v>6</v>
      </c>
      <c r="D317" s="34">
        <v>49</v>
      </c>
    </row>
    <row r="318" spans="1:4" x14ac:dyDescent="0.3">
      <c r="A318" s="34">
        <v>309</v>
      </c>
      <c r="B318" s="39">
        <v>727</v>
      </c>
      <c r="C318" s="34">
        <v>15</v>
      </c>
      <c r="D318" s="34">
        <v>49</v>
      </c>
    </row>
    <row r="319" spans="1:4" x14ac:dyDescent="0.3">
      <c r="A319" s="34">
        <v>310</v>
      </c>
      <c r="B319" s="39">
        <v>87</v>
      </c>
      <c r="C319" s="34">
        <v>18</v>
      </c>
      <c r="D319" s="34">
        <v>49</v>
      </c>
    </row>
    <row r="320" spans="1:4" x14ac:dyDescent="0.3">
      <c r="A320" s="34">
        <v>311</v>
      </c>
      <c r="B320" s="39">
        <v>911</v>
      </c>
      <c r="C320" s="34">
        <v>36</v>
      </c>
      <c r="D320" s="34">
        <v>49</v>
      </c>
    </row>
    <row r="321" spans="1:4" x14ac:dyDescent="0.3">
      <c r="A321" s="34">
        <v>312</v>
      </c>
      <c r="B321" s="39">
        <v>971</v>
      </c>
      <c r="C321" s="34">
        <v>15</v>
      </c>
      <c r="D321" s="34">
        <v>49</v>
      </c>
    </row>
    <row r="322" spans="1:4" x14ac:dyDescent="0.3">
      <c r="A322" s="34">
        <v>313</v>
      </c>
      <c r="B322" s="39">
        <v>709</v>
      </c>
      <c r="C322" s="34">
        <v>9</v>
      </c>
      <c r="D322" s="34">
        <v>49</v>
      </c>
    </row>
    <row r="323" spans="1:4" x14ac:dyDescent="0.3">
      <c r="A323" s="34">
        <v>314</v>
      </c>
      <c r="B323" s="39">
        <v>784</v>
      </c>
      <c r="C323" s="34">
        <v>12</v>
      </c>
      <c r="D323" s="34">
        <v>49</v>
      </c>
    </row>
    <row r="324" spans="1:4" x14ac:dyDescent="0.3">
      <c r="A324" s="34">
        <v>315</v>
      </c>
      <c r="B324" s="39">
        <v>959</v>
      </c>
      <c r="C324" s="34">
        <v>28</v>
      </c>
      <c r="D324" s="34">
        <v>49</v>
      </c>
    </row>
    <row r="325" spans="1:4" x14ac:dyDescent="0.3">
      <c r="A325" s="34">
        <v>316</v>
      </c>
      <c r="B325" s="39">
        <v>383</v>
      </c>
      <c r="C325" s="34">
        <v>22</v>
      </c>
      <c r="D325" s="34">
        <v>49</v>
      </c>
    </row>
    <row r="326" spans="1:4" x14ac:dyDescent="0.3">
      <c r="A326" s="34">
        <v>317</v>
      </c>
      <c r="B326" s="39">
        <v>228</v>
      </c>
      <c r="C326" s="34">
        <v>12</v>
      </c>
      <c r="D326" s="34">
        <v>49</v>
      </c>
    </row>
    <row r="327" spans="1:4" x14ac:dyDescent="0.3">
      <c r="A327" s="34">
        <v>318</v>
      </c>
      <c r="B327" s="39">
        <v>292</v>
      </c>
      <c r="C327" s="34">
        <v>36</v>
      </c>
      <c r="D327" s="34">
        <v>49</v>
      </c>
    </row>
    <row r="328" spans="1:4" x14ac:dyDescent="0.3">
      <c r="A328" s="34">
        <v>319</v>
      </c>
      <c r="B328" s="39">
        <v>379</v>
      </c>
      <c r="C328" s="34">
        <v>36</v>
      </c>
      <c r="D328" s="34">
        <v>49</v>
      </c>
    </row>
    <row r="329" spans="1:4" x14ac:dyDescent="0.3">
      <c r="A329" s="35">
        <v>320</v>
      </c>
      <c r="B329" s="35">
        <v>233</v>
      </c>
      <c r="C329" s="35">
        <v>12</v>
      </c>
      <c r="D329" s="35">
        <v>49</v>
      </c>
    </row>
  </sheetData>
  <sortState xmlns:xlrd2="http://schemas.microsoft.com/office/spreadsheetml/2017/richdata2" ref="A210:D329">
    <sortCondition ref="D210:D329"/>
  </sortState>
  <mergeCells count="2">
    <mergeCell ref="B2:M2"/>
    <mergeCell ref="B3:M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47-624D-41BC-844E-7288FE1B3AC3}">
  <dimension ref="A1:X1001"/>
  <sheetViews>
    <sheetView zoomScale="120" zoomScaleNormal="120" workbookViewId="0">
      <selection activeCell="S25" sqref="S25"/>
    </sheetView>
  </sheetViews>
  <sheetFormatPr defaultRowHeight="14.4" x14ac:dyDescent="0.3"/>
  <cols>
    <col min="3" max="3" width="15.33203125" customWidth="1"/>
    <col min="4" max="4" width="16.6640625" customWidth="1"/>
    <col min="5" max="5" width="12.5546875" customWidth="1"/>
    <col min="6" max="6" width="9.109375" style="75"/>
    <col min="7" max="7" width="13" customWidth="1"/>
    <col min="8" max="8" width="15.88671875" customWidth="1"/>
    <col min="9" max="9" width="9.6640625" bestFit="1" customWidth="1"/>
    <col min="11" max="11" width="9.6640625" bestFit="1" customWidth="1"/>
  </cols>
  <sheetData>
    <row r="1" spans="1:24" x14ac:dyDescent="0.3">
      <c r="A1" s="37" t="s">
        <v>13</v>
      </c>
      <c r="B1" s="37" t="s">
        <v>12</v>
      </c>
      <c r="C1" s="37" t="s">
        <v>63</v>
      </c>
      <c r="D1" s="37" t="s">
        <v>126</v>
      </c>
      <c r="E1" s="37" t="s">
        <v>0</v>
      </c>
      <c r="F1" s="37" t="s">
        <v>42</v>
      </c>
      <c r="G1" s="95" t="s">
        <v>26</v>
      </c>
      <c r="H1" s="37" t="s">
        <v>130</v>
      </c>
      <c r="I1" s="37" t="s">
        <v>128</v>
      </c>
    </row>
    <row r="2" spans="1:24" ht="46.5" customHeight="1" x14ac:dyDescent="0.3">
      <c r="A2" s="38">
        <v>1</v>
      </c>
      <c r="B2" s="38">
        <v>608</v>
      </c>
      <c r="C2" s="38">
        <v>36</v>
      </c>
      <c r="D2" s="38">
        <v>2671</v>
      </c>
      <c r="E2" s="38">
        <v>50</v>
      </c>
      <c r="F2" s="34" t="s">
        <v>57</v>
      </c>
      <c r="G2" s="96">
        <v>3.5858300842096513E-3</v>
      </c>
      <c r="H2" s="34">
        <f t="shared" ref="H2:H65" si="0">MATCH(E2,$O$3:$O$27,1)</f>
        <v>14</v>
      </c>
      <c r="I2" s="75">
        <f t="shared" ref="I2:I65" si="1">MATCH(E2,$U$3:$U$28,1)</f>
        <v>19</v>
      </c>
      <c r="N2" s="341" t="s">
        <v>131</v>
      </c>
      <c r="O2" s="341"/>
      <c r="P2" s="341"/>
      <c r="R2" s="341" t="s">
        <v>132</v>
      </c>
      <c r="S2" s="341"/>
      <c r="T2" s="341"/>
      <c r="U2" s="341"/>
      <c r="V2" s="341"/>
      <c r="W2" s="341"/>
      <c r="X2" s="341"/>
    </row>
    <row r="3" spans="1:24" x14ac:dyDescent="0.3">
      <c r="A3" s="34">
        <v>2</v>
      </c>
      <c r="B3" s="34">
        <v>388</v>
      </c>
      <c r="C3" s="34">
        <v>18</v>
      </c>
      <c r="D3" s="34">
        <v>7374</v>
      </c>
      <c r="E3" s="34">
        <v>40</v>
      </c>
      <c r="F3" s="34" t="s">
        <v>54</v>
      </c>
      <c r="G3" s="97">
        <v>3.5985316423251534E-3</v>
      </c>
      <c r="H3" s="34">
        <f t="shared" si="0"/>
        <v>10</v>
      </c>
      <c r="I3" s="75">
        <f t="shared" si="1"/>
        <v>15</v>
      </c>
      <c r="K3" t="s">
        <v>86</v>
      </c>
      <c r="L3">
        <f>MIN($E$2:$E$1001)</f>
        <v>19</v>
      </c>
      <c r="N3">
        <v>1</v>
      </c>
      <c r="O3">
        <f>L3</f>
        <v>19</v>
      </c>
      <c r="P3">
        <f>COUNTIF($H$2:$H$1001,N3)</f>
        <v>30</v>
      </c>
      <c r="T3">
        <v>1</v>
      </c>
      <c r="U3">
        <v>19</v>
      </c>
      <c r="V3">
        <f t="shared" ref="V3:V27" si="2">COUNTIF($I$2:$I$1001,N3)</f>
        <v>30</v>
      </c>
    </row>
    <row r="4" spans="1:24" x14ac:dyDescent="0.3">
      <c r="A4" s="34">
        <v>3</v>
      </c>
      <c r="B4" s="34">
        <v>385</v>
      </c>
      <c r="C4" s="34">
        <v>30</v>
      </c>
      <c r="D4" s="34">
        <v>4272</v>
      </c>
      <c r="E4" s="34">
        <v>26</v>
      </c>
      <c r="F4" s="34" t="s">
        <v>54</v>
      </c>
      <c r="G4" s="97">
        <v>3.832724718904168E-3</v>
      </c>
      <c r="H4" s="34">
        <f t="shared" si="0"/>
        <v>4</v>
      </c>
      <c r="I4" s="75">
        <f t="shared" si="1"/>
        <v>5</v>
      </c>
      <c r="K4" t="s">
        <v>86</v>
      </c>
      <c r="L4">
        <f>MAX($E$2:$E$1001)</f>
        <v>75</v>
      </c>
      <c r="N4">
        <v>2</v>
      </c>
      <c r="O4">
        <f t="shared" ref="O4:O27" si="3">O3+$L$5</f>
        <v>21.240000000000002</v>
      </c>
      <c r="P4">
        <f t="shared" ref="P4:P27" si="4">COUNTIF($H$2:$H$1001,N4)</f>
        <v>75</v>
      </c>
      <c r="T4">
        <v>2</v>
      </c>
      <c r="U4">
        <v>21.240000000000002</v>
      </c>
      <c r="V4">
        <f t="shared" si="2"/>
        <v>75</v>
      </c>
    </row>
    <row r="5" spans="1:24" x14ac:dyDescent="0.3">
      <c r="A5" s="34">
        <v>4</v>
      </c>
      <c r="B5" s="34">
        <v>453</v>
      </c>
      <c r="C5" s="34">
        <v>12</v>
      </c>
      <c r="D5" s="34">
        <v>2759</v>
      </c>
      <c r="E5" s="34">
        <v>34</v>
      </c>
      <c r="F5" s="34" t="s">
        <v>54</v>
      </c>
      <c r="G5" s="97">
        <v>5.836331197279887E-3</v>
      </c>
      <c r="H5" s="34">
        <f t="shared" si="0"/>
        <v>7</v>
      </c>
      <c r="I5" s="75">
        <f t="shared" si="1"/>
        <v>11</v>
      </c>
      <c r="L5">
        <f>(L4-L3)/25</f>
        <v>2.2400000000000002</v>
      </c>
      <c r="N5">
        <v>3</v>
      </c>
      <c r="O5">
        <f t="shared" si="3"/>
        <v>23.480000000000004</v>
      </c>
      <c r="P5">
        <f t="shared" si="4"/>
        <v>85</v>
      </c>
      <c r="T5">
        <v>3</v>
      </c>
      <c r="U5">
        <v>23.480000000000004</v>
      </c>
      <c r="V5">
        <f t="shared" si="2"/>
        <v>44</v>
      </c>
    </row>
    <row r="6" spans="1:24" x14ac:dyDescent="0.3">
      <c r="A6" s="34">
        <v>5</v>
      </c>
      <c r="B6" s="34">
        <v>169</v>
      </c>
      <c r="C6" s="34">
        <v>24</v>
      </c>
      <c r="D6" s="34">
        <v>3972</v>
      </c>
      <c r="E6" s="34">
        <v>25</v>
      </c>
      <c r="F6" s="34" t="s">
        <v>56</v>
      </c>
      <c r="G6" s="97">
        <v>7.0139726657433288E-3</v>
      </c>
      <c r="H6" s="34">
        <f t="shared" si="0"/>
        <v>3</v>
      </c>
      <c r="I6" s="75">
        <f t="shared" si="1"/>
        <v>4</v>
      </c>
      <c r="N6">
        <v>4</v>
      </c>
      <c r="O6">
        <f t="shared" si="3"/>
        <v>25.720000000000006</v>
      </c>
      <c r="P6">
        <f t="shared" si="4"/>
        <v>101</v>
      </c>
      <c r="T6">
        <v>4</v>
      </c>
      <c r="U6">
        <v>24.5</v>
      </c>
      <c r="V6">
        <f t="shared" si="2"/>
        <v>41</v>
      </c>
    </row>
    <row r="7" spans="1:24" x14ac:dyDescent="0.3">
      <c r="A7" s="34">
        <v>6</v>
      </c>
      <c r="B7" s="34">
        <v>811</v>
      </c>
      <c r="C7" s="34">
        <v>8</v>
      </c>
      <c r="D7" s="34">
        <v>907</v>
      </c>
      <c r="E7" s="34">
        <v>26</v>
      </c>
      <c r="F7" s="34" t="s">
        <v>54</v>
      </c>
      <c r="G7" s="97">
        <v>9.0634301499046277E-3</v>
      </c>
      <c r="H7" s="34">
        <f t="shared" si="0"/>
        <v>4</v>
      </c>
      <c r="I7" s="75">
        <f t="shared" si="1"/>
        <v>5</v>
      </c>
      <c r="N7">
        <v>5</v>
      </c>
      <c r="O7">
        <f t="shared" si="3"/>
        <v>27.960000000000008</v>
      </c>
      <c r="P7">
        <f t="shared" si="4"/>
        <v>120</v>
      </c>
      <c r="T7">
        <v>5</v>
      </c>
      <c r="U7">
        <v>25.720000000000006</v>
      </c>
      <c r="V7">
        <f t="shared" si="2"/>
        <v>50</v>
      </c>
    </row>
    <row r="8" spans="1:24" x14ac:dyDescent="0.3">
      <c r="A8" s="34">
        <v>7</v>
      </c>
      <c r="B8" s="34">
        <v>564</v>
      </c>
      <c r="C8" s="34">
        <v>36</v>
      </c>
      <c r="D8" s="34">
        <v>12389</v>
      </c>
      <c r="E8" s="34">
        <v>37</v>
      </c>
      <c r="F8" s="34" t="s">
        <v>55</v>
      </c>
      <c r="G8" s="97">
        <v>9.7905631152812589E-3</v>
      </c>
      <c r="H8" s="34">
        <f t="shared" si="0"/>
        <v>9</v>
      </c>
      <c r="I8" s="75">
        <f t="shared" si="1"/>
        <v>14</v>
      </c>
      <c r="N8">
        <v>6</v>
      </c>
      <c r="O8">
        <f t="shared" si="3"/>
        <v>30.20000000000001</v>
      </c>
      <c r="P8">
        <f t="shared" si="4"/>
        <v>72</v>
      </c>
      <c r="T8">
        <v>6</v>
      </c>
      <c r="U8">
        <v>26.5</v>
      </c>
      <c r="V8">
        <f t="shared" si="2"/>
        <v>51</v>
      </c>
    </row>
    <row r="9" spans="1:24" x14ac:dyDescent="0.3">
      <c r="A9" s="34">
        <v>8</v>
      </c>
      <c r="B9" s="34">
        <v>802</v>
      </c>
      <c r="C9" s="34">
        <v>18</v>
      </c>
      <c r="D9" s="34">
        <v>1795</v>
      </c>
      <c r="E9" s="34">
        <v>48</v>
      </c>
      <c r="F9" s="34" t="s">
        <v>56</v>
      </c>
      <c r="G9" s="97">
        <v>9.9935306393147405E-3</v>
      </c>
      <c r="H9" s="34">
        <f t="shared" si="0"/>
        <v>13</v>
      </c>
      <c r="I9" s="75">
        <f t="shared" si="1"/>
        <v>18</v>
      </c>
      <c r="N9">
        <v>7</v>
      </c>
      <c r="O9">
        <f t="shared" si="3"/>
        <v>32.440000000000012</v>
      </c>
      <c r="P9">
        <f t="shared" si="4"/>
        <v>65</v>
      </c>
      <c r="T9">
        <v>7</v>
      </c>
      <c r="U9">
        <v>27.960000000000008</v>
      </c>
      <c r="V9">
        <f t="shared" si="2"/>
        <v>43</v>
      </c>
    </row>
    <row r="10" spans="1:24" x14ac:dyDescent="0.3">
      <c r="A10" s="34">
        <v>9</v>
      </c>
      <c r="B10" s="34">
        <v>136</v>
      </c>
      <c r="C10" s="34">
        <v>12</v>
      </c>
      <c r="D10" s="34">
        <v>1240</v>
      </c>
      <c r="E10" s="34">
        <v>38</v>
      </c>
      <c r="F10" s="34" t="s">
        <v>56</v>
      </c>
      <c r="G10" s="97">
        <v>1.0088823410967507E-2</v>
      </c>
      <c r="H10" s="34">
        <f t="shared" si="0"/>
        <v>9</v>
      </c>
      <c r="I10" s="75">
        <f t="shared" si="1"/>
        <v>14</v>
      </c>
      <c r="N10">
        <v>8</v>
      </c>
      <c r="O10">
        <f t="shared" si="3"/>
        <v>34.680000000000014</v>
      </c>
      <c r="P10">
        <f t="shared" si="4"/>
        <v>79</v>
      </c>
      <c r="T10">
        <v>8</v>
      </c>
      <c r="U10">
        <v>28.5</v>
      </c>
      <c r="V10">
        <f t="shared" si="2"/>
        <v>37</v>
      </c>
    </row>
    <row r="11" spans="1:24" x14ac:dyDescent="0.3">
      <c r="A11" s="34">
        <v>10</v>
      </c>
      <c r="B11" s="34">
        <v>597</v>
      </c>
      <c r="C11" s="34">
        <v>24</v>
      </c>
      <c r="D11" s="34">
        <v>1442</v>
      </c>
      <c r="E11" s="34">
        <v>23</v>
      </c>
      <c r="F11" s="34" t="s">
        <v>57</v>
      </c>
      <c r="G11" s="97">
        <v>1.0774678430711004E-2</v>
      </c>
      <c r="H11" s="34">
        <f t="shared" si="0"/>
        <v>2</v>
      </c>
      <c r="I11" s="75">
        <f t="shared" si="1"/>
        <v>2</v>
      </c>
      <c r="N11">
        <v>9</v>
      </c>
      <c r="O11">
        <f t="shared" si="3"/>
        <v>36.920000000000016</v>
      </c>
      <c r="P11">
        <f t="shared" si="4"/>
        <v>74</v>
      </c>
      <c r="T11">
        <v>9</v>
      </c>
      <c r="U11">
        <v>29.5</v>
      </c>
      <c r="V11">
        <f t="shared" si="2"/>
        <v>40</v>
      </c>
    </row>
    <row r="12" spans="1:24" x14ac:dyDescent="0.3">
      <c r="A12" s="34">
        <v>11</v>
      </c>
      <c r="B12" s="34">
        <v>256</v>
      </c>
      <c r="C12" s="34">
        <v>60</v>
      </c>
      <c r="D12" s="34">
        <v>7418</v>
      </c>
      <c r="E12" s="34">
        <v>27</v>
      </c>
      <c r="F12" s="34" t="s">
        <v>54</v>
      </c>
      <c r="G12" s="97">
        <v>1.0780851779811806E-2</v>
      </c>
      <c r="H12" s="34">
        <f t="shared" si="0"/>
        <v>4</v>
      </c>
      <c r="I12" s="75">
        <f t="shared" si="1"/>
        <v>6</v>
      </c>
      <c r="N12">
        <v>10</v>
      </c>
      <c r="O12">
        <f t="shared" si="3"/>
        <v>39.160000000000018</v>
      </c>
      <c r="P12">
        <f t="shared" si="4"/>
        <v>42</v>
      </c>
      <c r="T12">
        <v>10</v>
      </c>
      <c r="U12">
        <v>30.20000000000001</v>
      </c>
      <c r="V12">
        <f t="shared" si="2"/>
        <v>72</v>
      </c>
    </row>
    <row r="13" spans="1:24" x14ac:dyDescent="0.3">
      <c r="A13" s="34">
        <v>12</v>
      </c>
      <c r="B13" s="34">
        <v>255</v>
      </c>
      <c r="C13" s="34">
        <v>9</v>
      </c>
      <c r="D13" s="34">
        <v>2030</v>
      </c>
      <c r="E13" s="34">
        <v>24</v>
      </c>
      <c r="F13" s="34" t="s">
        <v>54</v>
      </c>
      <c r="G13" s="97">
        <v>1.1428857555804028E-2</v>
      </c>
      <c r="H13" s="34">
        <f t="shared" si="0"/>
        <v>3</v>
      </c>
      <c r="I13" s="75">
        <f t="shared" si="1"/>
        <v>3</v>
      </c>
      <c r="N13">
        <v>11</v>
      </c>
      <c r="O13">
        <f t="shared" si="3"/>
        <v>41.40000000000002</v>
      </c>
      <c r="P13">
        <f t="shared" si="4"/>
        <v>39</v>
      </c>
      <c r="T13">
        <v>11</v>
      </c>
      <c r="U13">
        <v>32.440000000000012</v>
      </c>
      <c r="V13">
        <f t="shared" si="2"/>
        <v>65</v>
      </c>
    </row>
    <row r="14" spans="1:24" x14ac:dyDescent="0.3">
      <c r="A14" s="34">
        <v>13</v>
      </c>
      <c r="B14" s="34">
        <v>421</v>
      </c>
      <c r="C14" s="34">
        <v>15</v>
      </c>
      <c r="D14" s="34">
        <v>3186</v>
      </c>
      <c r="E14" s="34">
        <v>20</v>
      </c>
      <c r="F14" s="34" t="s">
        <v>56</v>
      </c>
      <c r="G14" s="97">
        <v>1.2295428171933631E-2</v>
      </c>
      <c r="H14" s="34">
        <f t="shared" si="0"/>
        <v>1</v>
      </c>
      <c r="I14" s="75">
        <f t="shared" si="1"/>
        <v>1</v>
      </c>
      <c r="N14">
        <v>12</v>
      </c>
      <c r="O14">
        <f t="shared" si="3"/>
        <v>43.640000000000022</v>
      </c>
      <c r="P14">
        <f t="shared" si="4"/>
        <v>32</v>
      </c>
      <c r="T14">
        <v>12</v>
      </c>
      <c r="U14">
        <v>34.680000000000014</v>
      </c>
      <c r="V14">
        <f t="shared" si="2"/>
        <v>40</v>
      </c>
    </row>
    <row r="15" spans="1:24" x14ac:dyDescent="0.3">
      <c r="A15" s="34">
        <v>14</v>
      </c>
      <c r="B15" s="34">
        <v>573</v>
      </c>
      <c r="C15" s="34">
        <v>24</v>
      </c>
      <c r="D15" s="34">
        <v>5433</v>
      </c>
      <c r="E15" s="34">
        <v>26</v>
      </c>
      <c r="F15" s="34" t="s">
        <v>56</v>
      </c>
      <c r="G15" s="97">
        <v>1.3532357131278316E-2</v>
      </c>
      <c r="H15" s="34">
        <f t="shared" si="0"/>
        <v>4</v>
      </c>
      <c r="I15" s="75">
        <f t="shared" si="1"/>
        <v>5</v>
      </c>
      <c r="N15">
        <v>13</v>
      </c>
      <c r="O15">
        <f t="shared" si="3"/>
        <v>45.880000000000024</v>
      </c>
      <c r="P15">
        <f t="shared" si="4"/>
        <v>47</v>
      </c>
      <c r="T15">
        <v>13</v>
      </c>
      <c r="U15">
        <v>35.5</v>
      </c>
      <c r="V15">
        <f t="shared" si="2"/>
        <v>39</v>
      </c>
    </row>
    <row r="16" spans="1:24" x14ac:dyDescent="0.3">
      <c r="A16" s="34">
        <v>15</v>
      </c>
      <c r="B16" s="34">
        <v>294</v>
      </c>
      <c r="C16" s="34">
        <v>42</v>
      </c>
      <c r="D16" s="34">
        <v>4796</v>
      </c>
      <c r="E16" s="34">
        <v>56</v>
      </c>
      <c r="F16" s="34" t="s">
        <v>54</v>
      </c>
      <c r="G16" s="97">
        <v>1.4318517662603059E-2</v>
      </c>
      <c r="H16" s="34">
        <f t="shared" si="0"/>
        <v>17</v>
      </c>
      <c r="I16" s="75">
        <f t="shared" si="1"/>
        <v>22</v>
      </c>
      <c r="N16">
        <v>14</v>
      </c>
      <c r="O16">
        <f t="shared" si="3"/>
        <v>48.120000000000026</v>
      </c>
      <c r="P16">
        <f t="shared" si="4"/>
        <v>26</v>
      </c>
      <c r="T16">
        <v>14</v>
      </c>
      <c r="U16">
        <v>36.920000000000016</v>
      </c>
      <c r="V16">
        <f t="shared" si="2"/>
        <v>74</v>
      </c>
    </row>
    <row r="17" spans="1:22" x14ac:dyDescent="0.3">
      <c r="A17" s="34">
        <v>16</v>
      </c>
      <c r="B17" s="34">
        <v>17</v>
      </c>
      <c r="C17" s="34">
        <v>24</v>
      </c>
      <c r="D17" s="34">
        <v>2424</v>
      </c>
      <c r="E17" s="34">
        <v>53</v>
      </c>
      <c r="F17" s="34" t="s">
        <v>54</v>
      </c>
      <c r="G17" s="97">
        <v>1.4530962206073417E-2</v>
      </c>
      <c r="H17" s="34">
        <f t="shared" si="0"/>
        <v>16</v>
      </c>
      <c r="I17" s="75">
        <f t="shared" si="1"/>
        <v>21</v>
      </c>
      <c r="N17">
        <v>15</v>
      </c>
      <c r="O17">
        <f t="shared" si="3"/>
        <v>50.360000000000028</v>
      </c>
      <c r="P17">
        <f t="shared" si="4"/>
        <v>17</v>
      </c>
      <c r="T17">
        <v>15</v>
      </c>
      <c r="U17">
        <v>39.160000000000018</v>
      </c>
      <c r="V17">
        <f t="shared" si="2"/>
        <v>42</v>
      </c>
    </row>
    <row r="18" spans="1:22" x14ac:dyDescent="0.3">
      <c r="A18" s="34">
        <v>17</v>
      </c>
      <c r="B18" s="34">
        <v>899</v>
      </c>
      <c r="C18" s="34">
        <v>15</v>
      </c>
      <c r="D18" s="34">
        <v>2186</v>
      </c>
      <c r="E18" s="34">
        <v>33</v>
      </c>
      <c r="F18" s="34" t="s">
        <v>56</v>
      </c>
      <c r="G18" s="97">
        <v>1.6308210116722233E-2</v>
      </c>
      <c r="H18" s="34">
        <f t="shared" si="0"/>
        <v>7</v>
      </c>
      <c r="I18" s="75">
        <f t="shared" si="1"/>
        <v>11</v>
      </c>
      <c r="N18">
        <v>16</v>
      </c>
      <c r="O18">
        <f t="shared" si="3"/>
        <v>52.60000000000003</v>
      </c>
      <c r="P18">
        <f t="shared" si="4"/>
        <v>17</v>
      </c>
      <c r="T18">
        <v>16</v>
      </c>
      <c r="U18">
        <v>41.40000000000002</v>
      </c>
      <c r="V18">
        <f t="shared" si="2"/>
        <v>39</v>
      </c>
    </row>
    <row r="19" spans="1:22" x14ac:dyDescent="0.3">
      <c r="A19" s="34">
        <v>18</v>
      </c>
      <c r="B19" s="34">
        <v>232</v>
      </c>
      <c r="C19" s="34">
        <v>9</v>
      </c>
      <c r="D19" s="34">
        <v>2507</v>
      </c>
      <c r="E19" s="34">
        <v>51</v>
      </c>
      <c r="F19" s="34" t="s">
        <v>54</v>
      </c>
      <c r="G19" s="97">
        <v>1.8305980416462253E-2</v>
      </c>
      <c r="H19" s="34">
        <f t="shared" si="0"/>
        <v>15</v>
      </c>
      <c r="I19" s="75">
        <f t="shared" si="1"/>
        <v>20</v>
      </c>
      <c r="N19">
        <v>17</v>
      </c>
      <c r="O19">
        <f t="shared" si="3"/>
        <v>54.840000000000032</v>
      </c>
      <c r="P19">
        <f t="shared" si="4"/>
        <v>20</v>
      </c>
      <c r="T19">
        <v>17</v>
      </c>
      <c r="U19">
        <v>43.640000000000022</v>
      </c>
      <c r="V19">
        <f t="shared" si="2"/>
        <v>32</v>
      </c>
    </row>
    <row r="20" spans="1:22" x14ac:dyDescent="0.3">
      <c r="A20" s="34">
        <v>19</v>
      </c>
      <c r="B20" s="34">
        <v>948</v>
      </c>
      <c r="C20" s="34">
        <v>12</v>
      </c>
      <c r="D20" s="34">
        <v>2859</v>
      </c>
      <c r="E20" s="34">
        <v>38</v>
      </c>
      <c r="F20" s="34" t="s">
        <v>54</v>
      </c>
      <c r="G20" s="97">
        <v>2.0273634629438098E-2</v>
      </c>
      <c r="H20" s="34">
        <f t="shared" si="0"/>
        <v>9</v>
      </c>
      <c r="I20" s="75">
        <f t="shared" si="1"/>
        <v>14</v>
      </c>
      <c r="N20">
        <v>18</v>
      </c>
      <c r="O20">
        <f t="shared" si="3"/>
        <v>57.080000000000034</v>
      </c>
      <c r="P20">
        <f t="shared" si="4"/>
        <v>8</v>
      </c>
      <c r="T20">
        <v>18</v>
      </c>
      <c r="U20">
        <v>45.880000000000024</v>
      </c>
      <c r="V20">
        <f t="shared" si="2"/>
        <v>47</v>
      </c>
    </row>
    <row r="21" spans="1:22" x14ac:dyDescent="0.3">
      <c r="A21" s="34">
        <v>20</v>
      </c>
      <c r="B21" s="34">
        <v>744</v>
      </c>
      <c r="C21" s="34">
        <v>24</v>
      </c>
      <c r="D21" s="34">
        <v>2483</v>
      </c>
      <c r="E21" s="34">
        <v>22</v>
      </c>
      <c r="F21" s="34" t="s">
        <v>54</v>
      </c>
      <c r="G21" s="97">
        <v>2.0381164799532558E-2</v>
      </c>
      <c r="H21" s="34">
        <f t="shared" si="0"/>
        <v>2</v>
      </c>
      <c r="I21" s="75">
        <f t="shared" si="1"/>
        <v>2</v>
      </c>
      <c r="N21">
        <v>19</v>
      </c>
      <c r="O21">
        <f t="shared" si="3"/>
        <v>59.320000000000036</v>
      </c>
      <c r="P21">
        <f t="shared" si="4"/>
        <v>13</v>
      </c>
      <c r="T21">
        <v>19</v>
      </c>
      <c r="U21">
        <v>48.120000000000026</v>
      </c>
      <c r="V21">
        <f t="shared" si="2"/>
        <v>26</v>
      </c>
    </row>
    <row r="22" spans="1:22" x14ac:dyDescent="0.3">
      <c r="A22" s="34">
        <v>21</v>
      </c>
      <c r="B22" s="34">
        <v>671</v>
      </c>
      <c r="C22" s="34">
        <v>24</v>
      </c>
      <c r="D22" s="34">
        <v>4139</v>
      </c>
      <c r="E22" s="34">
        <v>27</v>
      </c>
      <c r="F22" s="34" t="s">
        <v>54</v>
      </c>
      <c r="G22" s="97">
        <v>2.253608328451262E-2</v>
      </c>
      <c r="H22" s="34">
        <f t="shared" si="0"/>
        <v>4</v>
      </c>
      <c r="I22" s="75">
        <f t="shared" si="1"/>
        <v>6</v>
      </c>
      <c r="N22">
        <v>20</v>
      </c>
      <c r="O22">
        <f t="shared" si="3"/>
        <v>61.560000000000038</v>
      </c>
      <c r="P22">
        <f t="shared" si="4"/>
        <v>10</v>
      </c>
      <c r="T22">
        <v>20</v>
      </c>
      <c r="U22">
        <v>50.360000000000028</v>
      </c>
      <c r="V22">
        <f t="shared" si="2"/>
        <v>17</v>
      </c>
    </row>
    <row r="23" spans="1:22" x14ac:dyDescent="0.3">
      <c r="A23" s="34">
        <v>22</v>
      </c>
      <c r="B23" s="34">
        <v>204</v>
      </c>
      <c r="C23" s="34">
        <v>12</v>
      </c>
      <c r="D23" s="34">
        <v>902</v>
      </c>
      <c r="E23" s="34">
        <v>21</v>
      </c>
      <c r="F23" s="34" t="s">
        <v>55</v>
      </c>
      <c r="G23" s="97">
        <v>2.3384559216499068E-2</v>
      </c>
      <c r="H23" s="34">
        <f t="shared" si="0"/>
        <v>1</v>
      </c>
      <c r="I23" s="75">
        <f t="shared" si="1"/>
        <v>1</v>
      </c>
      <c r="N23">
        <v>21</v>
      </c>
      <c r="O23">
        <f t="shared" si="3"/>
        <v>63.80000000000004</v>
      </c>
      <c r="P23">
        <f t="shared" si="4"/>
        <v>15</v>
      </c>
      <c r="T23">
        <v>21</v>
      </c>
      <c r="U23">
        <v>52.60000000000003</v>
      </c>
      <c r="V23">
        <f t="shared" si="2"/>
        <v>17</v>
      </c>
    </row>
    <row r="24" spans="1:22" x14ac:dyDescent="0.3">
      <c r="A24" s="34">
        <v>23</v>
      </c>
      <c r="B24" s="34">
        <v>718</v>
      </c>
      <c r="C24" s="34">
        <v>18</v>
      </c>
      <c r="D24" s="34">
        <v>1505</v>
      </c>
      <c r="E24" s="34">
        <v>32</v>
      </c>
      <c r="F24" s="34" t="s">
        <v>54</v>
      </c>
      <c r="G24" s="97">
        <v>2.4732790521710846E-2</v>
      </c>
      <c r="H24" s="34">
        <f t="shared" si="0"/>
        <v>6</v>
      </c>
      <c r="I24" s="75">
        <f t="shared" si="1"/>
        <v>10</v>
      </c>
      <c r="N24">
        <v>22</v>
      </c>
      <c r="O24">
        <f t="shared" si="3"/>
        <v>66.040000000000035</v>
      </c>
      <c r="P24">
        <f t="shared" si="4"/>
        <v>6</v>
      </c>
      <c r="T24">
        <v>22</v>
      </c>
      <c r="U24">
        <v>54.840000000000032</v>
      </c>
      <c r="V24">
        <f t="shared" si="2"/>
        <v>20</v>
      </c>
    </row>
    <row r="25" spans="1:22" x14ac:dyDescent="0.3">
      <c r="A25" s="34">
        <v>24</v>
      </c>
      <c r="B25" s="34">
        <v>472</v>
      </c>
      <c r="C25" s="34">
        <v>6</v>
      </c>
      <c r="D25" s="34">
        <v>448</v>
      </c>
      <c r="E25" s="34">
        <v>23</v>
      </c>
      <c r="F25" s="34" t="s">
        <v>57</v>
      </c>
      <c r="G25" s="97">
        <v>2.5952695858391994E-2</v>
      </c>
      <c r="H25" s="34">
        <f t="shared" si="0"/>
        <v>2</v>
      </c>
      <c r="I25" s="75">
        <f t="shared" si="1"/>
        <v>2</v>
      </c>
      <c r="N25">
        <v>23</v>
      </c>
      <c r="O25">
        <f t="shared" si="3"/>
        <v>68.28000000000003</v>
      </c>
      <c r="P25">
        <f t="shared" si="4"/>
        <v>1</v>
      </c>
      <c r="T25">
        <v>23</v>
      </c>
      <c r="U25">
        <v>57.080000000000034</v>
      </c>
      <c r="V25">
        <f t="shared" si="2"/>
        <v>21</v>
      </c>
    </row>
    <row r="26" spans="1:22" x14ac:dyDescent="0.3">
      <c r="A26" s="34">
        <v>25</v>
      </c>
      <c r="B26" s="34">
        <v>940</v>
      </c>
      <c r="C26" s="34">
        <v>24</v>
      </c>
      <c r="D26" s="34">
        <v>6842</v>
      </c>
      <c r="E26" s="34">
        <v>46</v>
      </c>
      <c r="F26" s="34" t="s">
        <v>54</v>
      </c>
      <c r="G26" s="97">
        <v>2.8563274933008698E-2</v>
      </c>
      <c r="H26" s="34">
        <f t="shared" si="0"/>
        <v>13</v>
      </c>
      <c r="I26" s="75">
        <f t="shared" si="1"/>
        <v>18</v>
      </c>
      <c r="N26">
        <v>24</v>
      </c>
      <c r="O26">
        <f t="shared" si="3"/>
        <v>70.520000000000024</v>
      </c>
      <c r="P26">
        <f t="shared" si="4"/>
        <v>0</v>
      </c>
      <c r="T26">
        <v>24</v>
      </c>
      <c r="U26">
        <v>61.560000000000038</v>
      </c>
      <c r="V26">
        <f t="shared" si="2"/>
        <v>25</v>
      </c>
    </row>
    <row r="27" spans="1:22" x14ac:dyDescent="0.3">
      <c r="A27" s="34">
        <v>26</v>
      </c>
      <c r="B27" s="34">
        <v>577</v>
      </c>
      <c r="C27" s="34">
        <v>12</v>
      </c>
      <c r="D27" s="34">
        <v>2930</v>
      </c>
      <c r="E27" s="34">
        <v>27</v>
      </c>
      <c r="F27" s="34" t="s">
        <v>56</v>
      </c>
      <c r="G27" s="97">
        <v>2.9967259729481444E-2</v>
      </c>
      <c r="H27" s="34">
        <f t="shared" si="0"/>
        <v>4</v>
      </c>
      <c r="I27" s="75">
        <f t="shared" si="1"/>
        <v>6</v>
      </c>
      <c r="N27">
        <v>25</v>
      </c>
      <c r="O27">
        <f t="shared" si="3"/>
        <v>72.760000000000019</v>
      </c>
      <c r="P27">
        <f t="shared" si="4"/>
        <v>6</v>
      </c>
      <c r="T27">
        <v>25</v>
      </c>
      <c r="U27">
        <v>66.040000000000035</v>
      </c>
      <c r="V27">
        <f t="shared" si="2"/>
        <v>13</v>
      </c>
    </row>
    <row r="28" spans="1:22" x14ac:dyDescent="0.3">
      <c r="A28" s="34">
        <v>27</v>
      </c>
      <c r="B28" s="34">
        <v>786</v>
      </c>
      <c r="C28" s="34">
        <v>18</v>
      </c>
      <c r="D28" s="34">
        <v>1941</v>
      </c>
      <c r="E28" s="34">
        <v>35</v>
      </c>
      <c r="F28" s="34" t="s">
        <v>54</v>
      </c>
      <c r="G28" s="97">
        <v>3.1161762020200379E-2</v>
      </c>
      <c r="H28" s="34">
        <f t="shared" si="0"/>
        <v>8</v>
      </c>
      <c r="I28" s="75">
        <f t="shared" si="1"/>
        <v>12</v>
      </c>
    </row>
    <row r="29" spans="1:22" x14ac:dyDescent="0.3">
      <c r="A29" s="34">
        <v>28</v>
      </c>
      <c r="B29" s="34">
        <v>274</v>
      </c>
      <c r="C29" s="34">
        <v>48</v>
      </c>
      <c r="D29" s="34">
        <v>3060</v>
      </c>
      <c r="E29" s="34">
        <v>28</v>
      </c>
      <c r="F29" s="34" t="s">
        <v>55</v>
      </c>
      <c r="G29" s="97">
        <v>3.1435210951159531E-2</v>
      </c>
      <c r="H29" s="34">
        <f t="shared" si="0"/>
        <v>5</v>
      </c>
      <c r="I29" s="75">
        <f t="shared" si="1"/>
        <v>7</v>
      </c>
      <c r="P29">
        <f>SUM(P3:P27)</f>
        <v>1000</v>
      </c>
      <c r="V29">
        <f>SUM(V3:V28)</f>
        <v>1000</v>
      </c>
    </row>
    <row r="30" spans="1:22" x14ac:dyDescent="0.3">
      <c r="A30" s="34">
        <v>29</v>
      </c>
      <c r="B30" s="34">
        <v>703</v>
      </c>
      <c r="C30" s="34">
        <v>24</v>
      </c>
      <c r="D30" s="34">
        <v>1377</v>
      </c>
      <c r="E30" s="34">
        <v>47</v>
      </c>
      <c r="F30" s="34" t="s">
        <v>56</v>
      </c>
      <c r="G30" s="97">
        <v>3.1472221237430098E-2</v>
      </c>
      <c r="H30" s="34">
        <f t="shared" si="0"/>
        <v>13</v>
      </c>
      <c r="I30" s="75">
        <f t="shared" si="1"/>
        <v>18</v>
      </c>
    </row>
    <row r="31" spans="1:22" x14ac:dyDescent="0.3">
      <c r="A31" s="34">
        <v>30</v>
      </c>
      <c r="B31" s="34">
        <v>340</v>
      </c>
      <c r="C31" s="34">
        <v>10</v>
      </c>
      <c r="D31" s="34">
        <v>1521</v>
      </c>
      <c r="E31" s="34">
        <v>31</v>
      </c>
      <c r="F31" s="34" t="s">
        <v>54</v>
      </c>
      <c r="G31" s="97">
        <v>3.4117172533239759E-2</v>
      </c>
      <c r="H31" s="34">
        <f t="shared" si="0"/>
        <v>6</v>
      </c>
      <c r="I31" s="75">
        <f t="shared" si="1"/>
        <v>10</v>
      </c>
      <c r="N31" s="328" t="s">
        <v>129</v>
      </c>
      <c r="O31" s="328"/>
      <c r="P31" s="328"/>
    </row>
    <row r="32" spans="1:22" x14ac:dyDescent="0.3">
      <c r="A32" s="34">
        <v>31</v>
      </c>
      <c r="B32" s="34">
        <v>322</v>
      </c>
      <c r="C32" s="34">
        <v>24</v>
      </c>
      <c r="D32" s="34">
        <v>1938</v>
      </c>
      <c r="E32" s="34">
        <v>32</v>
      </c>
      <c r="F32" s="34" t="s">
        <v>55</v>
      </c>
      <c r="G32" s="97">
        <v>3.5004204944710793E-2</v>
      </c>
      <c r="H32" s="34">
        <f t="shared" si="0"/>
        <v>6</v>
      </c>
      <c r="I32" s="75">
        <f t="shared" si="1"/>
        <v>10</v>
      </c>
      <c r="N32">
        <v>1</v>
      </c>
      <c r="O32">
        <v>16</v>
      </c>
      <c r="P32">
        <v>5.3063397387485556E-2</v>
      </c>
    </row>
    <row r="33" spans="1:16" x14ac:dyDescent="0.3">
      <c r="A33" s="34">
        <v>32</v>
      </c>
      <c r="B33" s="34">
        <v>960</v>
      </c>
      <c r="C33" s="34">
        <v>24</v>
      </c>
      <c r="D33" s="34">
        <v>3069</v>
      </c>
      <c r="E33" s="34">
        <v>30</v>
      </c>
      <c r="F33" s="34" t="s">
        <v>54</v>
      </c>
      <c r="G33" s="97">
        <v>3.7427594065115533E-2</v>
      </c>
      <c r="H33" s="34">
        <f t="shared" si="0"/>
        <v>5</v>
      </c>
      <c r="I33" s="75">
        <f t="shared" si="1"/>
        <v>9</v>
      </c>
      <c r="N33">
        <v>2</v>
      </c>
      <c r="O33">
        <v>25</v>
      </c>
      <c r="P33">
        <v>0.15415258597340298</v>
      </c>
    </row>
    <row r="34" spans="1:16" x14ac:dyDescent="0.3">
      <c r="A34" s="34">
        <v>33</v>
      </c>
      <c r="B34" s="34">
        <v>176</v>
      </c>
      <c r="C34" s="34">
        <v>30</v>
      </c>
      <c r="D34" s="34">
        <v>7485</v>
      </c>
      <c r="E34" s="34">
        <v>53</v>
      </c>
      <c r="F34" s="34" t="s">
        <v>57</v>
      </c>
      <c r="G34" s="97">
        <v>4.165244065635143E-2</v>
      </c>
      <c r="H34" s="34">
        <f t="shared" si="0"/>
        <v>16</v>
      </c>
      <c r="I34" s="75">
        <f t="shared" si="1"/>
        <v>21</v>
      </c>
      <c r="N34">
        <v>3</v>
      </c>
      <c r="O34">
        <v>10</v>
      </c>
      <c r="P34">
        <v>0.15691345514416744</v>
      </c>
    </row>
    <row r="35" spans="1:16" x14ac:dyDescent="0.3">
      <c r="A35" s="34">
        <v>34</v>
      </c>
      <c r="B35" s="34">
        <v>360</v>
      </c>
      <c r="C35" s="34">
        <v>30</v>
      </c>
      <c r="D35" s="34">
        <v>2406</v>
      </c>
      <c r="E35" s="34">
        <v>23</v>
      </c>
      <c r="F35" s="34" t="s">
        <v>57</v>
      </c>
      <c r="G35" s="97">
        <v>4.3550030888752089E-2</v>
      </c>
      <c r="H35" s="34">
        <f t="shared" si="0"/>
        <v>2</v>
      </c>
      <c r="I35" s="75">
        <f t="shared" si="1"/>
        <v>2</v>
      </c>
      <c r="N35">
        <v>4</v>
      </c>
      <c r="O35">
        <v>2</v>
      </c>
      <c r="P35">
        <v>0.26718446711535293</v>
      </c>
    </row>
    <row r="36" spans="1:16" x14ac:dyDescent="0.3">
      <c r="A36" s="34">
        <v>35</v>
      </c>
      <c r="B36" s="34">
        <v>944</v>
      </c>
      <c r="C36" s="34">
        <v>4</v>
      </c>
      <c r="D36" s="34">
        <v>1455</v>
      </c>
      <c r="E36" s="34">
        <v>42</v>
      </c>
      <c r="F36" s="34" t="s">
        <v>54</v>
      </c>
      <c r="G36" s="97">
        <v>4.444992682429949E-2</v>
      </c>
      <c r="H36" s="34">
        <f t="shared" si="0"/>
        <v>11</v>
      </c>
      <c r="I36" s="75">
        <f t="shared" si="1"/>
        <v>16</v>
      </c>
      <c r="N36">
        <v>5</v>
      </c>
      <c r="O36">
        <v>6</v>
      </c>
      <c r="P36">
        <v>0.278706507502124</v>
      </c>
    </row>
    <row r="37" spans="1:16" x14ac:dyDescent="0.3">
      <c r="A37" s="34">
        <v>36</v>
      </c>
      <c r="B37" s="34">
        <v>743</v>
      </c>
      <c r="C37" s="34">
        <v>21</v>
      </c>
      <c r="D37" s="34">
        <v>3160</v>
      </c>
      <c r="E37" s="34">
        <v>41</v>
      </c>
      <c r="F37" s="34" t="s">
        <v>54</v>
      </c>
      <c r="G37" s="97">
        <v>4.6081803070696203E-2</v>
      </c>
      <c r="H37" s="34">
        <f t="shared" si="0"/>
        <v>10</v>
      </c>
      <c r="I37" s="75">
        <f t="shared" si="1"/>
        <v>15</v>
      </c>
      <c r="N37">
        <v>6</v>
      </c>
      <c r="O37">
        <v>21</v>
      </c>
      <c r="P37">
        <v>0.36195491456125872</v>
      </c>
    </row>
    <row r="38" spans="1:16" x14ac:dyDescent="0.3">
      <c r="A38" s="34">
        <v>37</v>
      </c>
      <c r="B38" s="34">
        <v>412</v>
      </c>
      <c r="C38" s="34">
        <v>33</v>
      </c>
      <c r="D38" s="34">
        <v>7253</v>
      </c>
      <c r="E38" s="34">
        <v>35</v>
      </c>
      <c r="F38" s="34" t="s">
        <v>54</v>
      </c>
      <c r="G38" s="97">
        <v>4.6261918715655215E-2</v>
      </c>
      <c r="H38" s="34">
        <f t="shared" si="0"/>
        <v>8</v>
      </c>
      <c r="I38" s="75">
        <f t="shared" si="1"/>
        <v>12</v>
      </c>
      <c r="N38">
        <v>7</v>
      </c>
      <c r="O38">
        <v>13</v>
      </c>
      <c r="P38">
        <v>0.37011012591508008</v>
      </c>
    </row>
    <row r="39" spans="1:16" x14ac:dyDescent="0.3">
      <c r="A39" s="34">
        <v>38</v>
      </c>
      <c r="B39" s="34">
        <v>224</v>
      </c>
      <c r="C39" s="34">
        <v>24</v>
      </c>
      <c r="D39" s="34">
        <v>2978</v>
      </c>
      <c r="E39" s="34">
        <v>32</v>
      </c>
      <c r="F39" s="34" t="s">
        <v>54</v>
      </c>
      <c r="G39" s="97">
        <v>4.8202992574766124E-2</v>
      </c>
      <c r="H39" s="34">
        <f t="shared" si="0"/>
        <v>6</v>
      </c>
      <c r="I39" s="75">
        <f t="shared" si="1"/>
        <v>10</v>
      </c>
      <c r="N39">
        <v>8</v>
      </c>
      <c r="O39">
        <v>19</v>
      </c>
      <c r="P39">
        <v>0.37079075011591234</v>
      </c>
    </row>
    <row r="40" spans="1:16" x14ac:dyDescent="0.3">
      <c r="A40" s="34">
        <v>39</v>
      </c>
      <c r="B40" s="34">
        <v>803</v>
      </c>
      <c r="C40" s="34">
        <v>20</v>
      </c>
      <c r="D40" s="34">
        <v>4272</v>
      </c>
      <c r="E40" s="34">
        <v>24</v>
      </c>
      <c r="F40" s="34" t="s">
        <v>56</v>
      </c>
      <c r="G40" s="97">
        <v>4.8544675698483641E-2</v>
      </c>
      <c r="H40" s="34">
        <f t="shared" si="0"/>
        <v>3</v>
      </c>
      <c r="I40" s="75">
        <f t="shared" si="1"/>
        <v>3</v>
      </c>
      <c r="N40">
        <v>9</v>
      </c>
      <c r="O40">
        <v>24</v>
      </c>
      <c r="P40">
        <v>0.42760803162570293</v>
      </c>
    </row>
    <row r="41" spans="1:16" x14ac:dyDescent="0.3">
      <c r="A41" s="34">
        <v>40</v>
      </c>
      <c r="B41" s="34">
        <v>962</v>
      </c>
      <c r="C41" s="34">
        <v>21</v>
      </c>
      <c r="D41" s="34">
        <v>2353</v>
      </c>
      <c r="E41" s="34">
        <v>47</v>
      </c>
      <c r="F41" s="34" t="s">
        <v>54</v>
      </c>
      <c r="G41" s="97">
        <v>5.0034255145480877E-2</v>
      </c>
      <c r="H41" s="34">
        <f t="shared" si="0"/>
        <v>13</v>
      </c>
      <c r="I41" s="75">
        <f t="shared" si="1"/>
        <v>18</v>
      </c>
      <c r="N41">
        <v>10</v>
      </c>
      <c r="O41">
        <v>1</v>
      </c>
      <c r="P41">
        <v>0.55137726648378071</v>
      </c>
    </row>
    <row r="42" spans="1:16" x14ac:dyDescent="0.3">
      <c r="A42" s="34">
        <v>41</v>
      </c>
      <c r="B42" s="34">
        <v>654</v>
      </c>
      <c r="C42" s="34">
        <v>36</v>
      </c>
      <c r="D42" s="34">
        <v>8086</v>
      </c>
      <c r="E42" s="34">
        <v>42</v>
      </c>
      <c r="F42" s="34" t="s">
        <v>55</v>
      </c>
      <c r="G42" s="97">
        <v>5.3657912602229518E-2</v>
      </c>
      <c r="H42" s="34">
        <f t="shared" si="0"/>
        <v>11</v>
      </c>
      <c r="I42" s="75">
        <f t="shared" si="1"/>
        <v>16</v>
      </c>
      <c r="O42">
        <v>11</v>
      </c>
      <c r="P42">
        <v>0.56659007110643511</v>
      </c>
    </row>
    <row r="43" spans="1:16" x14ac:dyDescent="0.3">
      <c r="A43" s="34">
        <v>42</v>
      </c>
      <c r="B43" s="34">
        <v>559</v>
      </c>
      <c r="C43" s="34">
        <v>24</v>
      </c>
      <c r="D43" s="34">
        <v>3552</v>
      </c>
      <c r="E43" s="34">
        <v>27</v>
      </c>
      <c r="F43" s="34" t="s">
        <v>55</v>
      </c>
      <c r="G43" s="97">
        <v>5.409044857130374E-2</v>
      </c>
      <c r="H43" s="34">
        <f t="shared" si="0"/>
        <v>4</v>
      </c>
      <c r="I43" s="75">
        <f t="shared" si="1"/>
        <v>6</v>
      </c>
      <c r="O43">
        <v>22</v>
      </c>
      <c r="P43">
        <v>0.59284403604484381</v>
      </c>
    </row>
    <row r="44" spans="1:16" x14ac:dyDescent="0.3">
      <c r="A44" s="34">
        <v>43</v>
      </c>
      <c r="B44" s="34">
        <v>747</v>
      </c>
      <c r="C44" s="34">
        <v>15</v>
      </c>
      <c r="D44" s="34">
        <v>2511</v>
      </c>
      <c r="E44" s="34">
        <v>23</v>
      </c>
      <c r="F44" s="34" t="s">
        <v>56</v>
      </c>
      <c r="G44" s="97">
        <v>5.4695438478967739E-2</v>
      </c>
      <c r="H44" s="34">
        <f t="shared" si="0"/>
        <v>2</v>
      </c>
      <c r="I44" s="75">
        <f t="shared" si="1"/>
        <v>2</v>
      </c>
      <c r="O44">
        <v>7</v>
      </c>
      <c r="P44">
        <v>0.61146790384583827</v>
      </c>
    </row>
    <row r="45" spans="1:16" x14ac:dyDescent="0.3">
      <c r="A45" s="34">
        <v>44</v>
      </c>
      <c r="B45" s="34">
        <v>789</v>
      </c>
      <c r="C45" s="34">
        <v>48</v>
      </c>
      <c r="D45" s="34">
        <v>6224</v>
      </c>
      <c r="E45" s="34">
        <v>50</v>
      </c>
      <c r="F45" s="34" t="s">
        <v>55</v>
      </c>
      <c r="G45" s="97">
        <v>5.5761385039655997E-2</v>
      </c>
      <c r="H45" s="34">
        <f t="shared" si="0"/>
        <v>14</v>
      </c>
      <c r="I45" s="75">
        <f t="shared" si="1"/>
        <v>19</v>
      </c>
      <c r="O45">
        <v>4</v>
      </c>
      <c r="P45">
        <v>0.65263707416591976</v>
      </c>
    </row>
    <row r="46" spans="1:16" x14ac:dyDescent="0.3">
      <c r="A46" s="34">
        <v>45</v>
      </c>
      <c r="B46" s="34">
        <v>793</v>
      </c>
      <c r="C46" s="34">
        <v>6</v>
      </c>
      <c r="D46" s="34">
        <v>1221</v>
      </c>
      <c r="E46" s="34">
        <v>27</v>
      </c>
      <c r="F46" s="34" t="s">
        <v>54</v>
      </c>
      <c r="G46" s="97">
        <v>5.6366788585405558E-2</v>
      </c>
      <c r="H46" s="34">
        <f t="shared" si="0"/>
        <v>4</v>
      </c>
      <c r="I46" s="75">
        <f t="shared" si="1"/>
        <v>6</v>
      </c>
      <c r="O46">
        <v>14</v>
      </c>
      <c r="P46">
        <v>0.68784587306949607</v>
      </c>
    </row>
    <row r="47" spans="1:16" x14ac:dyDescent="0.3">
      <c r="A47" s="34">
        <v>46</v>
      </c>
      <c r="B47" s="34">
        <v>846</v>
      </c>
      <c r="C47" s="34">
        <v>21</v>
      </c>
      <c r="D47" s="34">
        <v>3976</v>
      </c>
      <c r="E47" s="34">
        <v>35</v>
      </c>
      <c r="F47" s="34" t="s">
        <v>54</v>
      </c>
      <c r="G47" s="97">
        <v>5.7558175376475118E-2</v>
      </c>
      <c r="H47" s="34">
        <f t="shared" si="0"/>
        <v>8</v>
      </c>
      <c r="I47" s="75">
        <f t="shared" si="1"/>
        <v>12</v>
      </c>
      <c r="O47">
        <v>15</v>
      </c>
      <c r="P47">
        <v>0.71054927644762877</v>
      </c>
    </row>
    <row r="48" spans="1:16" x14ac:dyDescent="0.3">
      <c r="A48" s="34">
        <v>47</v>
      </c>
      <c r="B48" s="34">
        <v>749</v>
      </c>
      <c r="C48" s="34">
        <v>21</v>
      </c>
      <c r="D48" s="34">
        <v>5248</v>
      </c>
      <c r="E48" s="34">
        <v>26</v>
      </c>
      <c r="F48" s="34" t="s">
        <v>54</v>
      </c>
      <c r="G48" s="97">
        <v>5.8667691366267483E-2</v>
      </c>
      <c r="H48" s="34">
        <f t="shared" si="0"/>
        <v>4</v>
      </c>
      <c r="I48" s="75">
        <f t="shared" si="1"/>
        <v>5</v>
      </c>
      <c r="O48">
        <v>12</v>
      </c>
      <c r="P48">
        <v>0.7190191640717728</v>
      </c>
    </row>
    <row r="49" spans="1:16" x14ac:dyDescent="0.3">
      <c r="A49" s="34">
        <v>48</v>
      </c>
      <c r="B49" s="34">
        <v>315</v>
      </c>
      <c r="C49" s="34">
        <v>4</v>
      </c>
      <c r="D49" s="34">
        <v>1494</v>
      </c>
      <c r="E49" s="34">
        <v>29</v>
      </c>
      <c r="F49" s="34" t="s">
        <v>54</v>
      </c>
      <c r="G49" s="97">
        <v>5.8844637421808788E-2</v>
      </c>
      <c r="H49" s="34">
        <f t="shared" si="0"/>
        <v>5</v>
      </c>
      <c r="I49" s="75">
        <f t="shared" si="1"/>
        <v>8</v>
      </c>
      <c r="O49">
        <v>8</v>
      </c>
      <c r="P49">
        <v>0.73442564472931193</v>
      </c>
    </row>
    <row r="50" spans="1:16" x14ac:dyDescent="0.3">
      <c r="A50" s="34">
        <v>49</v>
      </c>
      <c r="B50" s="34">
        <v>650</v>
      </c>
      <c r="C50" s="34">
        <v>12</v>
      </c>
      <c r="D50" s="34">
        <v>684</v>
      </c>
      <c r="E50" s="34">
        <v>40</v>
      </c>
      <c r="F50" s="34" t="s">
        <v>55</v>
      </c>
      <c r="G50" s="97">
        <v>5.8943064533900524E-2</v>
      </c>
      <c r="H50" s="34">
        <f t="shared" si="0"/>
        <v>10</v>
      </c>
      <c r="I50" s="75">
        <f t="shared" si="1"/>
        <v>15</v>
      </c>
      <c r="O50">
        <v>17</v>
      </c>
      <c r="P50">
        <v>0.8003700436685498</v>
      </c>
    </row>
    <row r="51" spans="1:16" x14ac:dyDescent="0.3">
      <c r="A51" s="34">
        <v>50</v>
      </c>
      <c r="B51" s="34">
        <v>371</v>
      </c>
      <c r="C51" s="34">
        <v>36</v>
      </c>
      <c r="D51" s="34">
        <v>3079</v>
      </c>
      <c r="E51" s="34">
        <v>36</v>
      </c>
      <c r="F51" s="34" t="s">
        <v>54</v>
      </c>
      <c r="G51" s="97">
        <v>5.9338750465657397E-2</v>
      </c>
      <c r="H51" s="34">
        <f t="shared" si="0"/>
        <v>8</v>
      </c>
      <c r="I51" s="75">
        <f t="shared" si="1"/>
        <v>13</v>
      </c>
      <c r="O51">
        <v>23</v>
      </c>
      <c r="P51">
        <v>0.80125242110776407</v>
      </c>
    </row>
    <row r="52" spans="1:16" x14ac:dyDescent="0.3">
      <c r="A52" s="34">
        <v>51</v>
      </c>
      <c r="B52" s="34">
        <v>277</v>
      </c>
      <c r="C52" s="34">
        <v>18</v>
      </c>
      <c r="D52" s="34">
        <v>2404</v>
      </c>
      <c r="E52" s="34">
        <v>26</v>
      </c>
      <c r="F52" s="34" t="s">
        <v>56</v>
      </c>
      <c r="G52" s="97">
        <v>6.0009862307836781E-2</v>
      </c>
      <c r="H52" s="34">
        <f t="shared" si="0"/>
        <v>4</v>
      </c>
      <c r="I52" s="75">
        <f t="shared" si="1"/>
        <v>5</v>
      </c>
      <c r="O52">
        <v>18</v>
      </c>
      <c r="P52">
        <v>0.81153043176197959</v>
      </c>
    </row>
    <row r="53" spans="1:16" x14ac:dyDescent="0.3">
      <c r="A53" s="34">
        <v>52</v>
      </c>
      <c r="B53" s="34">
        <v>275</v>
      </c>
      <c r="C53" s="34">
        <v>30</v>
      </c>
      <c r="D53" s="34">
        <v>11998</v>
      </c>
      <c r="E53" s="34">
        <v>34</v>
      </c>
      <c r="F53" s="34" t="s">
        <v>55</v>
      </c>
      <c r="G53" s="97">
        <v>6.0175866174003168E-2</v>
      </c>
      <c r="H53" s="34">
        <f t="shared" si="0"/>
        <v>7</v>
      </c>
      <c r="I53" s="75">
        <f t="shared" si="1"/>
        <v>11</v>
      </c>
      <c r="O53">
        <v>5</v>
      </c>
      <c r="P53">
        <v>0.81547092778726571</v>
      </c>
    </row>
    <row r="54" spans="1:16" x14ac:dyDescent="0.3">
      <c r="A54" s="34">
        <v>53</v>
      </c>
      <c r="B54" s="34">
        <v>898</v>
      </c>
      <c r="C54" s="34">
        <v>12</v>
      </c>
      <c r="D54" s="34">
        <v>1592</v>
      </c>
      <c r="E54" s="34">
        <v>35</v>
      </c>
      <c r="F54" s="34" t="s">
        <v>56</v>
      </c>
      <c r="G54" s="97">
        <v>6.0515900015077673E-2</v>
      </c>
      <c r="H54" s="34">
        <f t="shared" si="0"/>
        <v>8</v>
      </c>
      <c r="I54" s="75">
        <f t="shared" si="1"/>
        <v>12</v>
      </c>
      <c r="O54">
        <v>3</v>
      </c>
      <c r="P54">
        <v>0.81655297476496358</v>
      </c>
    </row>
    <row r="55" spans="1:16" x14ac:dyDescent="0.3">
      <c r="A55" s="34">
        <v>54</v>
      </c>
      <c r="B55" s="34">
        <v>934</v>
      </c>
      <c r="C55" s="34">
        <v>12</v>
      </c>
      <c r="D55" s="34">
        <v>522</v>
      </c>
      <c r="E55" s="34">
        <v>42</v>
      </c>
      <c r="F55" s="34" t="s">
        <v>54</v>
      </c>
      <c r="G55" s="97">
        <v>6.0678576663444672E-2</v>
      </c>
      <c r="H55" s="34">
        <f t="shared" si="0"/>
        <v>11</v>
      </c>
      <c r="I55" s="75">
        <f t="shared" si="1"/>
        <v>16</v>
      </c>
      <c r="O55">
        <v>9</v>
      </c>
      <c r="P55">
        <v>0.82181790339569483</v>
      </c>
    </row>
    <row r="56" spans="1:16" x14ac:dyDescent="0.3">
      <c r="A56" s="34">
        <v>55</v>
      </c>
      <c r="B56" s="34">
        <v>762</v>
      </c>
      <c r="C56" s="34">
        <v>18</v>
      </c>
      <c r="D56" s="34">
        <v>2124</v>
      </c>
      <c r="E56" s="34">
        <v>24</v>
      </c>
      <c r="F56" s="34" t="s">
        <v>57</v>
      </c>
      <c r="G56" s="97">
        <v>6.0773678002462583E-2</v>
      </c>
      <c r="H56" s="34">
        <f t="shared" si="0"/>
        <v>3</v>
      </c>
      <c r="I56" s="75">
        <f t="shared" si="1"/>
        <v>3</v>
      </c>
      <c r="O56">
        <v>20</v>
      </c>
      <c r="P56">
        <v>0.87209003723977785</v>
      </c>
    </row>
    <row r="57" spans="1:16" x14ac:dyDescent="0.3">
      <c r="A57" s="34">
        <v>56</v>
      </c>
      <c r="B57" s="34">
        <v>278</v>
      </c>
      <c r="C57" s="34">
        <v>12</v>
      </c>
      <c r="D57" s="34">
        <v>1262</v>
      </c>
      <c r="E57" s="34">
        <v>49</v>
      </c>
      <c r="F57" s="34" t="s">
        <v>54</v>
      </c>
      <c r="G57" s="97">
        <v>6.2136001460980528E-2</v>
      </c>
      <c r="H57" s="34">
        <f t="shared" si="0"/>
        <v>14</v>
      </c>
      <c r="I57" s="75">
        <f t="shared" si="1"/>
        <v>19</v>
      </c>
    </row>
    <row r="58" spans="1:16" x14ac:dyDescent="0.3">
      <c r="A58" s="34">
        <v>57</v>
      </c>
      <c r="B58" s="34">
        <v>27</v>
      </c>
      <c r="C58" s="34">
        <v>6</v>
      </c>
      <c r="D58" s="34">
        <v>426</v>
      </c>
      <c r="E58" s="34">
        <v>39</v>
      </c>
      <c r="F58" s="34" t="s">
        <v>54</v>
      </c>
      <c r="G58" s="97">
        <v>6.2460566957396768E-2</v>
      </c>
      <c r="H58" s="34">
        <f t="shared" si="0"/>
        <v>9</v>
      </c>
      <c r="I58" s="75">
        <f t="shared" si="1"/>
        <v>14</v>
      </c>
    </row>
    <row r="59" spans="1:16" x14ac:dyDescent="0.3">
      <c r="A59" s="34">
        <v>58</v>
      </c>
      <c r="B59" s="34">
        <v>327</v>
      </c>
      <c r="C59" s="34">
        <v>12</v>
      </c>
      <c r="D59" s="34">
        <v>5801</v>
      </c>
      <c r="E59" s="34">
        <v>49</v>
      </c>
      <c r="F59" s="34" t="s">
        <v>54</v>
      </c>
      <c r="G59" s="97">
        <v>6.2908328780868605E-2</v>
      </c>
      <c r="H59" s="34">
        <f t="shared" si="0"/>
        <v>14</v>
      </c>
      <c r="I59" s="75">
        <f t="shared" si="1"/>
        <v>19</v>
      </c>
    </row>
    <row r="60" spans="1:16" x14ac:dyDescent="0.3">
      <c r="A60" s="34">
        <v>59</v>
      </c>
      <c r="B60" s="34">
        <v>961</v>
      </c>
      <c r="C60" s="34">
        <v>6</v>
      </c>
      <c r="D60" s="34">
        <v>1740</v>
      </c>
      <c r="E60" s="34">
        <v>30</v>
      </c>
      <c r="F60" s="34" t="s">
        <v>54</v>
      </c>
      <c r="G60" s="97">
        <v>6.34540205948253E-2</v>
      </c>
      <c r="H60" s="34">
        <f t="shared" si="0"/>
        <v>5</v>
      </c>
      <c r="I60" s="75">
        <f t="shared" si="1"/>
        <v>9</v>
      </c>
    </row>
    <row r="61" spans="1:16" x14ac:dyDescent="0.3">
      <c r="A61" s="34">
        <v>60</v>
      </c>
      <c r="B61" s="34">
        <v>118</v>
      </c>
      <c r="C61" s="34">
        <v>10</v>
      </c>
      <c r="D61" s="34">
        <v>2132</v>
      </c>
      <c r="E61" s="34">
        <v>27</v>
      </c>
      <c r="F61" s="34" t="s">
        <v>56</v>
      </c>
      <c r="G61" s="97">
        <v>6.3770004567457295E-2</v>
      </c>
      <c r="H61" s="34">
        <f t="shared" si="0"/>
        <v>4</v>
      </c>
      <c r="I61" s="75">
        <f t="shared" si="1"/>
        <v>6</v>
      </c>
    </row>
    <row r="62" spans="1:16" x14ac:dyDescent="0.3">
      <c r="A62" s="34">
        <v>61</v>
      </c>
      <c r="B62" s="34">
        <v>402</v>
      </c>
      <c r="C62" s="34">
        <v>18</v>
      </c>
      <c r="D62" s="34">
        <v>1887</v>
      </c>
      <c r="E62" s="34">
        <v>28</v>
      </c>
      <c r="F62" s="34" t="s">
        <v>54</v>
      </c>
      <c r="G62" s="97">
        <v>6.3858870073089546E-2</v>
      </c>
      <c r="H62" s="34">
        <f t="shared" si="0"/>
        <v>5</v>
      </c>
      <c r="I62" s="75">
        <f t="shared" si="1"/>
        <v>7</v>
      </c>
    </row>
    <row r="63" spans="1:16" x14ac:dyDescent="0.3">
      <c r="A63" s="34">
        <v>62</v>
      </c>
      <c r="B63" s="34">
        <v>391</v>
      </c>
      <c r="C63" s="34">
        <v>18</v>
      </c>
      <c r="D63" s="34">
        <v>1820</v>
      </c>
      <c r="E63" s="34">
        <v>30</v>
      </c>
      <c r="F63" s="34" t="s">
        <v>54</v>
      </c>
      <c r="G63" s="97">
        <v>6.4908087306999152E-2</v>
      </c>
      <c r="H63" s="34">
        <f t="shared" si="0"/>
        <v>5</v>
      </c>
      <c r="I63" s="75">
        <f t="shared" si="1"/>
        <v>9</v>
      </c>
    </row>
    <row r="64" spans="1:16" x14ac:dyDescent="0.3">
      <c r="A64" s="34">
        <v>63</v>
      </c>
      <c r="B64" s="34">
        <v>95</v>
      </c>
      <c r="C64" s="34">
        <v>12</v>
      </c>
      <c r="D64" s="34">
        <v>1318</v>
      </c>
      <c r="E64" s="34">
        <v>54</v>
      </c>
      <c r="F64" s="34" t="s">
        <v>54</v>
      </c>
      <c r="G64" s="97">
        <v>6.6693446062777051E-2</v>
      </c>
      <c r="H64" s="34">
        <f t="shared" si="0"/>
        <v>16</v>
      </c>
      <c r="I64" s="75">
        <f t="shared" si="1"/>
        <v>21</v>
      </c>
    </row>
    <row r="65" spans="1:9" x14ac:dyDescent="0.3">
      <c r="A65" s="34">
        <v>64</v>
      </c>
      <c r="B65" s="34">
        <v>464</v>
      </c>
      <c r="C65" s="34">
        <v>12</v>
      </c>
      <c r="D65" s="34">
        <v>754</v>
      </c>
      <c r="E65" s="34">
        <v>38</v>
      </c>
      <c r="F65" s="34" t="s">
        <v>54</v>
      </c>
      <c r="G65" s="97">
        <v>6.879925098187889E-2</v>
      </c>
      <c r="H65" s="34">
        <f t="shared" si="0"/>
        <v>9</v>
      </c>
      <c r="I65" s="75">
        <f t="shared" si="1"/>
        <v>14</v>
      </c>
    </row>
    <row r="66" spans="1:9" x14ac:dyDescent="0.3">
      <c r="A66" s="34">
        <v>65</v>
      </c>
      <c r="B66" s="34">
        <v>856</v>
      </c>
      <c r="C66" s="34">
        <v>24</v>
      </c>
      <c r="D66" s="34">
        <v>1474</v>
      </c>
      <c r="E66" s="34">
        <v>33</v>
      </c>
      <c r="F66" s="34" t="s">
        <v>54</v>
      </c>
      <c r="G66" s="97">
        <v>6.973786806878679E-2</v>
      </c>
      <c r="H66" s="34">
        <f t="shared" ref="H66:H129" si="5">MATCH(E66,$O$3:$O$27,1)</f>
        <v>7</v>
      </c>
      <c r="I66" s="75">
        <f t="shared" ref="I66:I129" si="6">MATCH(E66,$U$3:$U$28,1)</f>
        <v>11</v>
      </c>
    </row>
    <row r="67" spans="1:9" x14ac:dyDescent="0.3">
      <c r="A67" s="34">
        <v>66</v>
      </c>
      <c r="B67" s="34">
        <v>343</v>
      </c>
      <c r="C67" s="34">
        <v>18</v>
      </c>
      <c r="D67" s="34">
        <v>3213</v>
      </c>
      <c r="E67" s="34">
        <v>25</v>
      </c>
      <c r="F67" s="34" t="s">
        <v>54</v>
      </c>
      <c r="G67" s="97">
        <v>7.0052601275883641E-2</v>
      </c>
      <c r="H67" s="34">
        <f t="shared" si="5"/>
        <v>3</v>
      </c>
      <c r="I67" s="75">
        <f t="shared" si="6"/>
        <v>4</v>
      </c>
    </row>
    <row r="68" spans="1:9" x14ac:dyDescent="0.3">
      <c r="A68" s="34">
        <v>67</v>
      </c>
      <c r="B68" s="34">
        <v>364</v>
      </c>
      <c r="C68" s="34">
        <v>6</v>
      </c>
      <c r="D68" s="34">
        <v>1766</v>
      </c>
      <c r="E68" s="34">
        <v>21</v>
      </c>
      <c r="F68" s="34" t="s">
        <v>54</v>
      </c>
      <c r="G68" s="97">
        <v>7.0882039440061217E-2</v>
      </c>
      <c r="H68" s="34">
        <f t="shared" si="5"/>
        <v>1</v>
      </c>
      <c r="I68" s="75">
        <f t="shared" si="6"/>
        <v>1</v>
      </c>
    </row>
    <row r="69" spans="1:9" x14ac:dyDescent="0.3">
      <c r="A69" s="34">
        <v>68</v>
      </c>
      <c r="B69" s="34">
        <v>463</v>
      </c>
      <c r="C69" s="34">
        <v>12</v>
      </c>
      <c r="D69" s="34">
        <v>3017</v>
      </c>
      <c r="E69" s="34">
        <v>34</v>
      </c>
      <c r="F69" s="34" t="s">
        <v>56</v>
      </c>
      <c r="G69" s="97">
        <v>7.089432258042172E-2</v>
      </c>
      <c r="H69" s="34">
        <f t="shared" si="5"/>
        <v>7</v>
      </c>
      <c r="I69" s="75">
        <f t="shared" si="6"/>
        <v>11</v>
      </c>
    </row>
    <row r="70" spans="1:9" x14ac:dyDescent="0.3">
      <c r="A70" s="34">
        <v>69</v>
      </c>
      <c r="B70" s="34">
        <v>790</v>
      </c>
      <c r="C70" s="34">
        <v>40</v>
      </c>
      <c r="D70" s="34">
        <v>5998</v>
      </c>
      <c r="E70" s="34">
        <v>27</v>
      </c>
      <c r="F70" s="34" t="s">
        <v>55</v>
      </c>
      <c r="G70" s="97">
        <v>7.0945562238505344E-2</v>
      </c>
      <c r="H70" s="34">
        <f t="shared" si="5"/>
        <v>4</v>
      </c>
      <c r="I70" s="75">
        <f t="shared" si="6"/>
        <v>6</v>
      </c>
    </row>
    <row r="71" spans="1:9" x14ac:dyDescent="0.3">
      <c r="A71" s="34">
        <v>70</v>
      </c>
      <c r="B71" s="34">
        <v>81</v>
      </c>
      <c r="C71" s="34">
        <v>24</v>
      </c>
      <c r="D71" s="34">
        <v>5943</v>
      </c>
      <c r="E71" s="34">
        <v>44</v>
      </c>
      <c r="F71" s="34" t="s">
        <v>57</v>
      </c>
      <c r="G71" s="97">
        <v>7.1650830423418799E-2</v>
      </c>
      <c r="H71" s="34">
        <f t="shared" si="5"/>
        <v>12</v>
      </c>
      <c r="I71" s="75">
        <f t="shared" si="6"/>
        <v>17</v>
      </c>
    </row>
    <row r="72" spans="1:9" x14ac:dyDescent="0.3">
      <c r="A72" s="34">
        <v>71</v>
      </c>
      <c r="B72" s="34">
        <v>735</v>
      </c>
      <c r="C72" s="34">
        <v>4</v>
      </c>
      <c r="D72" s="34">
        <v>3380</v>
      </c>
      <c r="E72" s="34">
        <v>37</v>
      </c>
      <c r="F72" s="34" t="s">
        <v>56</v>
      </c>
      <c r="G72" s="97">
        <v>7.2855240053243397E-2</v>
      </c>
      <c r="H72" s="34">
        <f t="shared" si="5"/>
        <v>9</v>
      </c>
      <c r="I72" s="75">
        <f t="shared" si="6"/>
        <v>14</v>
      </c>
    </row>
    <row r="73" spans="1:9" x14ac:dyDescent="0.3">
      <c r="A73" s="34">
        <v>72</v>
      </c>
      <c r="B73" s="34">
        <v>857</v>
      </c>
      <c r="C73" s="34">
        <v>10</v>
      </c>
      <c r="D73" s="34">
        <v>894</v>
      </c>
      <c r="E73" s="34">
        <v>40</v>
      </c>
      <c r="F73" s="34" t="s">
        <v>56</v>
      </c>
      <c r="G73" s="97">
        <v>7.5201292844618628E-2</v>
      </c>
      <c r="H73" s="34">
        <f t="shared" si="5"/>
        <v>10</v>
      </c>
      <c r="I73" s="75">
        <f t="shared" si="6"/>
        <v>15</v>
      </c>
    </row>
    <row r="74" spans="1:9" x14ac:dyDescent="0.3">
      <c r="A74" s="34">
        <v>73</v>
      </c>
      <c r="B74" s="34">
        <v>855</v>
      </c>
      <c r="C74" s="34">
        <v>36</v>
      </c>
      <c r="D74" s="34">
        <v>10875</v>
      </c>
      <c r="E74" s="34">
        <v>45</v>
      </c>
      <c r="F74" s="34" t="s">
        <v>54</v>
      </c>
      <c r="G74" s="97">
        <v>7.6727094282787678E-2</v>
      </c>
      <c r="H74" s="34">
        <f t="shared" si="5"/>
        <v>12</v>
      </c>
      <c r="I74" s="75">
        <f t="shared" si="6"/>
        <v>17</v>
      </c>
    </row>
    <row r="75" spans="1:9" x14ac:dyDescent="0.3">
      <c r="A75" s="34">
        <v>74</v>
      </c>
      <c r="B75" s="34">
        <v>609</v>
      </c>
      <c r="C75" s="34">
        <v>18</v>
      </c>
      <c r="D75" s="34">
        <v>2051</v>
      </c>
      <c r="E75" s="34">
        <v>33</v>
      </c>
      <c r="F75" s="34" t="s">
        <v>54</v>
      </c>
      <c r="G75" s="97">
        <v>7.7963106873133681E-2</v>
      </c>
      <c r="H75" s="34">
        <f t="shared" si="5"/>
        <v>7</v>
      </c>
      <c r="I75" s="75">
        <f t="shared" si="6"/>
        <v>11</v>
      </c>
    </row>
    <row r="76" spans="1:9" x14ac:dyDescent="0.3">
      <c r="A76" s="34">
        <v>75</v>
      </c>
      <c r="B76" s="34">
        <v>435</v>
      </c>
      <c r="C76" s="34">
        <v>9</v>
      </c>
      <c r="D76" s="34">
        <v>2136</v>
      </c>
      <c r="E76" s="34">
        <v>25</v>
      </c>
      <c r="F76" s="34" t="s">
        <v>54</v>
      </c>
      <c r="G76" s="97">
        <v>7.8727052783577944E-2</v>
      </c>
      <c r="H76" s="34">
        <f t="shared" si="5"/>
        <v>3</v>
      </c>
      <c r="I76" s="75">
        <f t="shared" si="6"/>
        <v>4</v>
      </c>
    </row>
    <row r="77" spans="1:9" x14ac:dyDescent="0.3">
      <c r="A77" s="34">
        <v>76</v>
      </c>
      <c r="B77" s="34">
        <v>742</v>
      </c>
      <c r="C77" s="34">
        <v>10</v>
      </c>
      <c r="D77" s="34">
        <v>1048</v>
      </c>
      <c r="E77" s="34">
        <v>23</v>
      </c>
      <c r="F77" s="34" t="s">
        <v>54</v>
      </c>
      <c r="G77" s="97">
        <v>7.888636583887465E-2</v>
      </c>
      <c r="H77" s="34">
        <f t="shared" si="5"/>
        <v>2</v>
      </c>
      <c r="I77" s="75">
        <f t="shared" si="6"/>
        <v>2</v>
      </c>
    </row>
    <row r="78" spans="1:9" x14ac:dyDescent="0.3">
      <c r="A78" s="34">
        <v>77</v>
      </c>
      <c r="B78" s="34">
        <v>980</v>
      </c>
      <c r="C78" s="34">
        <v>15</v>
      </c>
      <c r="D78" s="34">
        <v>1264</v>
      </c>
      <c r="E78" s="34">
        <v>25</v>
      </c>
      <c r="F78" s="34" t="s">
        <v>55</v>
      </c>
      <c r="G78" s="97">
        <v>7.8919111321996804E-2</v>
      </c>
      <c r="H78" s="34">
        <f t="shared" si="5"/>
        <v>3</v>
      </c>
      <c r="I78" s="75">
        <f t="shared" si="6"/>
        <v>4</v>
      </c>
    </row>
    <row r="79" spans="1:9" x14ac:dyDescent="0.3">
      <c r="A79" s="34">
        <v>78</v>
      </c>
      <c r="B79" s="34">
        <v>139</v>
      </c>
      <c r="C79" s="34">
        <v>15</v>
      </c>
      <c r="D79" s="34">
        <v>2728</v>
      </c>
      <c r="E79" s="34">
        <v>35</v>
      </c>
      <c r="F79" s="34" t="s">
        <v>54</v>
      </c>
      <c r="G79" s="97">
        <v>7.9149771764958521E-2</v>
      </c>
      <c r="H79" s="34">
        <f t="shared" si="5"/>
        <v>8</v>
      </c>
      <c r="I79" s="75">
        <f t="shared" si="6"/>
        <v>12</v>
      </c>
    </row>
    <row r="80" spans="1:9" x14ac:dyDescent="0.3">
      <c r="A80" s="34">
        <v>79</v>
      </c>
      <c r="B80" s="34">
        <v>2</v>
      </c>
      <c r="C80" s="34">
        <v>48</v>
      </c>
      <c r="D80" s="34">
        <v>5951</v>
      </c>
      <c r="E80" s="34">
        <v>22</v>
      </c>
      <c r="F80" s="34" t="s">
        <v>57</v>
      </c>
      <c r="G80" s="97">
        <v>7.9592169655828271E-2</v>
      </c>
      <c r="H80" s="34">
        <f t="shared" si="5"/>
        <v>2</v>
      </c>
      <c r="I80" s="75">
        <f t="shared" si="6"/>
        <v>2</v>
      </c>
    </row>
    <row r="81" spans="1:9" x14ac:dyDescent="0.3">
      <c r="A81" s="34">
        <v>80</v>
      </c>
      <c r="B81" s="34">
        <v>384</v>
      </c>
      <c r="C81" s="34">
        <v>12</v>
      </c>
      <c r="D81" s="34">
        <v>1330</v>
      </c>
      <c r="E81" s="34">
        <v>26</v>
      </c>
      <c r="F81" s="34" t="s">
        <v>54</v>
      </c>
      <c r="G81" s="97">
        <v>7.9671334092736523E-2</v>
      </c>
      <c r="H81" s="34">
        <f t="shared" si="5"/>
        <v>4</v>
      </c>
      <c r="I81" s="75">
        <f t="shared" si="6"/>
        <v>5</v>
      </c>
    </row>
    <row r="82" spans="1:9" x14ac:dyDescent="0.3">
      <c r="A82" s="34">
        <v>81</v>
      </c>
      <c r="B82" s="34">
        <v>741</v>
      </c>
      <c r="C82" s="34">
        <v>24</v>
      </c>
      <c r="D82" s="34">
        <v>2325</v>
      </c>
      <c r="E82" s="34">
        <v>32</v>
      </c>
      <c r="F82" s="34" t="s">
        <v>54</v>
      </c>
      <c r="G82" s="97">
        <v>8.0381387734396514E-2</v>
      </c>
      <c r="H82" s="34">
        <f t="shared" si="5"/>
        <v>6</v>
      </c>
      <c r="I82" s="75">
        <f t="shared" si="6"/>
        <v>10</v>
      </c>
    </row>
    <row r="83" spans="1:9" x14ac:dyDescent="0.3">
      <c r="A83" s="34">
        <v>82</v>
      </c>
      <c r="B83" s="34">
        <v>451</v>
      </c>
      <c r="C83" s="34">
        <v>36</v>
      </c>
      <c r="D83" s="34">
        <v>11054</v>
      </c>
      <c r="E83" s="34">
        <v>30</v>
      </c>
      <c r="F83" s="34" t="s">
        <v>54</v>
      </c>
      <c r="G83" s="97">
        <v>8.100986426550405E-2</v>
      </c>
      <c r="H83" s="34">
        <f t="shared" si="5"/>
        <v>5</v>
      </c>
      <c r="I83" s="75">
        <f t="shared" si="6"/>
        <v>9</v>
      </c>
    </row>
    <row r="84" spans="1:9" x14ac:dyDescent="0.3">
      <c r="A84" s="34">
        <v>83</v>
      </c>
      <c r="B84" s="34">
        <v>681</v>
      </c>
      <c r="C84" s="34">
        <v>6</v>
      </c>
      <c r="D84" s="34">
        <v>1538</v>
      </c>
      <c r="E84" s="34">
        <v>56</v>
      </c>
      <c r="F84" s="34" t="s">
        <v>56</v>
      </c>
      <c r="G84" s="97">
        <v>8.1802434962283566E-2</v>
      </c>
      <c r="H84" s="34">
        <f t="shared" si="5"/>
        <v>17</v>
      </c>
      <c r="I84" s="75">
        <f t="shared" si="6"/>
        <v>22</v>
      </c>
    </row>
    <row r="85" spans="1:9" x14ac:dyDescent="0.3">
      <c r="A85" s="34">
        <v>84</v>
      </c>
      <c r="B85" s="34">
        <v>13</v>
      </c>
      <c r="C85" s="34">
        <v>12</v>
      </c>
      <c r="D85" s="34">
        <v>1567</v>
      </c>
      <c r="E85" s="34">
        <v>22</v>
      </c>
      <c r="F85" s="34" t="s">
        <v>56</v>
      </c>
      <c r="G85" s="97">
        <v>8.1808219779813673E-2</v>
      </c>
      <c r="H85" s="34">
        <f t="shared" si="5"/>
        <v>2</v>
      </c>
      <c r="I85" s="75">
        <f t="shared" si="6"/>
        <v>2</v>
      </c>
    </row>
    <row r="86" spans="1:9" x14ac:dyDescent="0.3">
      <c r="A86" s="34">
        <v>85</v>
      </c>
      <c r="B86" s="34">
        <v>221</v>
      </c>
      <c r="C86" s="34">
        <v>12</v>
      </c>
      <c r="D86" s="34">
        <v>625</v>
      </c>
      <c r="E86" s="34">
        <v>26</v>
      </c>
      <c r="F86" s="34" t="s">
        <v>54</v>
      </c>
      <c r="G86" s="97">
        <v>8.3419139218853022E-2</v>
      </c>
      <c r="H86" s="34">
        <f t="shared" si="5"/>
        <v>4</v>
      </c>
      <c r="I86" s="75">
        <f t="shared" si="6"/>
        <v>5</v>
      </c>
    </row>
    <row r="87" spans="1:9" x14ac:dyDescent="0.3">
      <c r="A87" s="34">
        <v>86</v>
      </c>
      <c r="B87" s="34">
        <v>946</v>
      </c>
      <c r="C87" s="34">
        <v>48</v>
      </c>
      <c r="D87" s="34">
        <v>8358</v>
      </c>
      <c r="E87" s="34">
        <v>30</v>
      </c>
      <c r="F87" s="34" t="s">
        <v>56</v>
      </c>
      <c r="G87" s="97">
        <v>8.4740267822456139E-2</v>
      </c>
      <c r="H87" s="34">
        <f t="shared" si="5"/>
        <v>5</v>
      </c>
      <c r="I87" s="75">
        <f t="shared" si="6"/>
        <v>9</v>
      </c>
    </row>
    <row r="88" spans="1:9" x14ac:dyDescent="0.3">
      <c r="A88" s="34">
        <v>87</v>
      </c>
      <c r="B88" s="34">
        <v>206</v>
      </c>
      <c r="C88" s="34">
        <v>30</v>
      </c>
      <c r="D88" s="34">
        <v>10623</v>
      </c>
      <c r="E88" s="34">
        <v>38</v>
      </c>
      <c r="F88" s="34" t="s">
        <v>54</v>
      </c>
      <c r="G88" s="97">
        <v>8.5907386451505863E-2</v>
      </c>
      <c r="H88" s="34">
        <f t="shared" si="5"/>
        <v>9</v>
      </c>
      <c r="I88" s="75">
        <f t="shared" si="6"/>
        <v>14</v>
      </c>
    </row>
    <row r="89" spans="1:9" x14ac:dyDescent="0.3">
      <c r="A89" s="34">
        <v>88</v>
      </c>
      <c r="B89" s="34">
        <v>684</v>
      </c>
      <c r="C89" s="34">
        <v>24</v>
      </c>
      <c r="D89" s="34">
        <v>5103</v>
      </c>
      <c r="E89" s="34">
        <v>47</v>
      </c>
      <c r="F89" s="34" t="s">
        <v>54</v>
      </c>
      <c r="G89" s="97">
        <v>8.6931393383237743E-2</v>
      </c>
      <c r="H89" s="34">
        <f t="shared" si="5"/>
        <v>13</v>
      </c>
      <c r="I89" s="75">
        <f t="shared" si="6"/>
        <v>18</v>
      </c>
    </row>
    <row r="90" spans="1:9" x14ac:dyDescent="0.3">
      <c r="A90" s="34">
        <v>89</v>
      </c>
      <c r="B90" s="34">
        <v>629</v>
      </c>
      <c r="C90" s="34">
        <v>42</v>
      </c>
      <c r="D90" s="34">
        <v>4042</v>
      </c>
      <c r="E90" s="34">
        <v>36</v>
      </c>
      <c r="F90" s="34" t="s">
        <v>54</v>
      </c>
      <c r="G90" s="97">
        <v>8.7106301618640192E-2</v>
      </c>
      <c r="H90" s="34">
        <f t="shared" si="5"/>
        <v>8</v>
      </c>
      <c r="I90" s="75">
        <f t="shared" si="6"/>
        <v>13</v>
      </c>
    </row>
    <row r="91" spans="1:9" x14ac:dyDescent="0.3">
      <c r="A91" s="34">
        <v>90</v>
      </c>
      <c r="B91" s="34">
        <v>906</v>
      </c>
      <c r="C91" s="34">
        <v>12</v>
      </c>
      <c r="D91" s="34">
        <v>1107</v>
      </c>
      <c r="E91" s="34">
        <v>20</v>
      </c>
      <c r="F91" s="34" t="s">
        <v>54</v>
      </c>
      <c r="G91" s="97">
        <v>8.7657414438490067E-2</v>
      </c>
      <c r="H91" s="34">
        <f t="shared" si="5"/>
        <v>1</v>
      </c>
      <c r="I91" s="75">
        <f t="shared" si="6"/>
        <v>1</v>
      </c>
    </row>
    <row r="92" spans="1:9" x14ac:dyDescent="0.3">
      <c r="A92" s="34">
        <v>91</v>
      </c>
      <c r="B92" s="34">
        <v>776</v>
      </c>
      <c r="C92" s="34">
        <v>24</v>
      </c>
      <c r="D92" s="34">
        <v>1371</v>
      </c>
      <c r="E92" s="34">
        <v>25</v>
      </c>
      <c r="F92" s="34" t="s">
        <v>57</v>
      </c>
      <c r="G92" s="97">
        <v>8.9985675761169226E-2</v>
      </c>
      <c r="H92" s="34">
        <f t="shared" si="5"/>
        <v>3</v>
      </c>
      <c r="I92" s="75">
        <f t="shared" si="6"/>
        <v>4</v>
      </c>
    </row>
    <row r="93" spans="1:9" x14ac:dyDescent="0.3">
      <c r="A93" s="34">
        <v>92</v>
      </c>
      <c r="B93" s="34">
        <v>154</v>
      </c>
      <c r="C93" s="34">
        <v>24</v>
      </c>
      <c r="D93" s="34">
        <v>7758</v>
      </c>
      <c r="E93" s="34">
        <v>29</v>
      </c>
      <c r="F93" s="34" t="s">
        <v>56</v>
      </c>
      <c r="G93" s="97">
        <v>9.0247131528661817E-2</v>
      </c>
      <c r="H93" s="34">
        <f t="shared" si="5"/>
        <v>5</v>
      </c>
      <c r="I93" s="75">
        <f t="shared" si="6"/>
        <v>8</v>
      </c>
    </row>
    <row r="94" spans="1:9" x14ac:dyDescent="0.3">
      <c r="A94" s="34">
        <v>93</v>
      </c>
      <c r="B94" s="34">
        <v>465</v>
      </c>
      <c r="C94" s="34">
        <v>18</v>
      </c>
      <c r="D94" s="34">
        <v>1950</v>
      </c>
      <c r="E94" s="34">
        <v>34</v>
      </c>
      <c r="F94" s="34" t="s">
        <v>54</v>
      </c>
      <c r="G94" s="97">
        <v>9.2211086813411725E-2</v>
      </c>
      <c r="H94" s="34">
        <f t="shared" si="5"/>
        <v>7</v>
      </c>
      <c r="I94" s="75">
        <f t="shared" si="6"/>
        <v>11</v>
      </c>
    </row>
    <row r="95" spans="1:9" x14ac:dyDescent="0.3">
      <c r="A95" s="34">
        <v>94</v>
      </c>
      <c r="B95" s="34">
        <v>501</v>
      </c>
      <c r="C95" s="34">
        <v>24</v>
      </c>
      <c r="D95" s="34">
        <v>3123</v>
      </c>
      <c r="E95" s="34">
        <v>27</v>
      </c>
      <c r="F95" s="34" t="s">
        <v>57</v>
      </c>
      <c r="G95" s="97">
        <v>9.2409819505350765E-2</v>
      </c>
      <c r="H95" s="34">
        <f t="shared" si="5"/>
        <v>4</v>
      </c>
      <c r="I95" s="75">
        <f t="shared" si="6"/>
        <v>6</v>
      </c>
    </row>
    <row r="96" spans="1:9" x14ac:dyDescent="0.3">
      <c r="A96" s="34">
        <v>95</v>
      </c>
      <c r="B96" s="34">
        <v>813</v>
      </c>
      <c r="C96" s="34">
        <v>36</v>
      </c>
      <c r="D96" s="34">
        <v>9629</v>
      </c>
      <c r="E96" s="34">
        <v>24</v>
      </c>
      <c r="F96" s="34" t="s">
        <v>55</v>
      </c>
      <c r="G96" s="97">
        <v>9.5418911704666098E-2</v>
      </c>
      <c r="H96" s="34">
        <f t="shared" si="5"/>
        <v>3</v>
      </c>
      <c r="I96" s="75">
        <f t="shared" si="6"/>
        <v>3</v>
      </c>
    </row>
    <row r="97" spans="1:9" x14ac:dyDescent="0.3">
      <c r="A97" s="34">
        <v>96</v>
      </c>
      <c r="B97" s="34">
        <v>30</v>
      </c>
      <c r="C97" s="34">
        <v>60</v>
      </c>
      <c r="D97" s="34">
        <v>6836</v>
      </c>
      <c r="E97" s="34">
        <v>63</v>
      </c>
      <c r="F97" s="34" t="s">
        <v>55</v>
      </c>
      <c r="G97" s="97">
        <v>9.5575609311970511E-2</v>
      </c>
      <c r="H97" s="34">
        <f t="shared" si="5"/>
        <v>20</v>
      </c>
      <c r="I97" s="75">
        <f t="shared" si="6"/>
        <v>24</v>
      </c>
    </row>
    <row r="98" spans="1:9" x14ac:dyDescent="0.3">
      <c r="A98" s="34">
        <v>97</v>
      </c>
      <c r="B98" s="34">
        <v>120</v>
      </c>
      <c r="C98" s="34">
        <v>12</v>
      </c>
      <c r="D98" s="34">
        <v>2366</v>
      </c>
      <c r="E98" s="34">
        <v>36</v>
      </c>
      <c r="F98" s="34" t="s">
        <v>54</v>
      </c>
      <c r="G98" s="97">
        <v>9.6151242585216234E-2</v>
      </c>
      <c r="H98" s="34">
        <f t="shared" si="5"/>
        <v>8</v>
      </c>
      <c r="I98" s="75">
        <f t="shared" si="6"/>
        <v>13</v>
      </c>
    </row>
    <row r="99" spans="1:9" x14ac:dyDescent="0.3">
      <c r="A99" s="34">
        <v>98</v>
      </c>
      <c r="B99" s="34">
        <v>272</v>
      </c>
      <c r="C99" s="34">
        <v>12</v>
      </c>
      <c r="D99" s="34">
        <v>1402</v>
      </c>
      <c r="E99" s="34">
        <v>37</v>
      </c>
      <c r="F99" s="34" t="s">
        <v>56</v>
      </c>
      <c r="G99" s="97">
        <v>9.6957106351198363E-2</v>
      </c>
      <c r="H99" s="34">
        <f t="shared" si="5"/>
        <v>9</v>
      </c>
      <c r="I99" s="75">
        <f t="shared" si="6"/>
        <v>14</v>
      </c>
    </row>
    <row r="100" spans="1:9" x14ac:dyDescent="0.3">
      <c r="A100" s="34">
        <v>99</v>
      </c>
      <c r="B100" s="34">
        <v>768</v>
      </c>
      <c r="C100" s="34">
        <v>10</v>
      </c>
      <c r="D100" s="34">
        <v>2901</v>
      </c>
      <c r="E100" s="34">
        <v>31</v>
      </c>
      <c r="F100" s="34" t="s">
        <v>56</v>
      </c>
      <c r="G100" s="97">
        <v>9.696670641833105E-2</v>
      </c>
      <c r="H100" s="34">
        <f t="shared" si="5"/>
        <v>6</v>
      </c>
      <c r="I100" s="75">
        <f t="shared" si="6"/>
        <v>10</v>
      </c>
    </row>
    <row r="101" spans="1:9" x14ac:dyDescent="0.3">
      <c r="A101" s="34">
        <v>100</v>
      </c>
      <c r="B101" s="34">
        <v>205</v>
      </c>
      <c r="C101" s="34">
        <v>12</v>
      </c>
      <c r="D101" s="34">
        <v>1495</v>
      </c>
      <c r="E101" s="34">
        <v>38</v>
      </c>
      <c r="F101" s="34" t="s">
        <v>54</v>
      </c>
      <c r="G101" s="97">
        <v>9.7070142945584137E-2</v>
      </c>
      <c r="H101" s="34">
        <f t="shared" si="5"/>
        <v>9</v>
      </c>
      <c r="I101" s="75">
        <f t="shared" si="6"/>
        <v>14</v>
      </c>
    </row>
    <row r="102" spans="1:9" x14ac:dyDescent="0.3">
      <c r="A102" s="34">
        <v>101</v>
      </c>
      <c r="B102" s="34">
        <v>260</v>
      </c>
      <c r="C102" s="34">
        <v>11</v>
      </c>
      <c r="D102" s="34">
        <v>1154</v>
      </c>
      <c r="E102" s="34">
        <v>57</v>
      </c>
      <c r="F102" s="34" t="s">
        <v>56</v>
      </c>
      <c r="G102" s="97">
        <v>9.709279845605101E-2</v>
      </c>
      <c r="H102" s="34">
        <f t="shared" si="5"/>
        <v>17</v>
      </c>
      <c r="I102" s="75">
        <f t="shared" si="6"/>
        <v>22</v>
      </c>
    </row>
    <row r="103" spans="1:9" x14ac:dyDescent="0.3">
      <c r="A103" s="34">
        <v>102</v>
      </c>
      <c r="B103" s="34">
        <v>375</v>
      </c>
      <c r="C103" s="34">
        <v>60</v>
      </c>
      <c r="D103" s="34">
        <v>14782</v>
      </c>
      <c r="E103" s="34">
        <v>60</v>
      </c>
      <c r="F103" s="34" t="s">
        <v>57</v>
      </c>
      <c r="G103" s="97">
        <v>9.8228683813979423E-2</v>
      </c>
      <c r="H103" s="34">
        <f t="shared" si="5"/>
        <v>19</v>
      </c>
      <c r="I103" s="75">
        <f t="shared" si="6"/>
        <v>23</v>
      </c>
    </row>
    <row r="104" spans="1:9" x14ac:dyDescent="0.3">
      <c r="A104" s="34">
        <v>103</v>
      </c>
      <c r="B104" s="34">
        <v>640</v>
      </c>
      <c r="C104" s="34">
        <v>42</v>
      </c>
      <c r="D104" s="34">
        <v>4370</v>
      </c>
      <c r="E104" s="34">
        <v>26</v>
      </c>
      <c r="F104" s="34" t="s">
        <v>55</v>
      </c>
      <c r="G104" s="97">
        <v>9.9980248976444197E-2</v>
      </c>
      <c r="H104" s="34">
        <f t="shared" si="5"/>
        <v>4</v>
      </c>
      <c r="I104" s="75">
        <f t="shared" si="6"/>
        <v>5</v>
      </c>
    </row>
    <row r="105" spans="1:9" x14ac:dyDescent="0.3">
      <c r="A105" s="34">
        <v>104</v>
      </c>
      <c r="B105" s="34">
        <v>508</v>
      </c>
      <c r="C105" s="34">
        <v>15</v>
      </c>
      <c r="D105" s="34">
        <v>6850</v>
      </c>
      <c r="E105" s="34">
        <v>34</v>
      </c>
      <c r="F105" s="34" t="s">
        <v>55</v>
      </c>
      <c r="G105" s="97">
        <v>0.10154694506096751</v>
      </c>
      <c r="H105" s="34">
        <f t="shared" si="5"/>
        <v>7</v>
      </c>
      <c r="I105" s="75">
        <f t="shared" si="6"/>
        <v>11</v>
      </c>
    </row>
    <row r="106" spans="1:9" x14ac:dyDescent="0.3">
      <c r="A106" s="34">
        <v>105</v>
      </c>
      <c r="B106" s="34">
        <v>117</v>
      </c>
      <c r="C106" s="34">
        <v>42</v>
      </c>
      <c r="D106" s="34">
        <v>7174</v>
      </c>
      <c r="E106" s="34">
        <v>30</v>
      </c>
      <c r="F106" s="34" t="s">
        <v>57</v>
      </c>
      <c r="G106" s="97">
        <v>0.10237138431956783</v>
      </c>
      <c r="H106" s="34">
        <f t="shared" si="5"/>
        <v>5</v>
      </c>
      <c r="I106" s="75">
        <f t="shared" si="6"/>
        <v>9</v>
      </c>
    </row>
    <row r="107" spans="1:9" x14ac:dyDescent="0.3">
      <c r="A107" s="34">
        <v>106</v>
      </c>
      <c r="B107" s="34">
        <v>935</v>
      </c>
      <c r="C107" s="34">
        <v>12</v>
      </c>
      <c r="D107" s="34">
        <v>1498</v>
      </c>
      <c r="E107" s="34">
        <v>23</v>
      </c>
      <c r="F107" s="34" t="s">
        <v>56</v>
      </c>
      <c r="G107" s="97">
        <v>0.1025529395000766</v>
      </c>
      <c r="H107" s="34">
        <f t="shared" si="5"/>
        <v>2</v>
      </c>
      <c r="I107" s="75">
        <f t="shared" si="6"/>
        <v>2</v>
      </c>
    </row>
    <row r="108" spans="1:9" x14ac:dyDescent="0.3">
      <c r="A108" s="34">
        <v>107</v>
      </c>
      <c r="B108" s="34">
        <v>976</v>
      </c>
      <c r="C108" s="34">
        <v>24</v>
      </c>
      <c r="D108" s="34">
        <v>1258</v>
      </c>
      <c r="E108" s="34">
        <v>57</v>
      </c>
      <c r="F108" s="34" t="s">
        <v>56</v>
      </c>
      <c r="G108" s="97">
        <v>0.10257421037505465</v>
      </c>
      <c r="H108" s="34">
        <f t="shared" si="5"/>
        <v>17</v>
      </c>
      <c r="I108" s="75">
        <f t="shared" si="6"/>
        <v>22</v>
      </c>
    </row>
    <row r="109" spans="1:9" x14ac:dyDescent="0.3">
      <c r="A109" s="34">
        <v>108</v>
      </c>
      <c r="B109" s="34">
        <v>258</v>
      </c>
      <c r="C109" s="34">
        <v>12</v>
      </c>
      <c r="D109" s="34">
        <v>2149</v>
      </c>
      <c r="E109" s="34">
        <v>29</v>
      </c>
      <c r="F109" s="34" t="s">
        <v>55</v>
      </c>
      <c r="G109" s="97">
        <v>0.10389469024570275</v>
      </c>
      <c r="H109" s="34">
        <f t="shared" si="5"/>
        <v>5</v>
      </c>
      <c r="I109" s="75">
        <f t="shared" si="6"/>
        <v>8</v>
      </c>
    </row>
    <row r="110" spans="1:9" x14ac:dyDescent="0.3">
      <c r="A110" s="34">
        <v>109</v>
      </c>
      <c r="B110" s="34">
        <v>452</v>
      </c>
      <c r="C110" s="34">
        <v>6</v>
      </c>
      <c r="D110" s="34">
        <v>518</v>
      </c>
      <c r="E110" s="34">
        <v>29</v>
      </c>
      <c r="F110" s="34" t="s">
        <v>56</v>
      </c>
      <c r="G110" s="97">
        <v>0.10681588736082548</v>
      </c>
      <c r="H110" s="34">
        <f t="shared" si="5"/>
        <v>5</v>
      </c>
      <c r="I110" s="75">
        <f t="shared" si="6"/>
        <v>8</v>
      </c>
    </row>
    <row r="111" spans="1:9" x14ac:dyDescent="0.3">
      <c r="A111" s="34">
        <v>110</v>
      </c>
      <c r="B111" s="34">
        <v>47</v>
      </c>
      <c r="C111" s="34">
        <v>36</v>
      </c>
      <c r="D111" s="34">
        <v>2299</v>
      </c>
      <c r="E111" s="34">
        <v>39</v>
      </c>
      <c r="F111" s="34" t="s">
        <v>54</v>
      </c>
      <c r="G111" s="97">
        <v>0.10790604534286474</v>
      </c>
      <c r="H111" s="34">
        <f t="shared" si="5"/>
        <v>9</v>
      </c>
      <c r="I111" s="75">
        <f t="shared" si="6"/>
        <v>14</v>
      </c>
    </row>
    <row r="112" spans="1:9" x14ac:dyDescent="0.3">
      <c r="A112" s="34">
        <v>111</v>
      </c>
      <c r="B112" s="34">
        <v>920</v>
      </c>
      <c r="C112" s="34">
        <v>24</v>
      </c>
      <c r="D112" s="34">
        <v>3345</v>
      </c>
      <c r="E112" s="34">
        <v>39</v>
      </c>
      <c r="F112" s="34" t="s">
        <v>55</v>
      </c>
      <c r="G112" s="97">
        <v>0.10826692332524945</v>
      </c>
      <c r="H112" s="34">
        <f t="shared" si="5"/>
        <v>9</v>
      </c>
      <c r="I112" s="75">
        <f t="shared" si="6"/>
        <v>14</v>
      </c>
    </row>
    <row r="113" spans="1:9" x14ac:dyDescent="0.3">
      <c r="A113" s="34">
        <v>112</v>
      </c>
      <c r="B113" s="34">
        <v>972</v>
      </c>
      <c r="C113" s="34">
        <v>24</v>
      </c>
      <c r="D113" s="34">
        <v>7393</v>
      </c>
      <c r="E113" s="34">
        <v>43</v>
      </c>
      <c r="F113" s="34" t="s">
        <v>54</v>
      </c>
      <c r="G113" s="97">
        <v>0.10999179355527744</v>
      </c>
      <c r="H113" s="34">
        <f t="shared" si="5"/>
        <v>11</v>
      </c>
      <c r="I113" s="75">
        <f t="shared" si="6"/>
        <v>16</v>
      </c>
    </row>
    <row r="114" spans="1:9" x14ac:dyDescent="0.3">
      <c r="A114" s="34">
        <v>113</v>
      </c>
      <c r="B114" s="34">
        <v>74</v>
      </c>
      <c r="C114" s="34">
        <v>42</v>
      </c>
      <c r="D114" s="34">
        <v>5954</v>
      </c>
      <c r="E114" s="34">
        <v>41</v>
      </c>
      <c r="F114" s="34" t="s">
        <v>56</v>
      </c>
      <c r="G114" s="97">
        <v>0.11028082118143467</v>
      </c>
      <c r="H114" s="34">
        <f t="shared" si="5"/>
        <v>10</v>
      </c>
      <c r="I114" s="75">
        <f t="shared" si="6"/>
        <v>15</v>
      </c>
    </row>
    <row r="115" spans="1:9" x14ac:dyDescent="0.3">
      <c r="A115" s="34">
        <v>114</v>
      </c>
      <c r="B115" s="34">
        <v>862</v>
      </c>
      <c r="C115" s="34">
        <v>18</v>
      </c>
      <c r="D115" s="34">
        <v>2169</v>
      </c>
      <c r="E115" s="34">
        <v>28</v>
      </c>
      <c r="F115" s="34" t="s">
        <v>55</v>
      </c>
      <c r="G115" s="97">
        <v>0.11054173883008578</v>
      </c>
      <c r="H115" s="34">
        <f t="shared" si="5"/>
        <v>5</v>
      </c>
      <c r="I115" s="75">
        <f t="shared" si="6"/>
        <v>7</v>
      </c>
    </row>
    <row r="116" spans="1:9" x14ac:dyDescent="0.3">
      <c r="A116" s="34">
        <v>115</v>
      </c>
      <c r="B116" s="34">
        <v>675</v>
      </c>
      <c r="C116" s="34">
        <v>21</v>
      </c>
      <c r="D116" s="34">
        <v>2580</v>
      </c>
      <c r="E116" s="34">
        <v>41</v>
      </c>
      <c r="F116" s="34" t="s">
        <v>55</v>
      </c>
      <c r="G116" s="97">
        <v>0.11181163940431449</v>
      </c>
      <c r="H116" s="34">
        <f t="shared" si="5"/>
        <v>10</v>
      </c>
      <c r="I116" s="75">
        <f t="shared" si="6"/>
        <v>15</v>
      </c>
    </row>
    <row r="117" spans="1:9" x14ac:dyDescent="0.3">
      <c r="A117" s="34">
        <v>116</v>
      </c>
      <c r="B117" s="34">
        <v>325</v>
      </c>
      <c r="C117" s="34">
        <v>18</v>
      </c>
      <c r="D117" s="34">
        <v>1028</v>
      </c>
      <c r="E117" s="34">
        <v>36</v>
      </c>
      <c r="F117" s="34" t="s">
        <v>56</v>
      </c>
      <c r="G117" s="97">
        <v>0.11243624859207346</v>
      </c>
      <c r="H117" s="34">
        <f t="shared" si="5"/>
        <v>8</v>
      </c>
      <c r="I117" s="75">
        <f t="shared" si="6"/>
        <v>13</v>
      </c>
    </row>
    <row r="118" spans="1:9" x14ac:dyDescent="0.3">
      <c r="A118" s="34">
        <v>117</v>
      </c>
      <c r="B118" s="34">
        <v>595</v>
      </c>
      <c r="C118" s="34">
        <v>24</v>
      </c>
      <c r="D118" s="34">
        <v>1358</v>
      </c>
      <c r="E118" s="34">
        <v>40</v>
      </c>
      <c r="F118" s="34" t="s">
        <v>55</v>
      </c>
      <c r="G118" s="97">
        <v>0.11353145281269106</v>
      </c>
      <c r="H118" s="34">
        <f t="shared" si="5"/>
        <v>10</v>
      </c>
      <c r="I118" s="75">
        <f t="shared" si="6"/>
        <v>15</v>
      </c>
    </row>
    <row r="119" spans="1:9" x14ac:dyDescent="0.3">
      <c r="A119" s="34">
        <v>118</v>
      </c>
      <c r="B119" s="34">
        <v>162</v>
      </c>
      <c r="C119" s="34">
        <v>18</v>
      </c>
      <c r="D119" s="34">
        <v>1055</v>
      </c>
      <c r="E119" s="34">
        <v>30</v>
      </c>
      <c r="F119" s="34" t="s">
        <v>56</v>
      </c>
      <c r="G119" s="97">
        <v>0.11361458628704368</v>
      </c>
      <c r="H119" s="34">
        <f t="shared" si="5"/>
        <v>5</v>
      </c>
      <c r="I119" s="75">
        <f t="shared" si="6"/>
        <v>9</v>
      </c>
    </row>
    <row r="120" spans="1:9" x14ac:dyDescent="0.3">
      <c r="A120" s="34">
        <v>119</v>
      </c>
      <c r="B120" s="34">
        <v>424</v>
      </c>
      <c r="C120" s="34">
        <v>21</v>
      </c>
      <c r="D120" s="34">
        <v>1591</v>
      </c>
      <c r="E120" s="34">
        <v>34</v>
      </c>
      <c r="F120" s="34" t="s">
        <v>54</v>
      </c>
      <c r="G120" s="97">
        <v>0.11365503370749341</v>
      </c>
      <c r="H120" s="34">
        <f t="shared" si="5"/>
        <v>7</v>
      </c>
      <c r="I120" s="75">
        <f t="shared" si="6"/>
        <v>11</v>
      </c>
    </row>
    <row r="121" spans="1:9" x14ac:dyDescent="0.3">
      <c r="A121" s="34">
        <v>120</v>
      </c>
      <c r="B121" s="34">
        <v>506</v>
      </c>
      <c r="C121" s="34">
        <v>10</v>
      </c>
      <c r="D121" s="34">
        <v>1309</v>
      </c>
      <c r="E121" s="34">
        <v>27</v>
      </c>
      <c r="F121" s="34" t="s">
        <v>55</v>
      </c>
      <c r="G121" s="97">
        <v>0.11401586190390756</v>
      </c>
      <c r="H121" s="34">
        <f t="shared" si="5"/>
        <v>4</v>
      </c>
      <c r="I121" s="75">
        <f t="shared" si="6"/>
        <v>6</v>
      </c>
    </row>
    <row r="122" spans="1:9" x14ac:dyDescent="0.3">
      <c r="A122" s="34">
        <v>121</v>
      </c>
      <c r="B122" s="34">
        <v>119</v>
      </c>
      <c r="C122" s="34">
        <v>33</v>
      </c>
      <c r="D122" s="34">
        <v>4281</v>
      </c>
      <c r="E122" s="34">
        <v>23</v>
      </c>
      <c r="F122" s="34" t="s">
        <v>57</v>
      </c>
      <c r="G122" s="97">
        <v>0.11518581623456736</v>
      </c>
      <c r="H122" s="34">
        <f t="shared" si="5"/>
        <v>2</v>
      </c>
      <c r="I122" s="75">
        <f t="shared" si="6"/>
        <v>2</v>
      </c>
    </row>
    <row r="123" spans="1:9" x14ac:dyDescent="0.3">
      <c r="A123" s="34">
        <v>122</v>
      </c>
      <c r="B123" s="34">
        <v>760</v>
      </c>
      <c r="C123" s="34">
        <v>12</v>
      </c>
      <c r="D123" s="34">
        <v>691</v>
      </c>
      <c r="E123" s="34">
        <v>35</v>
      </c>
      <c r="F123" s="34" t="s">
        <v>55</v>
      </c>
      <c r="G123" s="97">
        <v>0.11605275649075586</v>
      </c>
      <c r="H123" s="34">
        <f t="shared" si="5"/>
        <v>8</v>
      </c>
      <c r="I123" s="75">
        <f t="shared" si="6"/>
        <v>12</v>
      </c>
    </row>
    <row r="124" spans="1:9" x14ac:dyDescent="0.3">
      <c r="A124" s="34">
        <v>123</v>
      </c>
      <c r="B124" s="34">
        <v>226</v>
      </c>
      <c r="C124" s="34">
        <v>36</v>
      </c>
      <c r="D124" s="34">
        <v>2613</v>
      </c>
      <c r="E124" s="34">
        <v>27</v>
      </c>
      <c r="F124" s="34" t="s">
        <v>54</v>
      </c>
      <c r="G124" s="97">
        <v>0.11658468303357483</v>
      </c>
      <c r="H124" s="34">
        <f t="shared" si="5"/>
        <v>4</v>
      </c>
      <c r="I124" s="75">
        <f t="shared" si="6"/>
        <v>6</v>
      </c>
    </row>
    <row r="125" spans="1:9" x14ac:dyDescent="0.3">
      <c r="A125" s="34">
        <v>124</v>
      </c>
      <c r="B125" s="34">
        <v>493</v>
      </c>
      <c r="C125" s="34">
        <v>6</v>
      </c>
      <c r="D125" s="34">
        <v>1237</v>
      </c>
      <c r="E125" s="34">
        <v>27</v>
      </c>
      <c r="F125" s="34" t="s">
        <v>56</v>
      </c>
      <c r="G125" s="97">
        <v>0.11746856701327912</v>
      </c>
      <c r="H125" s="34">
        <f t="shared" si="5"/>
        <v>4</v>
      </c>
      <c r="I125" s="75">
        <f t="shared" si="6"/>
        <v>6</v>
      </c>
    </row>
    <row r="126" spans="1:9" x14ac:dyDescent="0.3">
      <c r="A126" s="34">
        <v>125</v>
      </c>
      <c r="B126" s="34">
        <v>819</v>
      </c>
      <c r="C126" s="34">
        <v>36</v>
      </c>
      <c r="D126" s="34">
        <v>15857</v>
      </c>
      <c r="E126" s="34">
        <v>43</v>
      </c>
      <c r="F126" s="34" t="s">
        <v>54</v>
      </c>
      <c r="G126" s="97">
        <v>0.11775179349482368</v>
      </c>
      <c r="H126" s="34">
        <f t="shared" si="5"/>
        <v>11</v>
      </c>
      <c r="I126" s="75">
        <f t="shared" si="6"/>
        <v>16</v>
      </c>
    </row>
    <row r="127" spans="1:9" x14ac:dyDescent="0.3">
      <c r="A127" s="34">
        <v>126</v>
      </c>
      <c r="B127" s="34">
        <v>619</v>
      </c>
      <c r="C127" s="34">
        <v>30</v>
      </c>
      <c r="D127" s="34">
        <v>3441</v>
      </c>
      <c r="E127" s="34">
        <v>21</v>
      </c>
      <c r="F127" s="34" t="s">
        <v>57</v>
      </c>
      <c r="G127" s="97">
        <v>0.11799150832181826</v>
      </c>
      <c r="H127" s="34">
        <f t="shared" si="5"/>
        <v>1</v>
      </c>
      <c r="I127" s="75">
        <f t="shared" si="6"/>
        <v>1</v>
      </c>
    </row>
    <row r="128" spans="1:9" x14ac:dyDescent="0.3">
      <c r="A128" s="34">
        <v>127</v>
      </c>
      <c r="B128" s="34">
        <v>34</v>
      </c>
      <c r="C128" s="34">
        <v>12</v>
      </c>
      <c r="D128" s="34">
        <v>1264</v>
      </c>
      <c r="E128" s="34">
        <v>57</v>
      </c>
      <c r="F128" s="34" t="s">
        <v>54</v>
      </c>
      <c r="G128" s="97">
        <v>0.11923300248655111</v>
      </c>
      <c r="H128" s="34">
        <f t="shared" si="5"/>
        <v>17</v>
      </c>
      <c r="I128" s="75">
        <f t="shared" si="6"/>
        <v>22</v>
      </c>
    </row>
    <row r="129" spans="1:9" x14ac:dyDescent="0.3">
      <c r="A129" s="34">
        <v>128</v>
      </c>
      <c r="B129" s="34">
        <v>227</v>
      </c>
      <c r="C129" s="34">
        <v>48</v>
      </c>
      <c r="D129" s="34">
        <v>10961</v>
      </c>
      <c r="E129" s="34">
        <v>27</v>
      </c>
      <c r="F129" s="34" t="s">
        <v>55</v>
      </c>
      <c r="G129" s="97">
        <v>0.12121588599462507</v>
      </c>
      <c r="H129" s="34">
        <f t="shared" si="5"/>
        <v>4</v>
      </c>
      <c r="I129" s="75">
        <f t="shared" si="6"/>
        <v>6</v>
      </c>
    </row>
    <row r="130" spans="1:9" x14ac:dyDescent="0.3">
      <c r="A130" s="34">
        <v>129</v>
      </c>
      <c r="B130" s="34">
        <v>319</v>
      </c>
      <c r="C130" s="34">
        <v>12</v>
      </c>
      <c r="D130" s="34">
        <v>701</v>
      </c>
      <c r="E130" s="34">
        <v>32</v>
      </c>
      <c r="F130" s="34" t="s">
        <v>54</v>
      </c>
      <c r="G130" s="97">
        <v>0.12222531736896824</v>
      </c>
      <c r="H130" s="34">
        <f t="shared" ref="H130:H193" si="7">MATCH(E130,$O$3:$O$27,1)</f>
        <v>6</v>
      </c>
      <c r="I130" s="75">
        <f t="shared" ref="I130:I193" si="8">MATCH(E130,$U$3:$U$28,1)</f>
        <v>10</v>
      </c>
    </row>
    <row r="131" spans="1:9" x14ac:dyDescent="0.3">
      <c r="A131" s="34">
        <v>130</v>
      </c>
      <c r="B131" s="34">
        <v>155</v>
      </c>
      <c r="C131" s="34">
        <v>24</v>
      </c>
      <c r="D131" s="34">
        <v>6967</v>
      </c>
      <c r="E131" s="34">
        <v>36</v>
      </c>
      <c r="F131" s="34" t="s">
        <v>54</v>
      </c>
      <c r="G131" s="97">
        <v>0.12374407390912046</v>
      </c>
      <c r="H131" s="34">
        <f t="shared" si="7"/>
        <v>8</v>
      </c>
      <c r="I131" s="75">
        <f t="shared" si="8"/>
        <v>13</v>
      </c>
    </row>
    <row r="132" spans="1:9" x14ac:dyDescent="0.3">
      <c r="A132" s="34">
        <v>131</v>
      </c>
      <c r="B132" s="34">
        <v>673</v>
      </c>
      <c r="C132" s="34">
        <v>60</v>
      </c>
      <c r="D132" s="34">
        <v>10366</v>
      </c>
      <c r="E132" s="34">
        <v>42</v>
      </c>
      <c r="F132" s="34" t="s">
        <v>54</v>
      </c>
      <c r="G132" s="97">
        <v>0.12413351968756903</v>
      </c>
      <c r="H132" s="34">
        <f t="shared" si="7"/>
        <v>11</v>
      </c>
      <c r="I132" s="75">
        <f t="shared" si="8"/>
        <v>16</v>
      </c>
    </row>
    <row r="133" spans="1:9" x14ac:dyDescent="0.3">
      <c r="A133" s="34">
        <v>132</v>
      </c>
      <c r="B133" s="34">
        <v>194</v>
      </c>
      <c r="C133" s="34">
        <v>6</v>
      </c>
      <c r="D133" s="34">
        <v>2108</v>
      </c>
      <c r="E133" s="34">
        <v>29</v>
      </c>
      <c r="F133" s="34" t="s">
        <v>54</v>
      </c>
      <c r="G133" s="97">
        <v>0.12506941776492275</v>
      </c>
      <c r="H133" s="34">
        <f t="shared" si="7"/>
        <v>5</v>
      </c>
      <c r="I133" s="75">
        <f t="shared" si="8"/>
        <v>8</v>
      </c>
    </row>
    <row r="134" spans="1:9" x14ac:dyDescent="0.3">
      <c r="A134" s="34">
        <v>133</v>
      </c>
      <c r="B134" s="34">
        <v>436</v>
      </c>
      <c r="C134" s="34">
        <v>12</v>
      </c>
      <c r="D134" s="34">
        <v>1484</v>
      </c>
      <c r="E134" s="34">
        <v>25</v>
      </c>
      <c r="F134" s="34" t="s">
        <v>55</v>
      </c>
      <c r="G134" s="97">
        <v>0.12608153028355462</v>
      </c>
      <c r="H134" s="34">
        <f t="shared" si="7"/>
        <v>3</v>
      </c>
      <c r="I134" s="75">
        <f t="shared" si="8"/>
        <v>4</v>
      </c>
    </row>
    <row r="135" spans="1:9" x14ac:dyDescent="0.3">
      <c r="A135" s="34">
        <v>134</v>
      </c>
      <c r="B135" s="34">
        <v>304</v>
      </c>
      <c r="C135" s="34">
        <v>10</v>
      </c>
      <c r="D135" s="34">
        <v>1038</v>
      </c>
      <c r="E135" s="34">
        <v>49</v>
      </c>
      <c r="F135" s="34" t="s">
        <v>54</v>
      </c>
      <c r="G135" s="97">
        <v>0.1263489903595677</v>
      </c>
      <c r="H135" s="34">
        <f t="shared" si="7"/>
        <v>14</v>
      </c>
      <c r="I135" s="75">
        <f t="shared" si="8"/>
        <v>19</v>
      </c>
    </row>
    <row r="136" spans="1:9" x14ac:dyDescent="0.3">
      <c r="A136" s="34">
        <v>135</v>
      </c>
      <c r="B136" s="34">
        <v>439</v>
      </c>
      <c r="C136" s="34">
        <v>42</v>
      </c>
      <c r="D136" s="34">
        <v>3394</v>
      </c>
      <c r="E136" s="34">
        <v>65</v>
      </c>
      <c r="F136" s="34" t="s">
        <v>54</v>
      </c>
      <c r="G136" s="97">
        <v>0.12648366330125627</v>
      </c>
      <c r="H136" s="34">
        <f t="shared" si="7"/>
        <v>21</v>
      </c>
      <c r="I136" s="75">
        <f t="shared" si="8"/>
        <v>24</v>
      </c>
    </row>
    <row r="137" spans="1:9" x14ac:dyDescent="0.3">
      <c r="A137" s="34">
        <v>136</v>
      </c>
      <c r="B137" s="34">
        <v>499</v>
      </c>
      <c r="C137" s="34">
        <v>18</v>
      </c>
      <c r="D137" s="34">
        <v>1301</v>
      </c>
      <c r="E137" s="34">
        <v>32</v>
      </c>
      <c r="F137" s="34" t="s">
        <v>54</v>
      </c>
      <c r="G137" s="97">
        <v>0.12741856217673309</v>
      </c>
      <c r="H137" s="34">
        <f t="shared" si="7"/>
        <v>6</v>
      </c>
      <c r="I137" s="75">
        <f t="shared" si="8"/>
        <v>10</v>
      </c>
    </row>
    <row r="138" spans="1:9" x14ac:dyDescent="0.3">
      <c r="A138" s="34">
        <v>137</v>
      </c>
      <c r="B138" s="34">
        <v>708</v>
      </c>
      <c r="C138" s="34">
        <v>12</v>
      </c>
      <c r="D138" s="34">
        <v>2969</v>
      </c>
      <c r="E138" s="34">
        <v>25</v>
      </c>
      <c r="F138" s="34" t="s">
        <v>57</v>
      </c>
      <c r="G138" s="97">
        <v>0.1278500978338365</v>
      </c>
      <c r="H138" s="34">
        <f t="shared" si="7"/>
        <v>3</v>
      </c>
      <c r="I138" s="75">
        <f t="shared" si="8"/>
        <v>4</v>
      </c>
    </row>
    <row r="139" spans="1:9" x14ac:dyDescent="0.3">
      <c r="A139" s="34">
        <v>138</v>
      </c>
      <c r="B139" s="34">
        <v>778</v>
      </c>
      <c r="C139" s="34">
        <v>18</v>
      </c>
      <c r="D139" s="34">
        <v>3509</v>
      </c>
      <c r="E139" s="34">
        <v>25</v>
      </c>
      <c r="F139" s="34" t="s">
        <v>56</v>
      </c>
      <c r="G139" s="97">
        <v>0.13000481664828811</v>
      </c>
      <c r="H139" s="34">
        <f t="shared" si="7"/>
        <v>3</v>
      </c>
      <c r="I139" s="75">
        <f t="shared" si="8"/>
        <v>4</v>
      </c>
    </row>
    <row r="140" spans="1:9" x14ac:dyDescent="0.3">
      <c r="A140" s="34">
        <v>139</v>
      </c>
      <c r="B140" s="34">
        <v>914</v>
      </c>
      <c r="C140" s="34">
        <v>11</v>
      </c>
      <c r="D140" s="34">
        <v>2142</v>
      </c>
      <c r="E140" s="34">
        <v>28</v>
      </c>
      <c r="F140" s="34" t="s">
        <v>54</v>
      </c>
      <c r="G140" s="97">
        <v>0.13169050298639506</v>
      </c>
      <c r="H140" s="34">
        <f t="shared" si="7"/>
        <v>5</v>
      </c>
      <c r="I140" s="75">
        <f t="shared" si="8"/>
        <v>7</v>
      </c>
    </row>
    <row r="141" spans="1:9" x14ac:dyDescent="0.3">
      <c r="A141" s="34">
        <v>140</v>
      </c>
      <c r="B141" s="34">
        <v>585</v>
      </c>
      <c r="C141" s="34">
        <v>12</v>
      </c>
      <c r="D141" s="34">
        <v>2133</v>
      </c>
      <c r="E141" s="34">
        <v>52</v>
      </c>
      <c r="F141" s="34" t="s">
        <v>56</v>
      </c>
      <c r="G141" s="97">
        <v>0.13243933811448971</v>
      </c>
      <c r="H141" s="34">
        <f t="shared" si="7"/>
        <v>15</v>
      </c>
      <c r="I141" s="75">
        <f t="shared" si="8"/>
        <v>20</v>
      </c>
    </row>
    <row r="142" spans="1:9" x14ac:dyDescent="0.3">
      <c r="A142" s="34">
        <v>141</v>
      </c>
      <c r="B142" s="34">
        <v>565</v>
      </c>
      <c r="C142" s="34">
        <v>24</v>
      </c>
      <c r="D142" s="34">
        <v>4712</v>
      </c>
      <c r="E142" s="34">
        <v>37</v>
      </c>
      <c r="F142" s="34" t="s">
        <v>54</v>
      </c>
      <c r="G142" s="97">
        <v>0.13252685794213726</v>
      </c>
      <c r="H142" s="34">
        <f t="shared" si="7"/>
        <v>9</v>
      </c>
      <c r="I142" s="75">
        <f t="shared" si="8"/>
        <v>14</v>
      </c>
    </row>
    <row r="143" spans="1:9" x14ac:dyDescent="0.3">
      <c r="A143" s="34">
        <v>142</v>
      </c>
      <c r="B143" s="34">
        <v>8</v>
      </c>
      <c r="C143" s="34">
        <v>36</v>
      </c>
      <c r="D143" s="34">
        <v>6948</v>
      </c>
      <c r="E143" s="34">
        <v>35</v>
      </c>
      <c r="F143" s="34" t="s">
        <v>54</v>
      </c>
      <c r="G143" s="97">
        <v>0.13482893541979668</v>
      </c>
      <c r="H143" s="34">
        <f t="shared" si="7"/>
        <v>8</v>
      </c>
      <c r="I143" s="75">
        <f t="shared" si="8"/>
        <v>12</v>
      </c>
    </row>
    <row r="144" spans="1:9" x14ac:dyDescent="0.3">
      <c r="A144" s="34">
        <v>143</v>
      </c>
      <c r="B144" s="34">
        <v>832</v>
      </c>
      <c r="C144" s="34">
        <v>18</v>
      </c>
      <c r="D144" s="34">
        <v>1216</v>
      </c>
      <c r="E144" s="34">
        <v>23</v>
      </c>
      <c r="F144" s="34" t="s">
        <v>57</v>
      </c>
      <c r="G144" s="97">
        <v>0.1356439228980626</v>
      </c>
      <c r="H144" s="34">
        <f t="shared" si="7"/>
        <v>2</v>
      </c>
      <c r="I144" s="75">
        <f t="shared" si="8"/>
        <v>2</v>
      </c>
    </row>
    <row r="145" spans="1:9" x14ac:dyDescent="0.3">
      <c r="A145" s="34">
        <v>144</v>
      </c>
      <c r="B145" s="34">
        <v>584</v>
      </c>
      <c r="C145" s="34">
        <v>36</v>
      </c>
      <c r="D145" s="34">
        <v>2384</v>
      </c>
      <c r="E145" s="34">
        <v>33</v>
      </c>
      <c r="F145" s="34" t="s">
        <v>55</v>
      </c>
      <c r="G145" s="97">
        <v>0.13878961279379609</v>
      </c>
      <c r="H145" s="34">
        <f t="shared" si="7"/>
        <v>7</v>
      </c>
      <c r="I145" s="75">
        <f t="shared" si="8"/>
        <v>11</v>
      </c>
    </row>
    <row r="146" spans="1:9" x14ac:dyDescent="0.3">
      <c r="A146" s="34">
        <v>145</v>
      </c>
      <c r="B146" s="34">
        <v>689</v>
      </c>
      <c r="C146" s="34">
        <v>9</v>
      </c>
      <c r="D146" s="34">
        <v>2753</v>
      </c>
      <c r="E146" s="34">
        <v>35</v>
      </c>
      <c r="F146" s="34" t="s">
        <v>54</v>
      </c>
      <c r="G146" s="97">
        <v>0.13902300453544536</v>
      </c>
      <c r="H146" s="34">
        <f t="shared" si="7"/>
        <v>8</v>
      </c>
      <c r="I146" s="75">
        <f t="shared" si="8"/>
        <v>12</v>
      </c>
    </row>
    <row r="147" spans="1:9" x14ac:dyDescent="0.3">
      <c r="A147" s="34">
        <v>146</v>
      </c>
      <c r="B147" s="34">
        <v>909</v>
      </c>
      <c r="C147" s="34">
        <v>15</v>
      </c>
      <c r="D147" s="34">
        <v>3594</v>
      </c>
      <c r="E147" s="34">
        <v>46</v>
      </c>
      <c r="F147" s="34" t="s">
        <v>56</v>
      </c>
      <c r="G147" s="97">
        <v>0.14280823007403065</v>
      </c>
      <c r="H147" s="34">
        <f t="shared" si="7"/>
        <v>13</v>
      </c>
      <c r="I147" s="75">
        <f t="shared" si="8"/>
        <v>18</v>
      </c>
    </row>
    <row r="148" spans="1:9" x14ac:dyDescent="0.3">
      <c r="A148" s="34">
        <v>147</v>
      </c>
      <c r="B148" s="34">
        <v>31</v>
      </c>
      <c r="C148" s="34">
        <v>18</v>
      </c>
      <c r="D148" s="34">
        <v>1913</v>
      </c>
      <c r="E148" s="34">
        <v>36</v>
      </c>
      <c r="F148" s="34" t="s">
        <v>54</v>
      </c>
      <c r="G148" s="97">
        <v>0.14319106260224246</v>
      </c>
      <c r="H148" s="34">
        <f t="shared" si="7"/>
        <v>8</v>
      </c>
      <c r="I148" s="75">
        <f t="shared" si="8"/>
        <v>13</v>
      </c>
    </row>
    <row r="149" spans="1:9" x14ac:dyDescent="0.3">
      <c r="A149" s="34">
        <v>148</v>
      </c>
      <c r="B149" s="34">
        <v>590</v>
      </c>
      <c r="C149" s="34">
        <v>12</v>
      </c>
      <c r="D149" s="34">
        <v>2246</v>
      </c>
      <c r="E149" s="34">
        <v>60</v>
      </c>
      <c r="F149" s="34" t="s">
        <v>55</v>
      </c>
      <c r="G149" s="97">
        <v>0.14528665854850942</v>
      </c>
      <c r="H149" s="34">
        <f t="shared" si="7"/>
        <v>19</v>
      </c>
      <c r="I149" s="75">
        <f t="shared" si="8"/>
        <v>23</v>
      </c>
    </row>
    <row r="150" spans="1:9" x14ac:dyDescent="0.3">
      <c r="A150" s="34">
        <v>149</v>
      </c>
      <c r="B150" s="34">
        <v>848</v>
      </c>
      <c r="C150" s="34">
        <v>24</v>
      </c>
      <c r="D150" s="34">
        <v>1249</v>
      </c>
      <c r="E150" s="34">
        <v>28</v>
      </c>
      <c r="F150" s="34" t="s">
        <v>54</v>
      </c>
      <c r="G150" s="97">
        <v>0.1483737543125454</v>
      </c>
      <c r="H150" s="34">
        <f t="shared" si="7"/>
        <v>5</v>
      </c>
      <c r="I150" s="75">
        <f t="shared" si="8"/>
        <v>7</v>
      </c>
    </row>
    <row r="151" spans="1:9" x14ac:dyDescent="0.3">
      <c r="A151" s="34">
        <v>150</v>
      </c>
      <c r="B151" s="34">
        <v>137</v>
      </c>
      <c r="C151" s="34">
        <v>27</v>
      </c>
      <c r="D151" s="34">
        <v>8613</v>
      </c>
      <c r="E151" s="34">
        <v>27</v>
      </c>
      <c r="F151" s="34" t="s">
        <v>54</v>
      </c>
      <c r="G151" s="97">
        <v>0.14902389013446016</v>
      </c>
      <c r="H151" s="34">
        <f t="shared" si="7"/>
        <v>4</v>
      </c>
      <c r="I151" s="75">
        <f t="shared" si="8"/>
        <v>6</v>
      </c>
    </row>
    <row r="152" spans="1:9" x14ac:dyDescent="0.3">
      <c r="A152" s="34">
        <v>151</v>
      </c>
      <c r="B152" s="34">
        <v>106</v>
      </c>
      <c r="C152" s="34">
        <v>24</v>
      </c>
      <c r="D152" s="34">
        <v>11938</v>
      </c>
      <c r="E152" s="34">
        <v>39</v>
      </c>
      <c r="F152" s="34" t="s">
        <v>55</v>
      </c>
      <c r="G152" s="97">
        <v>0.14944981879934238</v>
      </c>
      <c r="H152" s="34">
        <f t="shared" si="7"/>
        <v>9</v>
      </c>
      <c r="I152" s="75">
        <f t="shared" si="8"/>
        <v>14</v>
      </c>
    </row>
    <row r="153" spans="1:9" x14ac:dyDescent="0.3">
      <c r="A153" s="34">
        <v>152</v>
      </c>
      <c r="B153" s="34">
        <v>248</v>
      </c>
      <c r="C153" s="34">
        <v>6</v>
      </c>
      <c r="D153" s="34">
        <v>1204</v>
      </c>
      <c r="E153" s="34">
        <v>35</v>
      </c>
      <c r="F153" s="34" t="s">
        <v>54</v>
      </c>
      <c r="G153" s="97">
        <v>0.15014870258766022</v>
      </c>
      <c r="H153" s="34">
        <f t="shared" si="7"/>
        <v>8</v>
      </c>
      <c r="I153" s="75">
        <f t="shared" si="8"/>
        <v>12</v>
      </c>
    </row>
    <row r="154" spans="1:9" x14ac:dyDescent="0.3">
      <c r="A154" s="34">
        <v>153</v>
      </c>
      <c r="B154" s="34">
        <v>276</v>
      </c>
      <c r="C154" s="34">
        <v>9</v>
      </c>
      <c r="D154" s="34">
        <v>2697</v>
      </c>
      <c r="E154" s="34">
        <v>32</v>
      </c>
      <c r="F154" s="34" t="s">
        <v>54</v>
      </c>
      <c r="G154" s="97">
        <v>0.15125252034223402</v>
      </c>
      <c r="H154" s="34">
        <f t="shared" si="7"/>
        <v>6</v>
      </c>
      <c r="I154" s="75">
        <f t="shared" si="8"/>
        <v>10</v>
      </c>
    </row>
    <row r="155" spans="1:9" x14ac:dyDescent="0.3">
      <c r="A155" s="34">
        <v>154</v>
      </c>
      <c r="B155" s="34">
        <v>664</v>
      </c>
      <c r="C155" s="34">
        <v>6</v>
      </c>
      <c r="D155" s="34">
        <v>1050</v>
      </c>
      <c r="E155" s="34">
        <v>35</v>
      </c>
      <c r="F155" s="34" t="s">
        <v>54</v>
      </c>
      <c r="G155" s="97">
        <v>0.151728803042817</v>
      </c>
      <c r="H155" s="34">
        <f t="shared" si="7"/>
        <v>8</v>
      </c>
      <c r="I155" s="75">
        <f t="shared" si="8"/>
        <v>12</v>
      </c>
    </row>
    <row r="156" spans="1:9" x14ac:dyDescent="0.3">
      <c r="A156" s="34">
        <v>155</v>
      </c>
      <c r="B156" s="34">
        <v>850</v>
      </c>
      <c r="C156" s="34">
        <v>12</v>
      </c>
      <c r="D156" s="34">
        <v>709</v>
      </c>
      <c r="E156" s="34">
        <v>57</v>
      </c>
      <c r="F156" s="34" t="s">
        <v>55</v>
      </c>
      <c r="G156" s="97">
        <v>0.15228401646179646</v>
      </c>
      <c r="H156" s="34">
        <f t="shared" si="7"/>
        <v>17</v>
      </c>
      <c r="I156" s="75">
        <f t="shared" si="8"/>
        <v>22</v>
      </c>
    </row>
    <row r="157" spans="1:9" x14ac:dyDescent="0.3">
      <c r="A157" s="34">
        <v>156</v>
      </c>
      <c r="B157" s="34">
        <v>644</v>
      </c>
      <c r="C157" s="34">
        <v>24</v>
      </c>
      <c r="D157" s="34">
        <v>1851</v>
      </c>
      <c r="E157" s="34">
        <v>33</v>
      </c>
      <c r="F157" s="34" t="s">
        <v>54</v>
      </c>
      <c r="G157" s="97">
        <v>0.15246955357133196</v>
      </c>
      <c r="H157" s="34">
        <f t="shared" si="7"/>
        <v>7</v>
      </c>
      <c r="I157" s="75">
        <f t="shared" si="8"/>
        <v>11</v>
      </c>
    </row>
    <row r="158" spans="1:9" x14ac:dyDescent="0.3">
      <c r="A158" s="34">
        <v>157</v>
      </c>
      <c r="B158" s="34">
        <v>40</v>
      </c>
      <c r="C158" s="34">
        <v>9</v>
      </c>
      <c r="D158" s="34">
        <v>458</v>
      </c>
      <c r="E158" s="34">
        <v>24</v>
      </c>
      <c r="F158" s="34" t="s">
        <v>54</v>
      </c>
      <c r="G158" s="97">
        <v>0.15263527335622507</v>
      </c>
      <c r="H158" s="34">
        <f t="shared" si="7"/>
        <v>3</v>
      </c>
      <c r="I158" s="75">
        <f t="shared" si="8"/>
        <v>3</v>
      </c>
    </row>
    <row r="159" spans="1:9" x14ac:dyDescent="0.3">
      <c r="A159" s="34">
        <v>158</v>
      </c>
      <c r="B159" s="34">
        <v>46</v>
      </c>
      <c r="C159" s="34">
        <v>11</v>
      </c>
      <c r="D159" s="34">
        <v>1393</v>
      </c>
      <c r="E159" s="34">
        <v>35</v>
      </c>
      <c r="F159" s="34" t="s">
        <v>56</v>
      </c>
      <c r="G159" s="97">
        <v>0.15413647869819869</v>
      </c>
      <c r="H159" s="34">
        <f t="shared" si="7"/>
        <v>8</v>
      </c>
      <c r="I159" s="75">
        <f t="shared" si="8"/>
        <v>12</v>
      </c>
    </row>
    <row r="160" spans="1:9" x14ac:dyDescent="0.3">
      <c r="A160" s="34">
        <v>159</v>
      </c>
      <c r="B160" s="34">
        <v>76</v>
      </c>
      <c r="C160" s="34">
        <v>12</v>
      </c>
      <c r="D160" s="34">
        <v>1526</v>
      </c>
      <c r="E160" s="34">
        <v>66</v>
      </c>
      <c r="F160" s="34" t="s">
        <v>54</v>
      </c>
      <c r="G160" s="97">
        <v>0.15426247239413671</v>
      </c>
      <c r="H160" s="34">
        <f t="shared" si="7"/>
        <v>21</v>
      </c>
      <c r="I160" s="75">
        <f t="shared" si="8"/>
        <v>24</v>
      </c>
    </row>
    <row r="161" spans="1:9" x14ac:dyDescent="0.3">
      <c r="A161" s="34">
        <v>160</v>
      </c>
      <c r="B161" s="34">
        <v>889</v>
      </c>
      <c r="C161" s="34">
        <v>36</v>
      </c>
      <c r="D161" s="34">
        <v>6614</v>
      </c>
      <c r="E161" s="34">
        <v>34</v>
      </c>
      <c r="F161" s="34" t="s">
        <v>54</v>
      </c>
      <c r="G161" s="97">
        <v>0.15489191132840419</v>
      </c>
      <c r="H161" s="34">
        <f t="shared" si="7"/>
        <v>7</v>
      </c>
      <c r="I161" s="75">
        <f t="shared" si="8"/>
        <v>11</v>
      </c>
    </row>
    <row r="162" spans="1:9" x14ac:dyDescent="0.3">
      <c r="A162" s="34">
        <v>161</v>
      </c>
      <c r="B162" s="34">
        <v>523</v>
      </c>
      <c r="C162" s="34">
        <v>48</v>
      </c>
      <c r="D162" s="34">
        <v>7119</v>
      </c>
      <c r="E162" s="34">
        <v>53</v>
      </c>
      <c r="F162" s="34" t="s">
        <v>55</v>
      </c>
      <c r="G162" s="97">
        <v>0.15491868810240617</v>
      </c>
      <c r="H162" s="34">
        <f t="shared" si="7"/>
        <v>16</v>
      </c>
      <c r="I162" s="75">
        <f t="shared" si="8"/>
        <v>21</v>
      </c>
    </row>
    <row r="163" spans="1:9" x14ac:dyDescent="0.3">
      <c r="A163" s="34">
        <v>162</v>
      </c>
      <c r="B163" s="34">
        <v>730</v>
      </c>
      <c r="C163" s="34">
        <v>24</v>
      </c>
      <c r="D163" s="34">
        <v>1275</v>
      </c>
      <c r="E163" s="34">
        <v>36</v>
      </c>
      <c r="F163" s="34" t="s">
        <v>54</v>
      </c>
      <c r="G163" s="97">
        <v>0.1551510536941334</v>
      </c>
      <c r="H163" s="34">
        <f t="shared" si="7"/>
        <v>8</v>
      </c>
      <c r="I163" s="75">
        <f t="shared" si="8"/>
        <v>13</v>
      </c>
    </row>
    <row r="164" spans="1:9" x14ac:dyDescent="0.3">
      <c r="A164" s="34">
        <v>163</v>
      </c>
      <c r="B164" s="34">
        <v>303</v>
      </c>
      <c r="C164" s="34">
        <v>24</v>
      </c>
      <c r="D164" s="34">
        <v>1344</v>
      </c>
      <c r="E164" s="34">
        <v>37</v>
      </c>
      <c r="F164" s="34" t="s">
        <v>55</v>
      </c>
      <c r="G164" s="97">
        <v>0.15715475561998482</v>
      </c>
      <c r="H164" s="34">
        <f t="shared" si="7"/>
        <v>9</v>
      </c>
      <c r="I164" s="75">
        <f t="shared" si="8"/>
        <v>14</v>
      </c>
    </row>
    <row r="165" spans="1:9" x14ac:dyDescent="0.3">
      <c r="A165" s="34">
        <v>164</v>
      </c>
      <c r="B165" s="34">
        <v>696</v>
      </c>
      <c r="C165" s="34">
        <v>6</v>
      </c>
      <c r="D165" s="34">
        <v>1236</v>
      </c>
      <c r="E165" s="34">
        <v>50</v>
      </c>
      <c r="F165" s="34" t="s">
        <v>54</v>
      </c>
      <c r="G165" s="97">
        <v>0.15770040656452611</v>
      </c>
      <c r="H165" s="34">
        <f t="shared" si="7"/>
        <v>14</v>
      </c>
      <c r="I165" s="75">
        <f t="shared" si="8"/>
        <v>19</v>
      </c>
    </row>
    <row r="166" spans="1:9" x14ac:dyDescent="0.3">
      <c r="A166" s="34">
        <v>165</v>
      </c>
      <c r="B166" s="34">
        <v>26</v>
      </c>
      <c r="C166" s="34">
        <v>6</v>
      </c>
      <c r="D166" s="34">
        <v>1374</v>
      </c>
      <c r="E166" s="34">
        <v>36</v>
      </c>
      <c r="F166" s="34" t="s">
        <v>54</v>
      </c>
      <c r="G166" s="97">
        <v>0.15905145147511734</v>
      </c>
      <c r="H166" s="34">
        <f t="shared" si="7"/>
        <v>8</v>
      </c>
      <c r="I166" s="75">
        <f t="shared" si="8"/>
        <v>13</v>
      </c>
    </row>
    <row r="167" spans="1:9" x14ac:dyDescent="0.3">
      <c r="A167" s="34">
        <v>166</v>
      </c>
      <c r="B167" s="34">
        <v>659</v>
      </c>
      <c r="C167" s="34">
        <v>30</v>
      </c>
      <c r="D167" s="34">
        <v>4221</v>
      </c>
      <c r="E167" s="34">
        <v>28</v>
      </c>
      <c r="F167" s="34" t="s">
        <v>56</v>
      </c>
      <c r="G167" s="97">
        <v>0.15946526353841073</v>
      </c>
      <c r="H167" s="34">
        <f t="shared" si="7"/>
        <v>5</v>
      </c>
      <c r="I167" s="75">
        <f t="shared" si="8"/>
        <v>7</v>
      </c>
    </row>
    <row r="168" spans="1:9" x14ac:dyDescent="0.3">
      <c r="A168" s="34">
        <v>167</v>
      </c>
      <c r="B168" s="34">
        <v>170</v>
      </c>
      <c r="C168" s="34">
        <v>24</v>
      </c>
      <c r="D168" s="34">
        <v>1935</v>
      </c>
      <c r="E168" s="34">
        <v>31</v>
      </c>
      <c r="F168" s="34" t="s">
        <v>55</v>
      </c>
      <c r="G168" s="97">
        <v>0.16022378585502806</v>
      </c>
      <c r="H168" s="34">
        <f t="shared" si="7"/>
        <v>6</v>
      </c>
      <c r="I168" s="75">
        <f t="shared" si="8"/>
        <v>10</v>
      </c>
    </row>
    <row r="169" spans="1:9" x14ac:dyDescent="0.3">
      <c r="A169" s="34">
        <v>168</v>
      </c>
      <c r="B169" s="34">
        <v>872</v>
      </c>
      <c r="C169" s="34">
        <v>6</v>
      </c>
      <c r="D169" s="34">
        <v>1343</v>
      </c>
      <c r="E169" s="34">
        <v>46</v>
      </c>
      <c r="F169" s="34" t="s">
        <v>54</v>
      </c>
      <c r="G169" s="97">
        <v>0.16191107943130967</v>
      </c>
      <c r="H169" s="34">
        <f t="shared" si="7"/>
        <v>13</v>
      </c>
      <c r="I169" s="75">
        <f t="shared" si="8"/>
        <v>18</v>
      </c>
    </row>
    <row r="170" spans="1:9" x14ac:dyDescent="0.3">
      <c r="A170" s="34">
        <v>169</v>
      </c>
      <c r="B170" s="34">
        <v>347</v>
      </c>
      <c r="C170" s="34">
        <v>13</v>
      </c>
      <c r="D170" s="34">
        <v>882</v>
      </c>
      <c r="E170" s="34">
        <v>23</v>
      </c>
      <c r="F170" s="34" t="s">
        <v>54</v>
      </c>
      <c r="G170" s="97">
        <v>0.16236992473217327</v>
      </c>
      <c r="H170" s="34">
        <f t="shared" si="7"/>
        <v>2</v>
      </c>
      <c r="I170" s="75">
        <f t="shared" si="8"/>
        <v>2</v>
      </c>
    </row>
    <row r="171" spans="1:9" x14ac:dyDescent="0.3">
      <c r="A171" s="34">
        <v>170</v>
      </c>
      <c r="B171" s="34">
        <v>928</v>
      </c>
      <c r="C171" s="34">
        <v>48</v>
      </c>
      <c r="D171" s="34">
        <v>10297</v>
      </c>
      <c r="E171" s="34">
        <v>39</v>
      </c>
      <c r="F171" s="34" t="s">
        <v>55</v>
      </c>
      <c r="G171" s="97">
        <v>0.16258744667186564</v>
      </c>
      <c r="H171" s="34">
        <f t="shared" si="7"/>
        <v>9</v>
      </c>
      <c r="I171" s="75">
        <f t="shared" si="8"/>
        <v>14</v>
      </c>
    </row>
    <row r="172" spans="1:9" x14ac:dyDescent="0.3">
      <c r="A172" s="34">
        <v>171</v>
      </c>
      <c r="B172" s="34">
        <v>403</v>
      </c>
      <c r="C172" s="34">
        <v>24</v>
      </c>
      <c r="D172" s="34">
        <v>8648</v>
      </c>
      <c r="E172" s="34">
        <v>27</v>
      </c>
      <c r="F172" s="34" t="s">
        <v>55</v>
      </c>
      <c r="G172" s="97">
        <v>0.16262125887979051</v>
      </c>
      <c r="H172" s="34">
        <f t="shared" si="7"/>
        <v>4</v>
      </c>
      <c r="I172" s="75">
        <f t="shared" si="8"/>
        <v>6</v>
      </c>
    </row>
    <row r="173" spans="1:9" x14ac:dyDescent="0.3">
      <c r="A173" s="34">
        <v>172</v>
      </c>
      <c r="B173" s="34">
        <v>368</v>
      </c>
      <c r="C173" s="34">
        <v>18</v>
      </c>
      <c r="D173" s="34">
        <v>3650</v>
      </c>
      <c r="E173" s="34">
        <v>22</v>
      </c>
      <c r="F173" s="34" t="s">
        <v>56</v>
      </c>
      <c r="G173" s="97">
        <v>0.1644700322222018</v>
      </c>
      <c r="H173" s="34">
        <f t="shared" si="7"/>
        <v>2</v>
      </c>
      <c r="I173" s="75">
        <f t="shared" si="8"/>
        <v>2</v>
      </c>
    </row>
    <row r="174" spans="1:9" x14ac:dyDescent="0.3">
      <c r="A174" s="34">
        <v>173</v>
      </c>
      <c r="B174" s="34">
        <v>172</v>
      </c>
      <c r="C174" s="34">
        <v>12</v>
      </c>
      <c r="D174" s="34">
        <v>763</v>
      </c>
      <c r="E174" s="34">
        <v>26</v>
      </c>
      <c r="F174" s="34" t="s">
        <v>56</v>
      </c>
      <c r="G174" s="97">
        <v>0.16623086559398859</v>
      </c>
      <c r="H174" s="34">
        <f t="shared" si="7"/>
        <v>4</v>
      </c>
      <c r="I174" s="75">
        <f t="shared" si="8"/>
        <v>5</v>
      </c>
    </row>
    <row r="175" spans="1:9" x14ac:dyDescent="0.3">
      <c r="A175" s="34">
        <v>174</v>
      </c>
      <c r="B175" s="34">
        <v>300</v>
      </c>
      <c r="C175" s="34">
        <v>21</v>
      </c>
      <c r="D175" s="34">
        <v>2745</v>
      </c>
      <c r="E175" s="34">
        <v>32</v>
      </c>
      <c r="F175" s="34" t="s">
        <v>54</v>
      </c>
      <c r="G175" s="97">
        <v>0.16678532836304216</v>
      </c>
      <c r="H175" s="34">
        <f t="shared" si="7"/>
        <v>6</v>
      </c>
      <c r="I175" s="75">
        <f t="shared" si="8"/>
        <v>10</v>
      </c>
    </row>
    <row r="176" spans="1:9" x14ac:dyDescent="0.3">
      <c r="A176" s="34">
        <v>175</v>
      </c>
      <c r="B176" s="34">
        <v>882</v>
      </c>
      <c r="C176" s="34">
        <v>24</v>
      </c>
      <c r="D176" s="34">
        <v>9277</v>
      </c>
      <c r="E176" s="34">
        <v>48</v>
      </c>
      <c r="F176" s="34" t="s">
        <v>54</v>
      </c>
      <c r="G176" s="97">
        <v>0.16703275211133095</v>
      </c>
      <c r="H176" s="34">
        <f t="shared" si="7"/>
        <v>13</v>
      </c>
      <c r="I176" s="75">
        <f t="shared" si="8"/>
        <v>18</v>
      </c>
    </row>
    <row r="177" spans="1:9" x14ac:dyDescent="0.3">
      <c r="A177" s="34">
        <v>176</v>
      </c>
      <c r="B177" s="34">
        <v>396</v>
      </c>
      <c r="C177" s="34">
        <v>39</v>
      </c>
      <c r="D177" s="34">
        <v>11760</v>
      </c>
      <c r="E177" s="34">
        <v>32</v>
      </c>
      <c r="F177" s="34" t="s">
        <v>54</v>
      </c>
      <c r="G177" s="97">
        <v>0.16736110349996891</v>
      </c>
      <c r="H177" s="34">
        <f t="shared" si="7"/>
        <v>6</v>
      </c>
      <c r="I177" s="75">
        <f t="shared" si="8"/>
        <v>10</v>
      </c>
    </row>
    <row r="178" spans="1:9" x14ac:dyDescent="0.3">
      <c r="A178" s="34">
        <v>177</v>
      </c>
      <c r="B178" s="34">
        <v>171</v>
      </c>
      <c r="C178" s="34">
        <v>15</v>
      </c>
      <c r="D178" s="34">
        <v>950</v>
      </c>
      <c r="E178" s="34">
        <v>33</v>
      </c>
      <c r="F178" s="34" t="s">
        <v>55</v>
      </c>
      <c r="G178" s="97">
        <v>0.16757099215162763</v>
      </c>
      <c r="H178" s="34">
        <f t="shared" si="7"/>
        <v>7</v>
      </c>
      <c r="I178" s="75">
        <f t="shared" si="8"/>
        <v>11</v>
      </c>
    </row>
    <row r="179" spans="1:9" x14ac:dyDescent="0.3">
      <c r="A179" s="34">
        <v>178</v>
      </c>
      <c r="B179" s="34">
        <v>841</v>
      </c>
      <c r="C179" s="34">
        <v>36</v>
      </c>
      <c r="D179" s="34">
        <v>5179</v>
      </c>
      <c r="E179" s="34">
        <v>29</v>
      </c>
      <c r="F179" s="34" t="s">
        <v>55</v>
      </c>
      <c r="G179" s="97">
        <v>0.16905414902514515</v>
      </c>
      <c r="H179" s="34">
        <f t="shared" si="7"/>
        <v>5</v>
      </c>
      <c r="I179" s="75">
        <f t="shared" si="8"/>
        <v>8</v>
      </c>
    </row>
    <row r="180" spans="1:9" x14ac:dyDescent="0.3">
      <c r="A180" s="34">
        <v>179</v>
      </c>
      <c r="B180" s="34">
        <v>330</v>
      </c>
      <c r="C180" s="34">
        <v>6</v>
      </c>
      <c r="D180" s="34">
        <v>1068</v>
      </c>
      <c r="E180" s="34">
        <v>28</v>
      </c>
      <c r="F180" s="34" t="s">
        <v>54</v>
      </c>
      <c r="G180" s="97">
        <v>0.1705086003177525</v>
      </c>
      <c r="H180" s="34">
        <f t="shared" si="7"/>
        <v>5</v>
      </c>
      <c r="I180" s="75">
        <f t="shared" si="8"/>
        <v>7</v>
      </c>
    </row>
    <row r="181" spans="1:9" x14ac:dyDescent="0.3">
      <c r="A181" s="34">
        <v>180</v>
      </c>
      <c r="B181" s="34">
        <v>704</v>
      </c>
      <c r="C181" s="34">
        <v>30</v>
      </c>
      <c r="D181" s="34">
        <v>2503</v>
      </c>
      <c r="E181" s="34">
        <v>41</v>
      </c>
      <c r="F181" s="34" t="s">
        <v>54</v>
      </c>
      <c r="G181" s="97">
        <v>0.17080245184974985</v>
      </c>
      <c r="H181" s="34">
        <f t="shared" si="7"/>
        <v>10</v>
      </c>
      <c r="I181" s="75">
        <f t="shared" si="8"/>
        <v>15</v>
      </c>
    </row>
    <row r="182" spans="1:9" x14ac:dyDescent="0.3">
      <c r="A182" s="34">
        <v>181</v>
      </c>
      <c r="B182" s="34">
        <v>627</v>
      </c>
      <c r="C182" s="34">
        <v>6</v>
      </c>
      <c r="D182" s="34">
        <v>2116</v>
      </c>
      <c r="E182" s="34">
        <v>41</v>
      </c>
      <c r="F182" s="34" t="s">
        <v>54</v>
      </c>
      <c r="G182" s="97">
        <v>0.17132905270016363</v>
      </c>
      <c r="H182" s="34">
        <f t="shared" si="7"/>
        <v>10</v>
      </c>
      <c r="I182" s="75">
        <f t="shared" si="8"/>
        <v>15</v>
      </c>
    </row>
    <row r="183" spans="1:9" x14ac:dyDescent="0.3">
      <c r="A183" s="34">
        <v>182</v>
      </c>
      <c r="B183" s="34">
        <v>428</v>
      </c>
      <c r="C183" s="34">
        <v>18</v>
      </c>
      <c r="D183" s="34">
        <v>1149</v>
      </c>
      <c r="E183" s="34">
        <v>46</v>
      </c>
      <c r="F183" s="34" t="s">
        <v>54</v>
      </c>
      <c r="G183" s="97">
        <v>0.17580831426656329</v>
      </c>
      <c r="H183" s="34">
        <f t="shared" si="7"/>
        <v>13</v>
      </c>
      <c r="I183" s="75">
        <f t="shared" si="8"/>
        <v>18</v>
      </c>
    </row>
    <row r="184" spans="1:9" x14ac:dyDescent="0.3">
      <c r="A184" s="34">
        <v>183</v>
      </c>
      <c r="B184" s="34">
        <v>874</v>
      </c>
      <c r="C184" s="34">
        <v>15</v>
      </c>
      <c r="D184" s="34">
        <v>874</v>
      </c>
      <c r="E184" s="34">
        <v>24</v>
      </c>
      <c r="F184" s="34" t="s">
        <v>56</v>
      </c>
      <c r="G184" s="97">
        <v>0.17744774283311293</v>
      </c>
      <c r="H184" s="34">
        <f t="shared" si="7"/>
        <v>3</v>
      </c>
      <c r="I184" s="75">
        <f t="shared" si="8"/>
        <v>3</v>
      </c>
    </row>
    <row r="185" spans="1:9" x14ac:dyDescent="0.3">
      <c r="A185" s="34">
        <v>184</v>
      </c>
      <c r="B185" s="34">
        <v>145</v>
      </c>
      <c r="C185" s="34">
        <v>21</v>
      </c>
      <c r="D185" s="34">
        <v>2288</v>
      </c>
      <c r="E185" s="34">
        <v>23</v>
      </c>
      <c r="F185" s="34" t="s">
        <v>56</v>
      </c>
      <c r="G185" s="97">
        <v>0.17839213209664651</v>
      </c>
      <c r="H185" s="34">
        <f t="shared" si="7"/>
        <v>2</v>
      </c>
      <c r="I185" s="75">
        <f t="shared" si="8"/>
        <v>2</v>
      </c>
    </row>
    <row r="186" spans="1:9" x14ac:dyDescent="0.3">
      <c r="A186" s="34">
        <v>185</v>
      </c>
      <c r="B186" s="34">
        <v>519</v>
      </c>
      <c r="C186" s="34">
        <v>6</v>
      </c>
      <c r="D186" s="34">
        <v>1203</v>
      </c>
      <c r="E186" s="34">
        <v>43</v>
      </c>
      <c r="F186" s="34" t="s">
        <v>54</v>
      </c>
      <c r="G186" s="97">
        <v>0.17882750078997489</v>
      </c>
      <c r="H186" s="34">
        <f t="shared" si="7"/>
        <v>11</v>
      </c>
      <c r="I186" s="75">
        <f t="shared" si="8"/>
        <v>16</v>
      </c>
    </row>
    <row r="187" spans="1:9" x14ac:dyDescent="0.3">
      <c r="A187" s="34">
        <v>186</v>
      </c>
      <c r="B187" s="34">
        <v>531</v>
      </c>
      <c r="C187" s="34">
        <v>36</v>
      </c>
      <c r="D187" s="34">
        <v>2273</v>
      </c>
      <c r="E187" s="34">
        <v>32</v>
      </c>
      <c r="F187" s="34" t="s">
        <v>54</v>
      </c>
      <c r="G187" s="97">
        <v>0.17956474939288314</v>
      </c>
      <c r="H187" s="34">
        <f t="shared" si="7"/>
        <v>6</v>
      </c>
      <c r="I187" s="75">
        <f t="shared" si="8"/>
        <v>10</v>
      </c>
    </row>
    <row r="188" spans="1:9" x14ac:dyDescent="0.3">
      <c r="A188" s="34">
        <v>187</v>
      </c>
      <c r="B188" s="34">
        <v>579</v>
      </c>
      <c r="C188" s="34">
        <v>36</v>
      </c>
      <c r="D188" s="34">
        <v>2820</v>
      </c>
      <c r="E188" s="34">
        <v>27</v>
      </c>
      <c r="F188" s="34" t="s">
        <v>55</v>
      </c>
      <c r="G188" s="97">
        <v>0.18023547858248978</v>
      </c>
      <c r="H188" s="34">
        <f t="shared" si="7"/>
        <v>4</v>
      </c>
      <c r="I188" s="75">
        <f t="shared" si="8"/>
        <v>6</v>
      </c>
    </row>
    <row r="189" spans="1:9" x14ac:dyDescent="0.3">
      <c r="A189" s="34">
        <v>188</v>
      </c>
      <c r="B189" s="34">
        <v>932</v>
      </c>
      <c r="C189" s="34">
        <v>9</v>
      </c>
      <c r="D189" s="34">
        <v>1670</v>
      </c>
      <c r="E189" s="34">
        <v>22</v>
      </c>
      <c r="F189" s="34" t="s">
        <v>57</v>
      </c>
      <c r="G189" s="97">
        <v>0.18042402843169114</v>
      </c>
      <c r="H189" s="34">
        <f t="shared" si="7"/>
        <v>2</v>
      </c>
      <c r="I189" s="75">
        <f t="shared" si="8"/>
        <v>2</v>
      </c>
    </row>
    <row r="190" spans="1:9" x14ac:dyDescent="0.3">
      <c r="A190" s="34">
        <v>189</v>
      </c>
      <c r="B190" s="34">
        <v>861</v>
      </c>
      <c r="C190" s="34">
        <v>24</v>
      </c>
      <c r="D190" s="34">
        <v>5804</v>
      </c>
      <c r="E190" s="34">
        <v>27</v>
      </c>
      <c r="F190" s="34" t="s">
        <v>54</v>
      </c>
      <c r="G190" s="97">
        <v>0.18104716396380749</v>
      </c>
      <c r="H190" s="34">
        <f t="shared" si="7"/>
        <v>4</v>
      </c>
      <c r="I190" s="75">
        <f t="shared" si="8"/>
        <v>6</v>
      </c>
    </row>
    <row r="191" spans="1:9" x14ac:dyDescent="0.3">
      <c r="A191" s="34">
        <v>190</v>
      </c>
      <c r="B191" s="34">
        <v>604</v>
      </c>
      <c r="C191" s="34">
        <v>36</v>
      </c>
      <c r="D191" s="34">
        <v>3349</v>
      </c>
      <c r="E191" s="34">
        <v>28</v>
      </c>
      <c r="F191" s="34" t="s">
        <v>57</v>
      </c>
      <c r="G191" s="97">
        <v>0.18245730786637659</v>
      </c>
      <c r="H191" s="34">
        <f t="shared" si="7"/>
        <v>5</v>
      </c>
      <c r="I191" s="75">
        <f t="shared" si="8"/>
        <v>7</v>
      </c>
    </row>
    <row r="192" spans="1:9" x14ac:dyDescent="0.3">
      <c r="A192" s="34">
        <v>191</v>
      </c>
      <c r="B192" s="34">
        <v>80</v>
      </c>
      <c r="C192" s="34">
        <v>30</v>
      </c>
      <c r="D192" s="34">
        <v>3832</v>
      </c>
      <c r="E192" s="34">
        <v>22</v>
      </c>
      <c r="F192" s="34" t="s">
        <v>54</v>
      </c>
      <c r="G192" s="97">
        <v>0.18381544638834579</v>
      </c>
      <c r="H192" s="34">
        <f t="shared" si="7"/>
        <v>2</v>
      </c>
      <c r="I192" s="75">
        <f t="shared" si="8"/>
        <v>2</v>
      </c>
    </row>
    <row r="193" spans="1:9" x14ac:dyDescent="0.3">
      <c r="A193" s="34">
        <v>192</v>
      </c>
      <c r="B193" s="34">
        <v>676</v>
      </c>
      <c r="C193" s="34">
        <v>30</v>
      </c>
      <c r="D193" s="34">
        <v>4530</v>
      </c>
      <c r="E193" s="34">
        <v>26</v>
      </c>
      <c r="F193" s="34" t="s">
        <v>56</v>
      </c>
      <c r="G193" s="97">
        <v>0.18419045179011961</v>
      </c>
      <c r="H193" s="34">
        <f t="shared" si="7"/>
        <v>4</v>
      </c>
      <c r="I193" s="75">
        <f t="shared" si="8"/>
        <v>5</v>
      </c>
    </row>
    <row r="194" spans="1:9" x14ac:dyDescent="0.3">
      <c r="A194" s="34">
        <v>193</v>
      </c>
      <c r="B194" s="34">
        <v>864</v>
      </c>
      <c r="C194" s="34">
        <v>27</v>
      </c>
      <c r="D194" s="34">
        <v>4526</v>
      </c>
      <c r="E194" s="34">
        <v>32</v>
      </c>
      <c r="F194" s="34" t="s">
        <v>54</v>
      </c>
      <c r="G194" s="97">
        <v>0.18817720575295216</v>
      </c>
      <c r="H194" s="34">
        <f t="shared" ref="H194:H257" si="9">MATCH(E194,$O$3:$O$27,1)</f>
        <v>6</v>
      </c>
      <c r="I194" s="75">
        <f t="shared" ref="I194:I257" si="10">MATCH(E194,$U$3:$U$28,1)</f>
        <v>10</v>
      </c>
    </row>
    <row r="195" spans="1:9" x14ac:dyDescent="0.3">
      <c r="A195" s="34">
        <v>194</v>
      </c>
      <c r="B195" s="34">
        <v>758</v>
      </c>
      <c r="C195" s="34">
        <v>15</v>
      </c>
      <c r="D195" s="34">
        <v>1271</v>
      </c>
      <c r="E195" s="34">
        <v>39</v>
      </c>
      <c r="F195" s="34" t="s">
        <v>55</v>
      </c>
      <c r="G195" s="97">
        <v>0.18930972225762577</v>
      </c>
      <c r="H195" s="34">
        <f t="shared" si="9"/>
        <v>9</v>
      </c>
      <c r="I195" s="75">
        <f t="shared" si="10"/>
        <v>14</v>
      </c>
    </row>
    <row r="196" spans="1:9" x14ac:dyDescent="0.3">
      <c r="A196" s="34">
        <v>195</v>
      </c>
      <c r="B196" s="34">
        <v>369</v>
      </c>
      <c r="C196" s="34">
        <v>36</v>
      </c>
      <c r="D196" s="34">
        <v>3446</v>
      </c>
      <c r="E196" s="34">
        <v>42</v>
      </c>
      <c r="F196" s="34" t="s">
        <v>55</v>
      </c>
      <c r="G196" s="97">
        <v>0.19017789593136569</v>
      </c>
      <c r="H196" s="34">
        <f t="shared" si="9"/>
        <v>11</v>
      </c>
      <c r="I196" s="75">
        <f t="shared" si="10"/>
        <v>16</v>
      </c>
    </row>
    <row r="197" spans="1:9" x14ac:dyDescent="0.3">
      <c r="A197" s="34">
        <v>196</v>
      </c>
      <c r="B197" s="34">
        <v>200</v>
      </c>
      <c r="C197" s="34">
        <v>18</v>
      </c>
      <c r="D197" s="34">
        <v>4297</v>
      </c>
      <c r="E197" s="34">
        <v>40</v>
      </c>
      <c r="F197" s="34" t="s">
        <v>55</v>
      </c>
      <c r="G197" s="97">
        <v>0.19078011676225082</v>
      </c>
      <c r="H197" s="34">
        <f t="shared" si="9"/>
        <v>10</v>
      </c>
      <c r="I197" s="75">
        <f t="shared" si="10"/>
        <v>15</v>
      </c>
    </row>
    <row r="198" spans="1:9" x14ac:dyDescent="0.3">
      <c r="A198" s="34">
        <v>197</v>
      </c>
      <c r="B198" s="34">
        <v>240</v>
      </c>
      <c r="C198" s="34">
        <v>30</v>
      </c>
      <c r="D198" s="34">
        <v>2522</v>
      </c>
      <c r="E198" s="34">
        <v>39</v>
      </c>
      <c r="F198" s="34" t="s">
        <v>54</v>
      </c>
      <c r="G198" s="97">
        <v>0.19277764070461256</v>
      </c>
      <c r="H198" s="34">
        <f t="shared" si="9"/>
        <v>9</v>
      </c>
      <c r="I198" s="75">
        <f t="shared" si="10"/>
        <v>14</v>
      </c>
    </row>
    <row r="199" spans="1:9" x14ac:dyDescent="0.3">
      <c r="A199" s="34">
        <v>198</v>
      </c>
      <c r="B199" s="34">
        <v>822</v>
      </c>
      <c r="C199" s="34">
        <v>12</v>
      </c>
      <c r="D199" s="34">
        <v>3016</v>
      </c>
      <c r="E199" s="34">
        <v>24</v>
      </c>
      <c r="F199" s="34" t="s">
        <v>54</v>
      </c>
      <c r="G199" s="97">
        <v>0.19392188566878266</v>
      </c>
      <c r="H199" s="34">
        <f t="shared" si="9"/>
        <v>3</v>
      </c>
      <c r="I199" s="75">
        <f t="shared" si="10"/>
        <v>3</v>
      </c>
    </row>
    <row r="200" spans="1:9" x14ac:dyDescent="0.3">
      <c r="A200" s="34">
        <v>199</v>
      </c>
      <c r="B200" s="34">
        <v>295</v>
      </c>
      <c r="C200" s="34">
        <v>48</v>
      </c>
      <c r="D200" s="34">
        <v>7629</v>
      </c>
      <c r="E200" s="34">
        <v>46</v>
      </c>
      <c r="F200" s="34" t="s">
        <v>54</v>
      </c>
      <c r="G200" s="97">
        <v>0.1940212086298716</v>
      </c>
      <c r="H200" s="34">
        <f t="shared" si="9"/>
        <v>13</v>
      </c>
      <c r="I200" s="75">
        <f t="shared" si="10"/>
        <v>18</v>
      </c>
    </row>
    <row r="201" spans="1:9" x14ac:dyDescent="0.3">
      <c r="A201" s="34">
        <v>200</v>
      </c>
      <c r="B201" s="34">
        <v>751</v>
      </c>
      <c r="C201" s="34">
        <v>6</v>
      </c>
      <c r="D201" s="34">
        <v>428</v>
      </c>
      <c r="E201" s="34">
        <v>49</v>
      </c>
      <c r="F201" s="34" t="s">
        <v>56</v>
      </c>
      <c r="G201" s="97">
        <v>0.19470634481055848</v>
      </c>
      <c r="H201" s="34">
        <f t="shared" si="9"/>
        <v>14</v>
      </c>
      <c r="I201" s="75">
        <f t="shared" si="10"/>
        <v>19</v>
      </c>
    </row>
    <row r="202" spans="1:9" x14ac:dyDescent="0.3">
      <c r="A202" s="34">
        <v>201</v>
      </c>
      <c r="B202" s="34">
        <v>296</v>
      </c>
      <c r="C202" s="34">
        <v>48</v>
      </c>
      <c r="D202" s="34">
        <v>9960</v>
      </c>
      <c r="E202" s="34">
        <v>26</v>
      </c>
      <c r="F202" s="34" t="s">
        <v>57</v>
      </c>
      <c r="G202" s="97">
        <v>0.19551294689609966</v>
      </c>
      <c r="H202" s="34">
        <f t="shared" si="9"/>
        <v>4</v>
      </c>
      <c r="I202" s="75">
        <f t="shared" si="10"/>
        <v>5</v>
      </c>
    </row>
    <row r="203" spans="1:9" x14ac:dyDescent="0.3">
      <c r="A203" s="34">
        <v>202</v>
      </c>
      <c r="B203" s="34">
        <v>728</v>
      </c>
      <c r="C203" s="34">
        <v>18</v>
      </c>
      <c r="D203" s="34">
        <v>1882</v>
      </c>
      <c r="E203" s="34">
        <v>25</v>
      </c>
      <c r="F203" s="34" t="s">
        <v>57</v>
      </c>
      <c r="G203" s="97">
        <v>0.19936880059059681</v>
      </c>
      <c r="H203" s="34">
        <f t="shared" si="9"/>
        <v>3</v>
      </c>
      <c r="I203" s="75">
        <f t="shared" si="10"/>
        <v>4</v>
      </c>
    </row>
    <row r="204" spans="1:9" x14ac:dyDescent="0.3">
      <c r="A204" s="34">
        <v>203</v>
      </c>
      <c r="B204" s="34">
        <v>878</v>
      </c>
      <c r="C204" s="34">
        <v>36</v>
      </c>
      <c r="D204" s="34">
        <v>3595</v>
      </c>
      <c r="E204" s="34">
        <v>28</v>
      </c>
      <c r="F204" s="34" t="s">
        <v>54</v>
      </c>
      <c r="G204" s="97">
        <v>0.20291679390979722</v>
      </c>
      <c r="H204" s="34">
        <f t="shared" si="9"/>
        <v>5</v>
      </c>
      <c r="I204" s="75">
        <f t="shared" si="10"/>
        <v>7</v>
      </c>
    </row>
    <row r="205" spans="1:9" x14ac:dyDescent="0.3">
      <c r="A205" s="34">
        <v>204</v>
      </c>
      <c r="B205" s="34">
        <v>804</v>
      </c>
      <c r="C205" s="34">
        <v>12</v>
      </c>
      <c r="D205" s="34">
        <v>976</v>
      </c>
      <c r="E205" s="34">
        <v>35</v>
      </c>
      <c r="F205" s="34" t="s">
        <v>54</v>
      </c>
      <c r="G205" s="97">
        <v>0.20364749918411018</v>
      </c>
      <c r="H205" s="34">
        <f t="shared" si="9"/>
        <v>8</v>
      </c>
      <c r="I205" s="75">
        <f t="shared" si="10"/>
        <v>12</v>
      </c>
    </row>
    <row r="206" spans="1:9" x14ac:dyDescent="0.3">
      <c r="A206" s="34">
        <v>205</v>
      </c>
      <c r="B206" s="34">
        <v>207</v>
      </c>
      <c r="C206" s="34">
        <v>12</v>
      </c>
      <c r="D206" s="34">
        <v>1935</v>
      </c>
      <c r="E206" s="34">
        <v>43</v>
      </c>
      <c r="F206" s="34" t="s">
        <v>54</v>
      </c>
      <c r="G206" s="97">
        <v>0.20445868085606633</v>
      </c>
      <c r="H206" s="34">
        <f t="shared" si="9"/>
        <v>11</v>
      </c>
      <c r="I206" s="75">
        <f t="shared" si="10"/>
        <v>16</v>
      </c>
    </row>
    <row r="207" spans="1:9" x14ac:dyDescent="0.3">
      <c r="A207" s="34">
        <v>206</v>
      </c>
      <c r="B207" s="34">
        <v>515</v>
      </c>
      <c r="C207" s="34">
        <v>24</v>
      </c>
      <c r="D207" s="34">
        <v>2255</v>
      </c>
      <c r="E207" s="34">
        <v>54</v>
      </c>
      <c r="F207" s="34" t="s">
        <v>54</v>
      </c>
      <c r="G207" s="97">
        <v>0.20460685021398528</v>
      </c>
      <c r="H207" s="34">
        <f t="shared" si="9"/>
        <v>16</v>
      </c>
      <c r="I207" s="75">
        <f t="shared" si="10"/>
        <v>21</v>
      </c>
    </row>
    <row r="208" spans="1:9" x14ac:dyDescent="0.3">
      <c r="A208" s="34">
        <v>207</v>
      </c>
      <c r="B208" s="34">
        <v>599</v>
      </c>
      <c r="C208" s="34">
        <v>18</v>
      </c>
      <c r="D208" s="34">
        <v>2775</v>
      </c>
      <c r="E208" s="34">
        <v>31</v>
      </c>
      <c r="F208" s="34" t="s">
        <v>55</v>
      </c>
      <c r="G208" s="97">
        <v>0.20494614300394598</v>
      </c>
      <c r="H208" s="34">
        <f t="shared" si="9"/>
        <v>6</v>
      </c>
      <c r="I208" s="75">
        <f t="shared" si="10"/>
        <v>10</v>
      </c>
    </row>
    <row r="209" spans="1:9" x14ac:dyDescent="0.3">
      <c r="A209" s="34">
        <v>208</v>
      </c>
      <c r="B209" s="34">
        <v>805</v>
      </c>
      <c r="C209" s="34">
        <v>12</v>
      </c>
      <c r="D209" s="34">
        <v>7472</v>
      </c>
      <c r="E209" s="34">
        <v>24</v>
      </c>
      <c r="F209" s="34" t="s">
        <v>56</v>
      </c>
      <c r="G209" s="97">
        <v>0.20536542934410862</v>
      </c>
      <c r="H209" s="34">
        <f t="shared" si="9"/>
        <v>3</v>
      </c>
      <c r="I209" s="75">
        <f t="shared" si="10"/>
        <v>3</v>
      </c>
    </row>
    <row r="210" spans="1:9" x14ac:dyDescent="0.3">
      <c r="A210" s="34">
        <v>209</v>
      </c>
      <c r="B210" s="34">
        <v>950</v>
      </c>
      <c r="C210" s="34">
        <v>24</v>
      </c>
      <c r="D210" s="34">
        <v>3621</v>
      </c>
      <c r="E210" s="34">
        <v>31</v>
      </c>
      <c r="F210" s="34" t="s">
        <v>55</v>
      </c>
      <c r="G210" s="97">
        <v>0.20617500466493288</v>
      </c>
      <c r="H210" s="34">
        <f t="shared" si="9"/>
        <v>6</v>
      </c>
      <c r="I210" s="75">
        <f t="shared" si="10"/>
        <v>10</v>
      </c>
    </row>
    <row r="211" spans="1:9" x14ac:dyDescent="0.3">
      <c r="A211" s="34">
        <v>210</v>
      </c>
      <c r="B211" s="34">
        <v>22</v>
      </c>
      <c r="C211" s="34">
        <v>6</v>
      </c>
      <c r="D211" s="34">
        <v>2647</v>
      </c>
      <c r="E211" s="34">
        <v>44</v>
      </c>
      <c r="F211" s="34" t="s">
        <v>54</v>
      </c>
      <c r="G211" s="97">
        <v>0.20631895556769941</v>
      </c>
      <c r="H211" s="34">
        <f t="shared" si="9"/>
        <v>12</v>
      </c>
      <c r="I211" s="75">
        <f t="shared" si="10"/>
        <v>17</v>
      </c>
    </row>
    <row r="212" spans="1:9" x14ac:dyDescent="0.3">
      <c r="A212" s="34">
        <v>211</v>
      </c>
      <c r="B212" s="34">
        <v>184</v>
      </c>
      <c r="C212" s="34">
        <v>24</v>
      </c>
      <c r="D212" s="34">
        <v>3777</v>
      </c>
      <c r="E212" s="34">
        <v>50</v>
      </c>
      <c r="F212" s="34" t="s">
        <v>54</v>
      </c>
      <c r="G212" s="97">
        <v>0.21002479392922913</v>
      </c>
      <c r="H212" s="34">
        <f t="shared" si="9"/>
        <v>14</v>
      </c>
      <c r="I212" s="75">
        <f t="shared" si="10"/>
        <v>19</v>
      </c>
    </row>
    <row r="213" spans="1:9" x14ac:dyDescent="0.3">
      <c r="A213" s="34">
        <v>212</v>
      </c>
      <c r="B213" s="34">
        <v>333</v>
      </c>
      <c r="C213" s="34">
        <v>60</v>
      </c>
      <c r="D213" s="34">
        <v>7408</v>
      </c>
      <c r="E213" s="34">
        <v>24</v>
      </c>
      <c r="F213" s="34" t="s">
        <v>57</v>
      </c>
      <c r="G213" s="97">
        <v>0.2106727735576891</v>
      </c>
      <c r="H213" s="34">
        <f t="shared" si="9"/>
        <v>3</v>
      </c>
      <c r="I213" s="75">
        <f t="shared" si="10"/>
        <v>3</v>
      </c>
    </row>
    <row r="214" spans="1:9" x14ac:dyDescent="0.3">
      <c r="A214" s="34">
        <v>213</v>
      </c>
      <c r="B214" s="34">
        <v>185</v>
      </c>
      <c r="C214" s="34">
        <v>18</v>
      </c>
      <c r="D214" s="34">
        <v>884</v>
      </c>
      <c r="E214" s="34">
        <v>36</v>
      </c>
      <c r="F214" s="34" t="s">
        <v>55</v>
      </c>
      <c r="G214" s="97">
        <v>0.21394591596404056</v>
      </c>
      <c r="H214" s="34">
        <f t="shared" si="9"/>
        <v>8</v>
      </c>
      <c r="I214" s="75">
        <f t="shared" si="10"/>
        <v>13</v>
      </c>
    </row>
    <row r="215" spans="1:9" x14ac:dyDescent="0.3">
      <c r="A215" s="34">
        <v>214</v>
      </c>
      <c r="B215" s="34">
        <v>854</v>
      </c>
      <c r="C215" s="34">
        <v>18</v>
      </c>
      <c r="D215" s="34">
        <v>1442</v>
      </c>
      <c r="E215" s="34">
        <v>32</v>
      </c>
      <c r="F215" s="34" t="s">
        <v>55</v>
      </c>
      <c r="G215" s="97">
        <v>0.21414847544151427</v>
      </c>
      <c r="H215" s="34">
        <f t="shared" si="9"/>
        <v>6</v>
      </c>
      <c r="I215" s="75">
        <f t="shared" si="10"/>
        <v>10</v>
      </c>
    </row>
    <row r="216" spans="1:9" x14ac:dyDescent="0.3">
      <c r="A216" s="34">
        <v>215</v>
      </c>
      <c r="B216" s="34">
        <v>945</v>
      </c>
      <c r="C216" s="34">
        <v>15</v>
      </c>
      <c r="D216" s="34">
        <v>1845</v>
      </c>
      <c r="E216" s="34">
        <v>46</v>
      </c>
      <c r="F216" s="34" t="s">
        <v>56</v>
      </c>
      <c r="G216" s="97">
        <v>0.21431281264513202</v>
      </c>
      <c r="H216" s="34">
        <f t="shared" si="9"/>
        <v>13</v>
      </c>
      <c r="I216" s="75">
        <f t="shared" si="10"/>
        <v>18</v>
      </c>
    </row>
    <row r="217" spans="1:9" x14ac:dyDescent="0.3">
      <c r="A217" s="34">
        <v>216</v>
      </c>
      <c r="B217" s="34">
        <v>890</v>
      </c>
      <c r="C217" s="34">
        <v>28</v>
      </c>
      <c r="D217" s="34">
        <v>7824</v>
      </c>
      <c r="E217" s="34">
        <v>40</v>
      </c>
      <c r="F217" s="34" t="s">
        <v>54</v>
      </c>
      <c r="G217" s="97">
        <v>0.21818726363935004</v>
      </c>
      <c r="H217" s="34">
        <f t="shared" si="9"/>
        <v>10</v>
      </c>
      <c r="I217" s="75">
        <f t="shared" si="10"/>
        <v>15</v>
      </c>
    </row>
    <row r="218" spans="1:9" x14ac:dyDescent="0.3">
      <c r="A218" s="34">
        <v>217</v>
      </c>
      <c r="B218" s="34">
        <v>552</v>
      </c>
      <c r="C218" s="34">
        <v>6</v>
      </c>
      <c r="D218" s="34">
        <v>1750</v>
      </c>
      <c r="E218" s="34">
        <v>45</v>
      </c>
      <c r="F218" s="34" t="s">
        <v>54</v>
      </c>
      <c r="G218" s="97">
        <v>0.21926561668994615</v>
      </c>
      <c r="H218" s="34">
        <f t="shared" si="9"/>
        <v>12</v>
      </c>
      <c r="I218" s="75">
        <f t="shared" si="10"/>
        <v>17</v>
      </c>
    </row>
    <row r="219" spans="1:9" x14ac:dyDescent="0.3">
      <c r="A219" s="34">
        <v>218</v>
      </c>
      <c r="B219" s="34">
        <v>520</v>
      </c>
      <c r="C219" s="34">
        <v>6</v>
      </c>
      <c r="D219" s="34">
        <v>700</v>
      </c>
      <c r="E219" s="34">
        <v>36</v>
      </c>
      <c r="F219" s="34" t="s">
        <v>54</v>
      </c>
      <c r="G219" s="97">
        <v>0.21994870474242301</v>
      </c>
      <c r="H219" s="34">
        <f t="shared" si="9"/>
        <v>8</v>
      </c>
      <c r="I219" s="75">
        <f t="shared" si="10"/>
        <v>13</v>
      </c>
    </row>
    <row r="220" spans="1:9" x14ac:dyDescent="0.3">
      <c r="A220" s="34">
        <v>219</v>
      </c>
      <c r="B220" s="34">
        <v>842</v>
      </c>
      <c r="C220" s="34">
        <v>21</v>
      </c>
      <c r="D220" s="34">
        <v>2993</v>
      </c>
      <c r="E220" s="34">
        <v>28</v>
      </c>
      <c r="F220" s="34" t="s">
        <v>54</v>
      </c>
      <c r="G220" s="97">
        <v>0.22004293544856057</v>
      </c>
      <c r="H220" s="34">
        <f t="shared" si="9"/>
        <v>5</v>
      </c>
      <c r="I220" s="75">
        <f t="shared" si="10"/>
        <v>7</v>
      </c>
    </row>
    <row r="221" spans="1:9" x14ac:dyDescent="0.3">
      <c r="A221" s="34">
        <v>220</v>
      </c>
      <c r="B221" s="34">
        <v>282</v>
      </c>
      <c r="C221" s="34">
        <v>12</v>
      </c>
      <c r="D221" s="34">
        <v>1574</v>
      </c>
      <c r="E221" s="34">
        <v>50</v>
      </c>
      <c r="F221" s="34" t="s">
        <v>54</v>
      </c>
      <c r="G221" s="97">
        <v>0.22411751360220633</v>
      </c>
      <c r="H221" s="34">
        <f t="shared" si="9"/>
        <v>14</v>
      </c>
      <c r="I221" s="75">
        <f t="shared" si="10"/>
        <v>19</v>
      </c>
    </row>
    <row r="222" spans="1:9" x14ac:dyDescent="0.3">
      <c r="A222" s="34">
        <v>221</v>
      </c>
      <c r="B222" s="34">
        <v>680</v>
      </c>
      <c r="C222" s="34">
        <v>18</v>
      </c>
      <c r="D222" s="34">
        <v>1453</v>
      </c>
      <c r="E222" s="34">
        <v>26</v>
      </c>
      <c r="F222" s="34" t="s">
        <v>56</v>
      </c>
      <c r="G222" s="97">
        <v>0.22439897909137785</v>
      </c>
      <c r="H222" s="34">
        <f t="shared" si="9"/>
        <v>4</v>
      </c>
      <c r="I222" s="75">
        <f t="shared" si="10"/>
        <v>5</v>
      </c>
    </row>
    <row r="223" spans="1:9" x14ac:dyDescent="0.3">
      <c r="A223" s="34">
        <v>222</v>
      </c>
      <c r="B223" s="34">
        <v>348</v>
      </c>
      <c r="C223" s="34">
        <v>24</v>
      </c>
      <c r="D223" s="34">
        <v>3758</v>
      </c>
      <c r="E223" s="34">
        <v>23</v>
      </c>
      <c r="F223" s="34" t="s">
        <v>56</v>
      </c>
      <c r="G223" s="97">
        <v>0.22532943138341788</v>
      </c>
      <c r="H223" s="34">
        <f t="shared" si="9"/>
        <v>2</v>
      </c>
      <c r="I223" s="75">
        <f t="shared" si="10"/>
        <v>2</v>
      </c>
    </row>
    <row r="224" spans="1:9" x14ac:dyDescent="0.3">
      <c r="A224" s="34">
        <v>223</v>
      </c>
      <c r="B224" s="34">
        <v>752</v>
      </c>
      <c r="C224" s="34">
        <v>18</v>
      </c>
      <c r="D224" s="34">
        <v>976</v>
      </c>
      <c r="E224" s="34">
        <v>23</v>
      </c>
      <c r="F224" s="34" t="s">
        <v>57</v>
      </c>
      <c r="G224" s="97">
        <v>0.22678916588817155</v>
      </c>
      <c r="H224" s="34">
        <f t="shared" si="9"/>
        <v>2</v>
      </c>
      <c r="I224" s="75">
        <f t="shared" si="10"/>
        <v>2</v>
      </c>
    </row>
    <row r="225" spans="1:9" x14ac:dyDescent="0.3">
      <c r="A225" s="34">
        <v>224</v>
      </c>
      <c r="B225" s="34">
        <v>746</v>
      </c>
      <c r="C225" s="34">
        <v>13</v>
      </c>
      <c r="D225" s="34">
        <v>1797</v>
      </c>
      <c r="E225" s="34">
        <v>28</v>
      </c>
      <c r="F225" s="34" t="s">
        <v>54</v>
      </c>
      <c r="G225" s="97">
        <v>0.22704069622649714</v>
      </c>
      <c r="H225" s="34">
        <f t="shared" si="9"/>
        <v>5</v>
      </c>
      <c r="I225" s="75">
        <f t="shared" si="10"/>
        <v>7</v>
      </c>
    </row>
    <row r="226" spans="1:9" x14ac:dyDescent="0.3">
      <c r="A226" s="34">
        <v>225</v>
      </c>
      <c r="B226" s="34">
        <v>510</v>
      </c>
      <c r="C226" s="34">
        <v>39</v>
      </c>
      <c r="D226" s="34">
        <v>8588</v>
      </c>
      <c r="E226" s="34">
        <v>45</v>
      </c>
      <c r="F226" s="34" t="s">
        <v>54</v>
      </c>
      <c r="G226" s="97">
        <v>0.22743826555853186</v>
      </c>
      <c r="H226" s="34">
        <f t="shared" si="9"/>
        <v>12</v>
      </c>
      <c r="I226" s="75">
        <f t="shared" si="10"/>
        <v>17</v>
      </c>
    </row>
    <row r="227" spans="1:9" x14ac:dyDescent="0.3">
      <c r="A227" s="34">
        <v>226</v>
      </c>
      <c r="B227" s="34">
        <v>658</v>
      </c>
      <c r="C227" s="34">
        <v>48</v>
      </c>
      <c r="D227" s="34">
        <v>10222</v>
      </c>
      <c r="E227" s="34">
        <v>37</v>
      </c>
      <c r="F227" s="34" t="s">
        <v>54</v>
      </c>
      <c r="G227" s="97">
        <v>0.22802158569208042</v>
      </c>
      <c r="H227" s="34">
        <f t="shared" si="9"/>
        <v>9</v>
      </c>
      <c r="I227" s="75">
        <f t="shared" si="10"/>
        <v>14</v>
      </c>
    </row>
    <row r="228" spans="1:9" x14ac:dyDescent="0.3">
      <c r="A228" s="34">
        <v>227</v>
      </c>
      <c r="B228" s="34">
        <v>901</v>
      </c>
      <c r="C228" s="34">
        <v>16</v>
      </c>
      <c r="D228" s="34">
        <v>2625</v>
      </c>
      <c r="E228" s="34">
        <v>43</v>
      </c>
      <c r="F228" s="34" t="s">
        <v>55</v>
      </c>
      <c r="G228" s="97">
        <v>0.22844877963254417</v>
      </c>
      <c r="H228" s="34">
        <f t="shared" si="9"/>
        <v>11</v>
      </c>
      <c r="I228" s="75">
        <f t="shared" si="10"/>
        <v>16</v>
      </c>
    </row>
    <row r="229" spans="1:9" x14ac:dyDescent="0.3">
      <c r="A229" s="34">
        <v>228</v>
      </c>
      <c r="B229" s="34">
        <v>538</v>
      </c>
      <c r="C229" s="34">
        <v>18</v>
      </c>
      <c r="D229" s="34">
        <v>3612</v>
      </c>
      <c r="E229" s="34">
        <v>37</v>
      </c>
      <c r="F229" s="34" t="s">
        <v>56</v>
      </c>
      <c r="G229" s="97">
        <v>0.22979780833418995</v>
      </c>
      <c r="H229" s="34">
        <f t="shared" si="9"/>
        <v>9</v>
      </c>
      <c r="I229" s="75">
        <f t="shared" si="10"/>
        <v>14</v>
      </c>
    </row>
    <row r="230" spans="1:9" x14ac:dyDescent="0.3">
      <c r="A230" s="34">
        <v>229</v>
      </c>
      <c r="B230" s="34">
        <v>86</v>
      </c>
      <c r="C230" s="34">
        <v>12</v>
      </c>
      <c r="D230" s="34">
        <v>1412</v>
      </c>
      <c r="E230" s="34">
        <v>29</v>
      </c>
      <c r="F230" s="34" t="s">
        <v>56</v>
      </c>
      <c r="G230" s="97">
        <v>0.23204746384579977</v>
      </c>
      <c r="H230" s="34">
        <f t="shared" si="9"/>
        <v>5</v>
      </c>
      <c r="I230" s="75">
        <f t="shared" si="10"/>
        <v>8</v>
      </c>
    </row>
    <row r="231" spans="1:9" x14ac:dyDescent="0.3">
      <c r="A231" s="34">
        <v>230</v>
      </c>
      <c r="B231" s="34">
        <v>505</v>
      </c>
      <c r="C231" s="34">
        <v>24</v>
      </c>
      <c r="D231" s="34">
        <v>1207</v>
      </c>
      <c r="E231" s="34">
        <v>24</v>
      </c>
      <c r="F231" s="34" t="s">
        <v>57</v>
      </c>
      <c r="G231" s="97">
        <v>0.2353308289285998</v>
      </c>
      <c r="H231" s="34">
        <f t="shared" si="9"/>
        <v>3</v>
      </c>
      <c r="I231" s="75">
        <f t="shared" si="10"/>
        <v>3</v>
      </c>
    </row>
    <row r="232" spans="1:9" x14ac:dyDescent="0.3">
      <c r="A232" s="34">
        <v>231</v>
      </c>
      <c r="B232" s="34">
        <v>468</v>
      </c>
      <c r="C232" s="34">
        <v>48</v>
      </c>
      <c r="D232" s="34">
        <v>7238</v>
      </c>
      <c r="E232" s="34">
        <v>32</v>
      </c>
      <c r="F232" s="34" t="s">
        <v>54</v>
      </c>
      <c r="G232" s="97">
        <v>0.23579479453869368</v>
      </c>
      <c r="H232" s="34">
        <f t="shared" si="9"/>
        <v>6</v>
      </c>
      <c r="I232" s="75">
        <f t="shared" si="10"/>
        <v>10</v>
      </c>
    </row>
    <row r="233" spans="1:9" x14ac:dyDescent="0.3">
      <c r="A233" s="34">
        <v>232</v>
      </c>
      <c r="B233" s="34">
        <v>480</v>
      </c>
      <c r="C233" s="34">
        <v>15</v>
      </c>
      <c r="D233" s="34">
        <v>1478</v>
      </c>
      <c r="E233" s="34">
        <v>44</v>
      </c>
      <c r="F233" s="34" t="s">
        <v>54</v>
      </c>
      <c r="G233" s="97">
        <v>0.23604710422677988</v>
      </c>
      <c r="H233" s="34">
        <f t="shared" si="9"/>
        <v>12</v>
      </c>
      <c r="I233" s="75">
        <f t="shared" si="10"/>
        <v>17</v>
      </c>
    </row>
    <row r="234" spans="1:9" x14ac:dyDescent="0.3">
      <c r="A234" s="34">
        <v>233</v>
      </c>
      <c r="B234" s="34">
        <v>701</v>
      </c>
      <c r="C234" s="34">
        <v>12</v>
      </c>
      <c r="D234" s="34">
        <v>1123</v>
      </c>
      <c r="E234" s="34">
        <v>29</v>
      </c>
      <c r="F234" s="34" t="s">
        <v>57</v>
      </c>
      <c r="G234" s="97">
        <v>0.2396735343722719</v>
      </c>
      <c r="H234" s="34">
        <f t="shared" si="9"/>
        <v>5</v>
      </c>
      <c r="I234" s="75">
        <f t="shared" si="10"/>
        <v>8</v>
      </c>
    </row>
    <row r="235" spans="1:9" x14ac:dyDescent="0.3">
      <c r="A235" s="34">
        <v>234</v>
      </c>
      <c r="B235" s="34">
        <v>367</v>
      </c>
      <c r="C235" s="34">
        <v>18</v>
      </c>
      <c r="D235" s="34">
        <v>3850</v>
      </c>
      <c r="E235" s="34">
        <v>27</v>
      </c>
      <c r="F235" s="34" t="s">
        <v>54</v>
      </c>
      <c r="G235" s="97">
        <v>0.23977164914747739</v>
      </c>
      <c r="H235" s="34">
        <f t="shared" si="9"/>
        <v>4</v>
      </c>
      <c r="I235" s="75">
        <f t="shared" si="10"/>
        <v>6</v>
      </c>
    </row>
    <row r="236" spans="1:9" x14ac:dyDescent="0.3">
      <c r="A236" s="34">
        <v>235</v>
      </c>
      <c r="B236" s="34">
        <v>924</v>
      </c>
      <c r="C236" s="34">
        <v>12</v>
      </c>
      <c r="D236" s="34">
        <v>2002</v>
      </c>
      <c r="E236" s="34">
        <v>30</v>
      </c>
      <c r="F236" s="34" t="s">
        <v>54</v>
      </c>
      <c r="G236" s="97">
        <v>0.24098240959710593</v>
      </c>
      <c r="H236" s="34">
        <f t="shared" si="9"/>
        <v>5</v>
      </c>
      <c r="I236" s="75">
        <f t="shared" si="10"/>
        <v>9</v>
      </c>
    </row>
    <row r="237" spans="1:9" x14ac:dyDescent="0.3">
      <c r="A237" s="34">
        <v>236</v>
      </c>
      <c r="B237" s="34">
        <v>241</v>
      </c>
      <c r="C237" s="34">
        <v>24</v>
      </c>
      <c r="D237" s="34">
        <v>915</v>
      </c>
      <c r="E237" s="34">
        <v>29</v>
      </c>
      <c r="F237" s="34" t="s">
        <v>57</v>
      </c>
      <c r="G237" s="97">
        <v>0.2411033908379181</v>
      </c>
      <c r="H237" s="34">
        <f t="shared" si="9"/>
        <v>5</v>
      </c>
      <c r="I237" s="75">
        <f t="shared" si="10"/>
        <v>8</v>
      </c>
    </row>
    <row r="238" spans="1:9" x14ac:dyDescent="0.3">
      <c r="A238" s="34">
        <v>237</v>
      </c>
      <c r="B238" s="34">
        <v>498</v>
      </c>
      <c r="C238" s="34">
        <v>24</v>
      </c>
      <c r="D238" s="34">
        <v>1585</v>
      </c>
      <c r="E238" s="34">
        <v>40</v>
      </c>
      <c r="F238" s="34" t="s">
        <v>54</v>
      </c>
      <c r="G238" s="97">
        <v>0.24188584957034998</v>
      </c>
      <c r="H238" s="34">
        <f t="shared" si="9"/>
        <v>10</v>
      </c>
      <c r="I238" s="75">
        <f t="shared" si="10"/>
        <v>15</v>
      </c>
    </row>
    <row r="239" spans="1:9" x14ac:dyDescent="0.3">
      <c r="A239" s="34">
        <v>238</v>
      </c>
      <c r="B239" s="34">
        <v>578</v>
      </c>
      <c r="C239" s="34">
        <v>24</v>
      </c>
      <c r="D239" s="34">
        <v>1927</v>
      </c>
      <c r="E239" s="34">
        <v>33</v>
      </c>
      <c r="F239" s="34" t="s">
        <v>56</v>
      </c>
      <c r="G239" s="97">
        <v>0.24220547058876418</v>
      </c>
      <c r="H239" s="34">
        <f t="shared" si="9"/>
        <v>7</v>
      </c>
      <c r="I239" s="75">
        <f t="shared" si="10"/>
        <v>11</v>
      </c>
    </row>
    <row r="240" spans="1:9" x14ac:dyDescent="0.3">
      <c r="A240" s="34">
        <v>239</v>
      </c>
      <c r="B240" s="34">
        <v>534</v>
      </c>
      <c r="C240" s="34">
        <v>24</v>
      </c>
      <c r="D240" s="34">
        <v>1311</v>
      </c>
      <c r="E240" s="34">
        <v>26</v>
      </c>
      <c r="F240" s="34" t="s">
        <v>54</v>
      </c>
      <c r="G240" s="97">
        <v>0.2428826636874688</v>
      </c>
      <c r="H240" s="34">
        <f t="shared" si="9"/>
        <v>4</v>
      </c>
      <c r="I240" s="75">
        <f t="shared" si="10"/>
        <v>5</v>
      </c>
    </row>
    <row r="241" spans="1:9" x14ac:dyDescent="0.3">
      <c r="A241" s="34">
        <v>240</v>
      </c>
      <c r="B241" s="34">
        <v>943</v>
      </c>
      <c r="C241" s="34">
        <v>24</v>
      </c>
      <c r="D241" s="34">
        <v>929</v>
      </c>
      <c r="E241" s="34">
        <v>31</v>
      </c>
      <c r="F241" s="34" t="s">
        <v>54</v>
      </c>
      <c r="G241" s="97">
        <v>0.24301830035100713</v>
      </c>
      <c r="H241" s="34">
        <f t="shared" si="9"/>
        <v>6</v>
      </c>
      <c r="I241" s="75">
        <f t="shared" si="10"/>
        <v>10</v>
      </c>
    </row>
    <row r="242" spans="1:9" x14ac:dyDescent="0.3">
      <c r="A242" s="34">
        <v>241</v>
      </c>
      <c r="B242" s="34">
        <v>635</v>
      </c>
      <c r="C242" s="34">
        <v>24</v>
      </c>
      <c r="D242" s="34">
        <v>1355</v>
      </c>
      <c r="E242" s="34">
        <v>25</v>
      </c>
      <c r="F242" s="34" t="s">
        <v>57</v>
      </c>
      <c r="G242" s="97">
        <v>0.24356408437344157</v>
      </c>
      <c r="H242" s="34">
        <f t="shared" si="9"/>
        <v>3</v>
      </c>
      <c r="I242" s="75">
        <f t="shared" si="10"/>
        <v>4</v>
      </c>
    </row>
    <row r="243" spans="1:9" x14ac:dyDescent="0.3">
      <c r="A243" s="34">
        <v>242</v>
      </c>
      <c r="B243" s="34">
        <v>634</v>
      </c>
      <c r="C243" s="34">
        <v>9</v>
      </c>
      <c r="D243" s="34">
        <v>1980</v>
      </c>
      <c r="E243" s="34">
        <v>19</v>
      </c>
      <c r="F243" s="34" t="s">
        <v>57</v>
      </c>
      <c r="G243" s="97">
        <v>0.24453007164694607</v>
      </c>
      <c r="H243" s="34">
        <f t="shared" si="9"/>
        <v>1</v>
      </c>
      <c r="I243" s="75">
        <f t="shared" si="10"/>
        <v>1</v>
      </c>
    </row>
    <row r="244" spans="1:9" x14ac:dyDescent="0.3">
      <c r="A244" s="34">
        <v>243</v>
      </c>
      <c r="B244" s="34">
        <v>517</v>
      </c>
      <c r="C244" s="34">
        <v>6</v>
      </c>
      <c r="D244" s="34">
        <v>1361</v>
      </c>
      <c r="E244" s="34">
        <v>40</v>
      </c>
      <c r="F244" s="34" t="s">
        <v>54</v>
      </c>
      <c r="G244" s="97">
        <v>0.24455550501188561</v>
      </c>
      <c r="H244" s="34">
        <f t="shared" si="9"/>
        <v>10</v>
      </c>
      <c r="I244" s="75">
        <f t="shared" si="10"/>
        <v>15</v>
      </c>
    </row>
    <row r="245" spans="1:9" x14ac:dyDescent="0.3">
      <c r="A245" s="34">
        <v>244</v>
      </c>
      <c r="B245" s="34">
        <v>766</v>
      </c>
      <c r="C245" s="34">
        <v>12</v>
      </c>
      <c r="D245" s="34">
        <v>1155</v>
      </c>
      <c r="E245" s="34">
        <v>40</v>
      </c>
      <c r="F245" s="34" t="s">
        <v>54</v>
      </c>
      <c r="G245" s="97">
        <v>0.24540589499504484</v>
      </c>
      <c r="H245" s="34">
        <f t="shared" si="9"/>
        <v>10</v>
      </c>
      <c r="I245" s="75">
        <f t="shared" si="10"/>
        <v>15</v>
      </c>
    </row>
    <row r="246" spans="1:9" x14ac:dyDescent="0.3">
      <c r="A246" s="34">
        <v>245</v>
      </c>
      <c r="B246" s="34">
        <v>712</v>
      </c>
      <c r="C246" s="34">
        <v>6</v>
      </c>
      <c r="D246" s="34">
        <v>1198</v>
      </c>
      <c r="E246" s="34">
        <v>35</v>
      </c>
      <c r="F246" s="34" t="s">
        <v>57</v>
      </c>
      <c r="G246" s="97">
        <v>0.24896613660783506</v>
      </c>
      <c r="H246" s="34">
        <f t="shared" si="9"/>
        <v>8</v>
      </c>
      <c r="I246" s="75">
        <f t="shared" si="10"/>
        <v>12</v>
      </c>
    </row>
    <row r="247" spans="1:9" x14ac:dyDescent="0.3">
      <c r="A247" s="34">
        <v>246</v>
      </c>
      <c r="B247" s="34">
        <v>148</v>
      </c>
      <c r="C247" s="34">
        <v>12</v>
      </c>
      <c r="D247" s="34">
        <v>682</v>
      </c>
      <c r="E247" s="34">
        <v>51</v>
      </c>
      <c r="F247" s="34" t="s">
        <v>56</v>
      </c>
      <c r="G247" s="97">
        <v>0.25126762267234015</v>
      </c>
      <c r="H247" s="34">
        <f t="shared" si="9"/>
        <v>15</v>
      </c>
      <c r="I247" s="75">
        <f t="shared" si="10"/>
        <v>20</v>
      </c>
    </row>
    <row r="248" spans="1:9" x14ac:dyDescent="0.3">
      <c r="A248" s="34">
        <v>247</v>
      </c>
      <c r="B248" s="34">
        <v>374</v>
      </c>
      <c r="C248" s="34">
        <v>60</v>
      </c>
      <c r="D248" s="34">
        <v>13756</v>
      </c>
      <c r="E248" s="34">
        <v>63</v>
      </c>
      <c r="F248" s="34" t="s">
        <v>54</v>
      </c>
      <c r="G248" s="97">
        <v>0.25197244063545854</v>
      </c>
      <c r="H248" s="34">
        <f t="shared" si="9"/>
        <v>20</v>
      </c>
      <c r="I248" s="75">
        <f t="shared" si="10"/>
        <v>24</v>
      </c>
    </row>
    <row r="249" spans="1:9" x14ac:dyDescent="0.3">
      <c r="A249" s="34">
        <v>248</v>
      </c>
      <c r="B249" s="34">
        <v>603</v>
      </c>
      <c r="C249" s="34">
        <v>24</v>
      </c>
      <c r="D249" s="34">
        <v>1837</v>
      </c>
      <c r="E249" s="34">
        <v>34</v>
      </c>
      <c r="F249" s="34" t="s">
        <v>57</v>
      </c>
      <c r="G249" s="97">
        <v>0.25319914113395903</v>
      </c>
      <c r="H249" s="34">
        <f t="shared" si="9"/>
        <v>7</v>
      </c>
      <c r="I249" s="75">
        <f t="shared" si="10"/>
        <v>11</v>
      </c>
    </row>
    <row r="250" spans="1:9" x14ac:dyDescent="0.3">
      <c r="A250" s="34">
        <v>249</v>
      </c>
      <c r="B250" s="34">
        <v>306</v>
      </c>
      <c r="C250" s="34">
        <v>6</v>
      </c>
      <c r="D250" s="34">
        <v>1543</v>
      </c>
      <c r="E250" s="34">
        <v>33</v>
      </c>
      <c r="F250" s="34" t="s">
        <v>54</v>
      </c>
      <c r="G250" s="97">
        <v>0.25357876412178904</v>
      </c>
      <c r="H250" s="34">
        <f t="shared" si="9"/>
        <v>7</v>
      </c>
      <c r="I250" s="75">
        <f t="shared" si="10"/>
        <v>11</v>
      </c>
    </row>
    <row r="251" spans="1:9" x14ac:dyDescent="0.3">
      <c r="A251" s="34">
        <v>250</v>
      </c>
      <c r="B251" s="34">
        <v>470</v>
      </c>
      <c r="C251" s="34">
        <v>24</v>
      </c>
      <c r="D251" s="34">
        <v>4679</v>
      </c>
      <c r="E251" s="34">
        <v>35</v>
      </c>
      <c r="F251" s="34" t="s">
        <v>54</v>
      </c>
      <c r="G251" s="97">
        <v>0.25370814071678316</v>
      </c>
      <c r="H251" s="34">
        <f t="shared" si="9"/>
        <v>8</v>
      </c>
      <c r="I251" s="75">
        <f t="shared" si="10"/>
        <v>12</v>
      </c>
    </row>
    <row r="252" spans="1:9" x14ac:dyDescent="0.3">
      <c r="A252" s="34">
        <v>251</v>
      </c>
      <c r="B252" s="34">
        <v>721</v>
      </c>
      <c r="C252" s="34">
        <v>9</v>
      </c>
      <c r="D252" s="34">
        <v>1337</v>
      </c>
      <c r="E252" s="34">
        <v>34</v>
      </c>
      <c r="F252" s="34" t="s">
        <v>55</v>
      </c>
      <c r="G252" s="97">
        <v>0.25434511536687265</v>
      </c>
      <c r="H252" s="34">
        <f t="shared" si="9"/>
        <v>7</v>
      </c>
      <c r="I252" s="75">
        <f t="shared" si="10"/>
        <v>11</v>
      </c>
    </row>
    <row r="253" spans="1:9" x14ac:dyDescent="0.3">
      <c r="A253" s="34">
        <v>252</v>
      </c>
      <c r="B253" s="34">
        <v>175</v>
      </c>
      <c r="C253" s="34">
        <v>21</v>
      </c>
      <c r="D253" s="34">
        <v>3414</v>
      </c>
      <c r="E253" s="34">
        <v>26</v>
      </c>
      <c r="F253" s="34" t="s">
        <v>55</v>
      </c>
      <c r="G253" s="97">
        <v>0.25469603327958212</v>
      </c>
      <c r="H253" s="34">
        <f t="shared" si="9"/>
        <v>4</v>
      </c>
      <c r="I253" s="75">
        <f t="shared" si="10"/>
        <v>5</v>
      </c>
    </row>
    <row r="254" spans="1:9" x14ac:dyDescent="0.3">
      <c r="A254" s="34">
        <v>253</v>
      </c>
      <c r="B254" s="34">
        <v>84</v>
      </c>
      <c r="C254" s="34">
        <v>24</v>
      </c>
      <c r="D254" s="34">
        <v>1755</v>
      </c>
      <c r="E254" s="34">
        <v>58</v>
      </c>
      <c r="F254" s="34" t="s">
        <v>56</v>
      </c>
      <c r="G254" s="97">
        <v>0.25837662525886218</v>
      </c>
      <c r="H254" s="34">
        <f t="shared" si="9"/>
        <v>18</v>
      </c>
      <c r="I254" s="75">
        <f t="shared" si="10"/>
        <v>23</v>
      </c>
    </row>
    <row r="255" spans="1:9" x14ac:dyDescent="0.3">
      <c r="A255" s="34">
        <v>254</v>
      </c>
      <c r="B255" s="34">
        <v>237</v>
      </c>
      <c r="C255" s="34">
        <v>6</v>
      </c>
      <c r="D255" s="34">
        <v>14555</v>
      </c>
      <c r="E255" s="34">
        <v>23</v>
      </c>
      <c r="F255" s="34" t="s">
        <v>55</v>
      </c>
      <c r="G255" s="97">
        <v>0.26120788507188897</v>
      </c>
      <c r="H255" s="34">
        <f t="shared" si="9"/>
        <v>2</v>
      </c>
      <c r="I255" s="75">
        <f t="shared" si="10"/>
        <v>2</v>
      </c>
    </row>
    <row r="256" spans="1:9" x14ac:dyDescent="0.3">
      <c r="A256" s="34">
        <v>255</v>
      </c>
      <c r="B256" s="34">
        <v>533</v>
      </c>
      <c r="C256" s="34">
        <v>12</v>
      </c>
      <c r="D256" s="34">
        <v>1503</v>
      </c>
      <c r="E256" s="34">
        <v>41</v>
      </c>
      <c r="F256" s="34" t="s">
        <v>54</v>
      </c>
      <c r="G256" s="97">
        <v>0.26433299949789946</v>
      </c>
      <c r="H256" s="34">
        <f t="shared" si="9"/>
        <v>10</v>
      </c>
      <c r="I256" s="75">
        <f t="shared" si="10"/>
        <v>15</v>
      </c>
    </row>
    <row r="257" spans="1:9" x14ac:dyDescent="0.3">
      <c r="A257" s="34">
        <v>256</v>
      </c>
      <c r="B257" s="34">
        <v>138</v>
      </c>
      <c r="C257" s="34">
        <v>12</v>
      </c>
      <c r="D257" s="34">
        <v>766</v>
      </c>
      <c r="E257" s="34">
        <v>66</v>
      </c>
      <c r="F257" s="34" t="s">
        <v>55</v>
      </c>
      <c r="G257" s="97">
        <v>0.26445998550264904</v>
      </c>
      <c r="H257" s="34">
        <f t="shared" si="9"/>
        <v>21</v>
      </c>
      <c r="I257" s="75">
        <f t="shared" si="10"/>
        <v>24</v>
      </c>
    </row>
    <row r="258" spans="1:9" x14ac:dyDescent="0.3">
      <c r="A258" s="34">
        <v>257</v>
      </c>
      <c r="B258" s="34">
        <v>502</v>
      </c>
      <c r="C258" s="34">
        <v>36</v>
      </c>
      <c r="D258" s="34">
        <v>5493</v>
      </c>
      <c r="E258" s="34">
        <v>42</v>
      </c>
      <c r="F258" s="34" t="s">
        <v>54</v>
      </c>
      <c r="G258" s="97">
        <v>0.2662823734496077</v>
      </c>
      <c r="H258" s="34">
        <f t="shared" ref="H258:H321" si="11">MATCH(E258,$O$3:$O$27,1)</f>
        <v>11</v>
      </c>
      <c r="I258" s="75">
        <f t="shared" ref="I258:I321" si="12">MATCH(E258,$U$3:$U$28,1)</f>
        <v>16</v>
      </c>
    </row>
    <row r="259" spans="1:9" x14ac:dyDescent="0.3">
      <c r="A259" s="34">
        <v>258</v>
      </c>
      <c r="B259" s="34">
        <v>814</v>
      </c>
      <c r="C259" s="34">
        <v>48</v>
      </c>
      <c r="D259" s="34">
        <v>3051</v>
      </c>
      <c r="E259" s="34">
        <v>54</v>
      </c>
      <c r="F259" s="34" t="s">
        <v>55</v>
      </c>
      <c r="G259" s="97">
        <v>0.26686791698433721</v>
      </c>
      <c r="H259" s="34">
        <f t="shared" si="11"/>
        <v>16</v>
      </c>
      <c r="I259" s="75">
        <f t="shared" si="12"/>
        <v>21</v>
      </c>
    </row>
    <row r="260" spans="1:9" x14ac:dyDescent="0.3">
      <c r="A260" s="34">
        <v>259</v>
      </c>
      <c r="B260" s="34">
        <v>147</v>
      </c>
      <c r="C260" s="34">
        <v>6</v>
      </c>
      <c r="D260" s="34">
        <v>860</v>
      </c>
      <c r="E260" s="34">
        <v>39</v>
      </c>
      <c r="F260" s="34" t="s">
        <v>56</v>
      </c>
      <c r="G260" s="97">
        <v>0.26717255380355809</v>
      </c>
      <c r="H260" s="34">
        <f t="shared" si="11"/>
        <v>9</v>
      </c>
      <c r="I260" s="75">
        <f t="shared" si="12"/>
        <v>14</v>
      </c>
    </row>
    <row r="261" spans="1:9" x14ac:dyDescent="0.3">
      <c r="A261" s="34">
        <v>260</v>
      </c>
      <c r="B261" s="34">
        <v>547</v>
      </c>
      <c r="C261" s="34">
        <v>24</v>
      </c>
      <c r="D261" s="34">
        <v>2022</v>
      </c>
      <c r="E261" s="34">
        <v>37</v>
      </c>
      <c r="F261" s="34" t="s">
        <v>56</v>
      </c>
      <c r="G261" s="97">
        <v>0.26845081105613844</v>
      </c>
      <c r="H261" s="34">
        <f t="shared" si="11"/>
        <v>9</v>
      </c>
      <c r="I261" s="75">
        <f t="shared" si="12"/>
        <v>14</v>
      </c>
    </row>
    <row r="262" spans="1:9" x14ac:dyDescent="0.3">
      <c r="A262" s="34">
        <v>261</v>
      </c>
      <c r="B262" s="34">
        <v>871</v>
      </c>
      <c r="C262" s="34">
        <v>36</v>
      </c>
      <c r="D262" s="34">
        <v>7678</v>
      </c>
      <c r="E262" s="34">
        <v>40</v>
      </c>
      <c r="F262" s="34" t="s">
        <v>56</v>
      </c>
      <c r="G262" s="97">
        <v>0.27129301625286661</v>
      </c>
      <c r="H262" s="34">
        <f t="shared" si="11"/>
        <v>10</v>
      </c>
      <c r="I262" s="75">
        <f t="shared" si="12"/>
        <v>15</v>
      </c>
    </row>
    <row r="263" spans="1:9" x14ac:dyDescent="0.3">
      <c r="A263" s="34">
        <v>262</v>
      </c>
      <c r="B263" s="34">
        <v>756</v>
      </c>
      <c r="C263" s="34">
        <v>24</v>
      </c>
      <c r="D263" s="34">
        <v>1285</v>
      </c>
      <c r="E263" s="34">
        <v>32</v>
      </c>
      <c r="F263" s="34" t="s">
        <v>57</v>
      </c>
      <c r="G263" s="97">
        <v>0.27131106278674133</v>
      </c>
      <c r="H263" s="34">
        <f t="shared" si="11"/>
        <v>6</v>
      </c>
      <c r="I263" s="75">
        <f t="shared" si="12"/>
        <v>10</v>
      </c>
    </row>
    <row r="264" spans="1:9" x14ac:dyDescent="0.3">
      <c r="A264" s="34">
        <v>263</v>
      </c>
      <c r="B264" s="34">
        <v>229</v>
      </c>
      <c r="C264" s="34">
        <v>9</v>
      </c>
      <c r="D264" s="34">
        <v>1478</v>
      </c>
      <c r="E264" s="34">
        <v>22</v>
      </c>
      <c r="F264" s="34" t="s">
        <v>55</v>
      </c>
      <c r="G264" s="97">
        <v>0.27167137205342717</v>
      </c>
      <c r="H264" s="34">
        <f t="shared" si="11"/>
        <v>2</v>
      </c>
      <c r="I264" s="75">
        <f t="shared" si="12"/>
        <v>2</v>
      </c>
    </row>
    <row r="265" spans="1:9" x14ac:dyDescent="0.3">
      <c r="A265" s="34">
        <v>264</v>
      </c>
      <c r="B265" s="34">
        <v>507</v>
      </c>
      <c r="C265" s="34">
        <v>15</v>
      </c>
      <c r="D265" s="34">
        <v>2360</v>
      </c>
      <c r="E265" s="34">
        <v>36</v>
      </c>
      <c r="F265" s="34" t="s">
        <v>54</v>
      </c>
      <c r="G265" s="97">
        <v>0.27208499115366303</v>
      </c>
      <c r="H265" s="34">
        <f t="shared" si="11"/>
        <v>8</v>
      </c>
      <c r="I265" s="75">
        <f t="shared" si="12"/>
        <v>13</v>
      </c>
    </row>
    <row r="266" spans="1:9" x14ac:dyDescent="0.3">
      <c r="A266" s="34">
        <v>265</v>
      </c>
      <c r="B266" s="34">
        <v>404</v>
      </c>
      <c r="C266" s="34">
        <v>14</v>
      </c>
      <c r="D266" s="34">
        <v>802</v>
      </c>
      <c r="E266" s="34">
        <v>27</v>
      </c>
      <c r="F266" s="34" t="s">
        <v>54</v>
      </c>
      <c r="G266" s="97">
        <v>0.27239269452878456</v>
      </c>
      <c r="H266" s="34">
        <f t="shared" si="11"/>
        <v>4</v>
      </c>
      <c r="I266" s="75">
        <f t="shared" si="12"/>
        <v>6</v>
      </c>
    </row>
    <row r="267" spans="1:9" x14ac:dyDescent="0.3">
      <c r="A267" s="34">
        <v>266</v>
      </c>
      <c r="B267" s="34">
        <v>127</v>
      </c>
      <c r="C267" s="34">
        <v>12</v>
      </c>
      <c r="D267" s="34">
        <v>701</v>
      </c>
      <c r="E267" s="34">
        <v>40</v>
      </c>
      <c r="F267" s="34" t="s">
        <v>54</v>
      </c>
      <c r="G267" s="97">
        <v>0.27272483335655184</v>
      </c>
      <c r="H267" s="34">
        <f t="shared" si="11"/>
        <v>10</v>
      </c>
      <c r="I267" s="75">
        <f t="shared" si="12"/>
        <v>15</v>
      </c>
    </row>
    <row r="268" spans="1:9" x14ac:dyDescent="0.3">
      <c r="A268" s="34">
        <v>267</v>
      </c>
      <c r="B268" s="34">
        <v>16</v>
      </c>
      <c r="C268" s="34">
        <v>24</v>
      </c>
      <c r="D268" s="34">
        <v>1282</v>
      </c>
      <c r="E268" s="34">
        <v>32</v>
      </c>
      <c r="F268" s="34" t="s">
        <v>57</v>
      </c>
      <c r="G268" s="97">
        <v>0.27292080122184925</v>
      </c>
      <c r="H268" s="34">
        <f t="shared" si="11"/>
        <v>6</v>
      </c>
      <c r="I268" s="75">
        <f t="shared" si="12"/>
        <v>10</v>
      </c>
    </row>
    <row r="269" spans="1:9" x14ac:dyDescent="0.3">
      <c r="A269" s="34">
        <v>268</v>
      </c>
      <c r="B269" s="34">
        <v>164</v>
      </c>
      <c r="C269" s="34">
        <v>10</v>
      </c>
      <c r="D269" s="34">
        <v>7308</v>
      </c>
      <c r="E269" s="34">
        <v>70</v>
      </c>
      <c r="F269" s="34" t="s">
        <v>54</v>
      </c>
      <c r="G269" s="97">
        <v>0.27295015754942731</v>
      </c>
      <c r="H269" s="34">
        <f t="shared" si="11"/>
        <v>23</v>
      </c>
      <c r="I269" s="75">
        <f t="shared" si="12"/>
        <v>25</v>
      </c>
    </row>
    <row r="270" spans="1:9" x14ac:dyDescent="0.3">
      <c r="A270" s="34">
        <v>269</v>
      </c>
      <c r="B270" s="34">
        <v>370</v>
      </c>
      <c r="C270" s="34">
        <v>18</v>
      </c>
      <c r="D270" s="34">
        <v>3001</v>
      </c>
      <c r="E270" s="34">
        <v>40</v>
      </c>
      <c r="F270" s="34" t="s">
        <v>56</v>
      </c>
      <c r="G270" s="97">
        <v>0.27332119741751593</v>
      </c>
      <c r="H270" s="34">
        <f t="shared" si="11"/>
        <v>10</v>
      </c>
      <c r="I270" s="75">
        <f t="shared" si="12"/>
        <v>15</v>
      </c>
    </row>
    <row r="271" spans="1:9" x14ac:dyDescent="0.3">
      <c r="A271" s="34">
        <v>270</v>
      </c>
      <c r="B271" s="34">
        <v>583</v>
      </c>
      <c r="C271" s="34">
        <v>9</v>
      </c>
      <c r="D271" s="34">
        <v>1388</v>
      </c>
      <c r="E271" s="34">
        <v>26</v>
      </c>
      <c r="F271" s="34" t="s">
        <v>56</v>
      </c>
      <c r="G271" s="97">
        <v>0.27448215965846134</v>
      </c>
      <c r="H271" s="34">
        <f t="shared" si="11"/>
        <v>4</v>
      </c>
      <c r="I271" s="75">
        <f t="shared" si="12"/>
        <v>5</v>
      </c>
    </row>
    <row r="272" spans="1:9" x14ac:dyDescent="0.3">
      <c r="A272" s="34">
        <v>271</v>
      </c>
      <c r="B272" s="34">
        <v>70</v>
      </c>
      <c r="C272" s="34">
        <v>36</v>
      </c>
      <c r="D272" s="34">
        <v>2394</v>
      </c>
      <c r="E272" s="34">
        <v>25</v>
      </c>
      <c r="F272" s="34" t="s">
        <v>56</v>
      </c>
      <c r="G272" s="97">
        <v>0.27849689301951264</v>
      </c>
      <c r="H272" s="34">
        <f t="shared" si="11"/>
        <v>3</v>
      </c>
      <c r="I272" s="75">
        <f t="shared" si="12"/>
        <v>4</v>
      </c>
    </row>
    <row r="273" spans="1:9" x14ac:dyDescent="0.3">
      <c r="A273" s="34">
        <v>272</v>
      </c>
      <c r="B273" s="34">
        <v>806</v>
      </c>
      <c r="C273" s="34">
        <v>36</v>
      </c>
      <c r="D273" s="34">
        <v>9271</v>
      </c>
      <c r="E273" s="34">
        <v>24</v>
      </c>
      <c r="F273" s="34" t="s">
        <v>55</v>
      </c>
      <c r="G273" s="97">
        <v>0.28247053371333741</v>
      </c>
      <c r="H273" s="34">
        <f t="shared" si="11"/>
        <v>3</v>
      </c>
      <c r="I273" s="75">
        <f t="shared" si="12"/>
        <v>3</v>
      </c>
    </row>
    <row r="274" spans="1:9" x14ac:dyDescent="0.3">
      <c r="A274" s="34">
        <v>273</v>
      </c>
      <c r="B274" s="34">
        <v>354</v>
      </c>
      <c r="C274" s="34">
        <v>12</v>
      </c>
      <c r="D274" s="34">
        <v>6199</v>
      </c>
      <c r="E274" s="34">
        <v>28</v>
      </c>
      <c r="F274" s="34" t="s">
        <v>55</v>
      </c>
      <c r="G274" s="97">
        <v>0.28315746812162301</v>
      </c>
      <c r="H274" s="34">
        <f t="shared" si="11"/>
        <v>5</v>
      </c>
      <c r="I274" s="75">
        <f t="shared" si="12"/>
        <v>7</v>
      </c>
    </row>
    <row r="275" spans="1:9" x14ac:dyDescent="0.3">
      <c r="A275" s="34">
        <v>274</v>
      </c>
      <c r="B275" s="34">
        <v>513</v>
      </c>
      <c r="C275" s="34">
        <v>15</v>
      </c>
      <c r="D275" s="34">
        <v>2687</v>
      </c>
      <c r="E275" s="34">
        <v>26</v>
      </c>
      <c r="F275" s="34" t="s">
        <v>54</v>
      </c>
      <c r="G275" s="97">
        <v>0.28459521342995997</v>
      </c>
      <c r="H275" s="34">
        <f t="shared" si="11"/>
        <v>4</v>
      </c>
      <c r="I275" s="75">
        <f t="shared" si="12"/>
        <v>5</v>
      </c>
    </row>
    <row r="276" spans="1:9" x14ac:dyDescent="0.3">
      <c r="A276" s="34">
        <v>275</v>
      </c>
      <c r="B276" s="34">
        <v>748</v>
      </c>
      <c r="C276" s="34">
        <v>12</v>
      </c>
      <c r="D276" s="34">
        <v>1274</v>
      </c>
      <c r="E276" s="34">
        <v>37</v>
      </c>
      <c r="F276" s="34" t="s">
        <v>57</v>
      </c>
      <c r="G276" s="97">
        <v>0.28524836096079353</v>
      </c>
      <c r="H276" s="34">
        <f t="shared" si="11"/>
        <v>9</v>
      </c>
      <c r="I276" s="75">
        <f t="shared" si="12"/>
        <v>14</v>
      </c>
    </row>
    <row r="277" spans="1:9" x14ac:dyDescent="0.3">
      <c r="A277" s="34">
        <v>276</v>
      </c>
      <c r="B277" s="34">
        <v>852</v>
      </c>
      <c r="C277" s="34">
        <v>24</v>
      </c>
      <c r="D277" s="34">
        <v>4042</v>
      </c>
      <c r="E277" s="34">
        <v>43</v>
      </c>
      <c r="F277" s="34" t="s">
        <v>54</v>
      </c>
      <c r="G277" s="97">
        <v>0.2854158501533387</v>
      </c>
      <c r="H277" s="34">
        <f t="shared" si="11"/>
        <v>11</v>
      </c>
      <c r="I277" s="75">
        <f t="shared" si="12"/>
        <v>16</v>
      </c>
    </row>
    <row r="278" spans="1:9" x14ac:dyDescent="0.3">
      <c r="A278" s="34">
        <v>277</v>
      </c>
      <c r="B278" s="34">
        <v>243</v>
      </c>
      <c r="C278" s="34">
        <v>48</v>
      </c>
      <c r="D278" s="34">
        <v>4605</v>
      </c>
      <c r="E278" s="34">
        <v>24</v>
      </c>
      <c r="F278" s="34" t="s">
        <v>55</v>
      </c>
      <c r="G278" s="97">
        <v>0.28549362114808452</v>
      </c>
      <c r="H278" s="34">
        <f t="shared" si="11"/>
        <v>3</v>
      </c>
      <c r="I278" s="75">
        <f t="shared" si="12"/>
        <v>3</v>
      </c>
    </row>
    <row r="279" spans="1:9" x14ac:dyDescent="0.3">
      <c r="A279" s="34">
        <v>278</v>
      </c>
      <c r="B279" s="34">
        <v>110</v>
      </c>
      <c r="C279" s="34">
        <v>14</v>
      </c>
      <c r="D279" s="34">
        <v>1410</v>
      </c>
      <c r="E279" s="34">
        <v>35</v>
      </c>
      <c r="F279" s="34" t="s">
        <v>54</v>
      </c>
      <c r="G279" s="97">
        <v>0.28626141193552956</v>
      </c>
      <c r="H279" s="34">
        <f t="shared" si="11"/>
        <v>8</v>
      </c>
      <c r="I279" s="75">
        <f t="shared" si="12"/>
        <v>12</v>
      </c>
    </row>
    <row r="280" spans="1:9" x14ac:dyDescent="0.3">
      <c r="A280" s="34">
        <v>279</v>
      </c>
      <c r="B280" s="34">
        <v>264</v>
      </c>
      <c r="C280" s="34">
        <v>12</v>
      </c>
      <c r="D280" s="34">
        <v>2748</v>
      </c>
      <c r="E280" s="34">
        <v>57</v>
      </c>
      <c r="F280" s="34" t="s">
        <v>56</v>
      </c>
      <c r="G280" s="97">
        <v>0.2890534236937109</v>
      </c>
      <c r="H280" s="34">
        <f t="shared" si="11"/>
        <v>17</v>
      </c>
      <c r="I280" s="75">
        <f t="shared" si="12"/>
        <v>22</v>
      </c>
    </row>
    <row r="281" spans="1:9" x14ac:dyDescent="0.3">
      <c r="A281" s="34">
        <v>280</v>
      </c>
      <c r="B281" s="34">
        <v>419</v>
      </c>
      <c r="C281" s="34">
        <v>21</v>
      </c>
      <c r="D281" s="34">
        <v>2782</v>
      </c>
      <c r="E281" s="34">
        <v>31</v>
      </c>
      <c r="F281" s="34" t="s">
        <v>56</v>
      </c>
      <c r="G281" s="97">
        <v>0.28929894795360855</v>
      </c>
      <c r="H281" s="34">
        <f t="shared" si="11"/>
        <v>6</v>
      </c>
      <c r="I281" s="75">
        <f t="shared" si="12"/>
        <v>10</v>
      </c>
    </row>
    <row r="282" spans="1:9" x14ac:dyDescent="0.3">
      <c r="A282" s="34">
        <v>281</v>
      </c>
      <c r="B282" s="34">
        <v>445</v>
      </c>
      <c r="C282" s="34">
        <v>48</v>
      </c>
      <c r="D282" s="34">
        <v>5096</v>
      </c>
      <c r="E282" s="34">
        <v>30</v>
      </c>
      <c r="F282" s="34" t="s">
        <v>57</v>
      </c>
      <c r="G282" s="97">
        <v>0.28980891136874554</v>
      </c>
      <c r="H282" s="34">
        <f t="shared" si="11"/>
        <v>5</v>
      </c>
      <c r="I282" s="75">
        <f t="shared" si="12"/>
        <v>9</v>
      </c>
    </row>
    <row r="283" spans="1:9" x14ac:dyDescent="0.3">
      <c r="A283" s="34">
        <v>282</v>
      </c>
      <c r="B283" s="34">
        <v>527</v>
      </c>
      <c r="C283" s="34">
        <v>15</v>
      </c>
      <c r="D283" s="34">
        <v>1532</v>
      </c>
      <c r="E283" s="34">
        <v>31</v>
      </c>
      <c r="F283" s="34" t="s">
        <v>56</v>
      </c>
      <c r="G283" s="97">
        <v>0.29065656829400632</v>
      </c>
      <c r="H283" s="34">
        <f t="shared" si="11"/>
        <v>6</v>
      </c>
      <c r="I283" s="75">
        <f t="shared" si="12"/>
        <v>10</v>
      </c>
    </row>
    <row r="284" spans="1:9" x14ac:dyDescent="0.3">
      <c r="A284" s="34">
        <v>283</v>
      </c>
      <c r="B284" s="34">
        <v>250</v>
      </c>
      <c r="C284" s="34">
        <v>18</v>
      </c>
      <c r="D284" s="34">
        <v>433</v>
      </c>
      <c r="E284" s="34">
        <v>22</v>
      </c>
      <c r="F284" s="34" t="s">
        <v>57</v>
      </c>
      <c r="G284" s="97">
        <v>0.29262833602836169</v>
      </c>
      <c r="H284" s="34">
        <f t="shared" si="11"/>
        <v>2</v>
      </c>
      <c r="I284" s="75">
        <f t="shared" si="12"/>
        <v>2</v>
      </c>
    </row>
    <row r="285" spans="1:9" x14ac:dyDescent="0.3">
      <c r="A285" s="34">
        <v>284</v>
      </c>
      <c r="B285" s="34">
        <v>567</v>
      </c>
      <c r="C285" s="34">
        <v>12</v>
      </c>
      <c r="D285" s="34">
        <v>1372</v>
      </c>
      <c r="E285" s="34">
        <v>36</v>
      </c>
      <c r="F285" s="34" t="s">
        <v>55</v>
      </c>
      <c r="G285" s="97">
        <v>0.29285421115186216</v>
      </c>
      <c r="H285" s="34">
        <f t="shared" si="11"/>
        <v>8</v>
      </c>
      <c r="I285" s="75">
        <f t="shared" si="12"/>
        <v>13</v>
      </c>
    </row>
    <row r="286" spans="1:9" x14ac:dyDescent="0.3">
      <c r="A286" s="34">
        <v>285</v>
      </c>
      <c r="B286" s="34">
        <v>320</v>
      </c>
      <c r="C286" s="34">
        <v>15</v>
      </c>
      <c r="D286" s="34">
        <v>3643</v>
      </c>
      <c r="E286" s="34">
        <v>27</v>
      </c>
      <c r="F286" s="34" t="s">
        <v>56</v>
      </c>
      <c r="G286" s="97">
        <v>0.29476225769344877</v>
      </c>
      <c r="H286" s="34">
        <f t="shared" si="11"/>
        <v>4</v>
      </c>
      <c r="I286" s="75">
        <f t="shared" si="12"/>
        <v>6</v>
      </c>
    </row>
    <row r="287" spans="1:9" x14ac:dyDescent="0.3">
      <c r="A287" s="34">
        <v>286</v>
      </c>
      <c r="B287" s="34">
        <v>893</v>
      </c>
      <c r="C287" s="34">
        <v>12</v>
      </c>
      <c r="D287" s="34">
        <v>2171</v>
      </c>
      <c r="E287" s="34">
        <v>38</v>
      </c>
      <c r="F287" s="34" t="s">
        <v>54</v>
      </c>
      <c r="G287" s="97">
        <v>0.29544659741981638</v>
      </c>
      <c r="H287" s="34">
        <f t="shared" si="11"/>
        <v>9</v>
      </c>
      <c r="I287" s="75">
        <f t="shared" si="12"/>
        <v>14</v>
      </c>
    </row>
    <row r="288" spans="1:9" x14ac:dyDescent="0.3">
      <c r="A288" s="34">
        <v>287</v>
      </c>
      <c r="B288" s="34">
        <v>843</v>
      </c>
      <c r="C288" s="34">
        <v>18</v>
      </c>
      <c r="D288" s="34">
        <v>1943</v>
      </c>
      <c r="E288" s="34">
        <v>23</v>
      </c>
      <c r="F288" s="34" t="s">
        <v>57</v>
      </c>
      <c r="G288" s="97">
        <v>0.29619644298992809</v>
      </c>
      <c r="H288" s="34">
        <f t="shared" si="11"/>
        <v>2</v>
      </c>
      <c r="I288" s="75">
        <f t="shared" si="12"/>
        <v>2</v>
      </c>
    </row>
    <row r="289" spans="1:9" x14ac:dyDescent="0.3">
      <c r="A289" s="34">
        <v>288</v>
      </c>
      <c r="B289" s="34">
        <v>639</v>
      </c>
      <c r="C289" s="34">
        <v>12</v>
      </c>
      <c r="D289" s="34">
        <v>1493</v>
      </c>
      <c r="E289" s="34">
        <v>34</v>
      </c>
      <c r="F289" s="34" t="s">
        <v>56</v>
      </c>
      <c r="G289" s="97">
        <v>0.29712980001499734</v>
      </c>
      <c r="H289" s="34">
        <f t="shared" si="11"/>
        <v>7</v>
      </c>
      <c r="I289" s="75">
        <f t="shared" si="12"/>
        <v>11</v>
      </c>
    </row>
    <row r="290" spans="1:9" x14ac:dyDescent="0.3">
      <c r="A290" s="34">
        <v>289</v>
      </c>
      <c r="B290" s="34">
        <v>376</v>
      </c>
      <c r="C290" s="34">
        <v>48</v>
      </c>
      <c r="D290" s="34">
        <v>7685</v>
      </c>
      <c r="E290" s="34">
        <v>37</v>
      </c>
      <c r="F290" s="34" t="s">
        <v>57</v>
      </c>
      <c r="G290" s="97">
        <v>0.29775926244209772</v>
      </c>
      <c r="H290" s="34">
        <f t="shared" si="11"/>
        <v>9</v>
      </c>
      <c r="I290" s="75">
        <f t="shared" si="12"/>
        <v>14</v>
      </c>
    </row>
    <row r="291" spans="1:9" x14ac:dyDescent="0.3">
      <c r="A291" s="34">
        <v>290</v>
      </c>
      <c r="B291" s="34">
        <v>112</v>
      </c>
      <c r="C291" s="34">
        <v>15</v>
      </c>
      <c r="D291" s="34">
        <v>392</v>
      </c>
      <c r="E291" s="34">
        <v>23</v>
      </c>
      <c r="F291" s="34" t="s">
        <v>56</v>
      </c>
      <c r="G291" s="97">
        <v>0.2978011082443921</v>
      </c>
      <c r="H291" s="34">
        <f t="shared" si="11"/>
        <v>2</v>
      </c>
      <c r="I291" s="75">
        <f t="shared" si="12"/>
        <v>2</v>
      </c>
    </row>
    <row r="292" spans="1:9" x14ac:dyDescent="0.3">
      <c r="A292" s="34">
        <v>291</v>
      </c>
      <c r="B292" s="34">
        <v>625</v>
      </c>
      <c r="C292" s="34">
        <v>18</v>
      </c>
      <c r="D292" s="34">
        <v>2600</v>
      </c>
      <c r="E292" s="34">
        <v>65</v>
      </c>
      <c r="F292" s="34" t="s">
        <v>55</v>
      </c>
      <c r="G292" s="97">
        <v>0.29787385341145611</v>
      </c>
      <c r="H292" s="34">
        <f t="shared" si="11"/>
        <v>21</v>
      </c>
      <c r="I292" s="75">
        <f t="shared" si="12"/>
        <v>24</v>
      </c>
    </row>
    <row r="293" spans="1:9" x14ac:dyDescent="0.3">
      <c r="A293" s="34">
        <v>292</v>
      </c>
      <c r="B293" s="34">
        <v>705</v>
      </c>
      <c r="C293" s="34">
        <v>27</v>
      </c>
      <c r="D293" s="34">
        <v>2528</v>
      </c>
      <c r="E293" s="34">
        <v>32</v>
      </c>
      <c r="F293" s="34" t="s">
        <v>56</v>
      </c>
      <c r="G293" s="97">
        <v>0.29825373982888548</v>
      </c>
      <c r="H293" s="34">
        <f t="shared" si="11"/>
        <v>6</v>
      </c>
      <c r="I293" s="75">
        <f t="shared" si="12"/>
        <v>10</v>
      </c>
    </row>
    <row r="294" spans="1:9" x14ac:dyDescent="0.3">
      <c r="A294" s="34">
        <v>293</v>
      </c>
      <c r="B294" s="34">
        <v>908</v>
      </c>
      <c r="C294" s="34">
        <v>36</v>
      </c>
      <c r="D294" s="34">
        <v>3711</v>
      </c>
      <c r="E294" s="34">
        <v>27</v>
      </c>
      <c r="F294" s="34" t="s">
        <v>54</v>
      </c>
      <c r="G294" s="97">
        <v>0.29881323985360297</v>
      </c>
      <c r="H294" s="34">
        <f t="shared" si="11"/>
        <v>4</v>
      </c>
      <c r="I294" s="75">
        <f t="shared" si="12"/>
        <v>6</v>
      </c>
    </row>
    <row r="295" spans="1:9" x14ac:dyDescent="0.3">
      <c r="A295" s="34">
        <v>294</v>
      </c>
      <c r="B295" s="34">
        <v>487</v>
      </c>
      <c r="C295" s="34">
        <v>12</v>
      </c>
      <c r="D295" s="34">
        <v>3077</v>
      </c>
      <c r="E295" s="34">
        <v>52</v>
      </c>
      <c r="F295" s="34" t="s">
        <v>54</v>
      </c>
      <c r="G295" s="97">
        <v>0.29983837212901354</v>
      </c>
      <c r="H295" s="34">
        <f t="shared" si="11"/>
        <v>15</v>
      </c>
      <c r="I295" s="75">
        <f t="shared" si="12"/>
        <v>20</v>
      </c>
    </row>
    <row r="296" spans="1:9" x14ac:dyDescent="0.3">
      <c r="A296" s="34">
        <v>295</v>
      </c>
      <c r="B296" s="34">
        <v>771</v>
      </c>
      <c r="C296" s="34">
        <v>24</v>
      </c>
      <c r="D296" s="34">
        <v>2812</v>
      </c>
      <c r="E296" s="34">
        <v>26</v>
      </c>
      <c r="F296" s="34" t="s">
        <v>56</v>
      </c>
      <c r="G296" s="97">
        <v>0.30025766049538394</v>
      </c>
      <c r="H296" s="34">
        <f t="shared" si="11"/>
        <v>4</v>
      </c>
      <c r="I296" s="75">
        <f t="shared" si="12"/>
        <v>5</v>
      </c>
    </row>
    <row r="297" spans="1:9" x14ac:dyDescent="0.3">
      <c r="A297" s="34">
        <v>296</v>
      </c>
      <c r="B297" s="34">
        <v>281</v>
      </c>
      <c r="C297" s="34">
        <v>15</v>
      </c>
      <c r="D297" s="34">
        <v>3368</v>
      </c>
      <c r="E297" s="34">
        <v>23</v>
      </c>
      <c r="F297" s="34" t="s">
        <v>54</v>
      </c>
      <c r="G297" s="97">
        <v>0.30068634413892248</v>
      </c>
      <c r="H297" s="34">
        <f t="shared" si="11"/>
        <v>2</v>
      </c>
      <c r="I297" s="75">
        <f t="shared" si="12"/>
        <v>2</v>
      </c>
    </row>
    <row r="298" spans="1:9" x14ac:dyDescent="0.3">
      <c r="A298" s="34">
        <v>297</v>
      </c>
      <c r="B298" s="34">
        <v>867</v>
      </c>
      <c r="C298" s="34">
        <v>18</v>
      </c>
      <c r="D298" s="34">
        <v>2389</v>
      </c>
      <c r="E298" s="34">
        <v>27</v>
      </c>
      <c r="F298" s="34" t="s">
        <v>56</v>
      </c>
      <c r="G298" s="97">
        <v>0.30158292394523645</v>
      </c>
      <c r="H298" s="34">
        <f t="shared" si="11"/>
        <v>4</v>
      </c>
      <c r="I298" s="75">
        <f t="shared" si="12"/>
        <v>6</v>
      </c>
    </row>
    <row r="299" spans="1:9" x14ac:dyDescent="0.3">
      <c r="A299" s="34">
        <v>298</v>
      </c>
      <c r="B299" s="34">
        <v>485</v>
      </c>
      <c r="C299" s="34">
        <v>12</v>
      </c>
      <c r="D299" s="34">
        <v>1163</v>
      </c>
      <c r="E299" s="34">
        <v>44</v>
      </c>
      <c r="F299" s="34" t="s">
        <v>54</v>
      </c>
      <c r="G299" s="97">
        <v>0.30285072558899051</v>
      </c>
      <c r="H299" s="34">
        <f t="shared" si="11"/>
        <v>12</v>
      </c>
      <c r="I299" s="75">
        <f t="shared" si="12"/>
        <v>17</v>
      </c>
    </row>
    <row r="300" spans="1:9" x14ac:dyDescent="0.3">
      <c r="A300" s="34">
        <v>299</v>
      </c>
      <c r="B300" s="34">
        <v>326</v>
      </c>
      <c r="C300" s="34">
        <v>8</v>
      </c>
      <c r="D300" s="34">
        <v>3398</v>
      </c>
      <c r="E300" s="34">
        <v>39</v>
      </c>
      <c r="F300" s="34" t="s">
        <v>54</v>
      </c>
      <c r="G300" s="97">
        <v>0.30327427814173846</v>
      </c>
      <c r="H300" s="34">
        <f t="shared" si="11"/>
        <v>9</v>
      </c>
      <c r="I300" s="75">
        <f t="shared" si="12"/>
        <v>14</v>
      </c>
    </row>
    <row r="301" spans="1:9" x14ac:dyDescent="0.3">
      <c r="A301" s="34">
        <v>300</v>
      </c>
      <c r="B301" s="34">
        <v>782</v>
      </c>
      <c r="C301" s="34">
        <v>24</v>
      </c>
      <c r="D301" s="34">
        <v>1940</v>
      </c>
      <c r="E301" s="34">
        <v>60</v>
      </c>
      <c r="F301" s="34" t="s">
        <v>54</v>
      </c>
      <c r="G301" s="97">
        <v>0.30461008770829145</v>
      </c>
      <c r="H301" s="34">
        <f t="shared" si="11"/>
        <v>19</v>
      </c>
      <c r="I301" s="75">
        <f t="shared" si="12"/>
        <v>23</v>
      </c>
    </row>
    <row r="302" spans="1:9" x14ac:dyDescent="0.3">
      <c r="A302" s="34">
        <v>301</v>
      </c>
      <c r="B302" s="34">
        <v>429</v>
      </c>
      <c r="C302" s="34">
        <v>9</v>
      </c>
      <c r="D302" s="34">
        <v>1313</v>
      </c>
      <c r="E302" s="34">
        <v>20</v>
      </c>
      <c r="F302" s="34" t="s">
        <v>54</v>
      </c>
      <c r="G302" s="97">
        <v>0.30467242652333804</v>
      </c>
      <c r="H302" s="34">
        <f t="shared" si="11"/>
        <v>1</v>
      </c>
      <c r="I302" s="75">
        <f t="shared" si="12"/>
        <v>1</v>
      </c>
    </row>
    <row r="303" spans="1:9" x14ac:dyDescent="0.3">
      <c r="A303" s="34">
        <v>302</v>
      </c>
      <c r="B303" s="34">
        <v>50</v>
      </c>
      <c r="C303" s="34">
        <v>12</v>
      </c>
      <c r="D303" s="34">
        <v>2073</v>
      </c>
      <c r="E303" s="34">
        <v>28</v>
      </c>
      <c r="F303" s="34" t="s">
        <v>56</v>
      </c>
      <c r="G303" s="97">
        <v>0.3064732968907079</v>
      </c>
      <c r="H303" s="34">
        <f t="shared" si="11"/>
        <v>5</v>
      </c>
      <c r="I303" s="75">
        <f t="shared" si="12"/>
        <v>7</v>
      </c>
    </row>
    <row r="304" spans="1:9" x14ac:dyDescent="0.3">
      <c r="A304" s="34">
        <v>303</v>
      </c>
      <c r="B304" s="34">
        <v>491</v>
      </c>
      <c r="C304" s="34">
        <v>12</v>
      </c>
      <c r="D304" s="34">
        <v>1934</v>
      </c>
      <c r="E304" s="34">
        <v>26</v>
      </c>
      <c r="F304" s="34" t="s">
        <v>54</v>
      </c>
      <c r="G304" s="97">
        <v>0.30657610999470331</v>
      </c>
      <c r="H304" s="34">
        <f t="shared" si="11"/>
        <v>4</v>
      </c>
      <c r="I304" s="75">
        <f t="shared" si="12"/>
        <v>5</v>
      </c>
    </row>
    <row r="305" spans="1:9" x14ac:dyDescent="0.3">
      <c r="A305" s="34">
        <v>304</v>
      </c>
      <c r="B305" s="34">
        <v>211</v>
      </c>
      <c r="C305" s="34">
        <v>9</v>
      </c>
      <c r="D305" s="34">
        <v>3074</v>
      </c>
      <c r="E305" s="34">
        <v>33</v>
      </c>
      <c r="F305" s="34" t="s">
        <v>54</v>
      </c>
      <c r="G305" s="97">
        <v>0.3075555199382487</v>
      </c>
      <c r="H305" s="34">
        <f t="shared" si="11"/>
        <v>7</v>
      </c>
      <c r="I305" s="75">
        <f t="shared" si="12"/>
        <v>11</v>
      </c>
    </row>
    <row r="306" spans="1:9" x14ac:dyDescent="0.3">
      <c r="A306" s="34">
        <v>305</v>
      </c>
      <c r="B306" s="34">
        <v>488</v>
      </c>
      <c r="C306" s="34">
        <v>24</v>
      </c>
      <c r="D306" s="34">
        <v>3757</v>
      </c>
      <c r="E306" s="34">
        <v>62</v>
      </c>
      <c r="F306" s="34" t="s">
        <v>56</v>
      </c>
      <c r="G306" s="97">
        <v>0.308965534097707</v>
      </c>
      <c r="H306" s="34">
        <f t="shared" si="11"/>
        <v>20</v>
      </c>
      <c r="I306" s="75">
        <f t="shared" si="12"/>
        <v>24</v>
      </c>
    </row>
    <row r="307" spans="1:9" x14ac:dyDescent="0.3">
      <c r="A307" s="34">
        <v>306</v>
      </c>
      <c r="B307" s="34">
        <v>362</v>
      </c>
      <c r="C307" s="34">
        <v>12</v>
      </c>
      <c r="D307" s="34">
        <v>3399</v>
      </c>
      <c r="E307" s="34">
        <v>37</v>
      </c>
      <c r="F307" s="34" t="s">
        <v>54</v>
      </c>
      <c r="G307" s="97">
        <v>0.31040698552787716</v>
      </c>
      <c r="H307" s="34">
        <f t="shared" si="11"/>
        <v>9</v>
      </c>
      <c r="I307" s="75">
        <f t="shared" si="12"/>
        <v>14</v>
      </c>
    </row>
    <row r="308" spans="1:9" x14ac:dyDescent="0.3">
      <c r="A308" s="34">
        <v>307</v>
      </c>
      <c r="B308" s="34">
        <v>186</v>
      </c>
      <c r="C308" s="34">
        <v>15</v>
      </c>
      <c r="D308" s="34">
        <v>1360</v>
      </c>
      <c r="E308" s="34">
        <v>31</v>
      </c>
      <c r="F308" s="34" t="s">
        <v>54</v>
      </c>
      <c r="G308" s="97">
        <v>0.31060549348184374</v>
      </c>
      <c r="H308" s="34">
        <f t="shared" si="11"/>
        <v>6</v>
      </c>
      <c r="I308" s="75">
        <f t="shared" si="12"/>
        <v>10</v>
      </c>
    </row>
    <row r="309" spans="1:9" x14ac:dyDescent="0.3">
      <c r="A309" s="34">
        <v>308</v>
      </c>
      <c r="B309" s="34">
        <v>816</v>
      </c>
      <c r="C309" s="34">
        <v>36</v>
      </c>
      <c r="D309" s="34">
        <v>7432</v>
      </c>
      <c r="E309" s="34">
        <v>54</v>
      </c>
      <c r="F309" s="34" t="s">
        <v>56</v>
      </c>
      <c r="G309" s="97">
        <v>0.31074899764563568</v>
      </c>
      <c r="H309" s="34">
        <f t="shared" si="11"/>
        <v>16</v>
      </c>
      <c r="I309" s="75">
        <f t="shared" si="12"/>
        <v>21</v>
      </c>
    </row>
    <row r="310" spans="1:9" x14ac:dyDescent="0.3">
      <c r="A310" s="34">
        <v>309</v>
      </c>
      <c r="B310" s="34">
        <v>475</v>
      </c>
      <c r="C310" s="34">
        <v>18</v>
      </c>
      <c r="D310" s="34">
        <v>1245</v>
      </c>
      <c r="E310" s="34">
        <v>33</v>
      </c>
      <c r="F310" s="34" t="s">
        <v>55</v>
      </c>
      <c r="G310" s="97">
        <v>0.31486475012729265</v>
      </c>
      <c r="H310" s="34">
        <f t="shared" si="11"/>
        <v>7</v>
      </c>
      <c r="I310" s="75">
        <f t="shared" si="12"/>
        <v>11</v>
      </c>
    </row>
    <row r="311" spans="1:9" x14ac:dyDescent="0.3">
      <c r="A311" s="34">
        <v>310</v>
      </c>
      <c r="B311" s="34">
        <v>489</v>
      </c>
      <c r="C311" s="34">
        <v>10</v>
      </c>
      <c r="D311" s="34">
        <v>1418</v>
      </c>
      <c r="E311" s="34">
        <v>35</v>
      </c>
      <c r="F311" s="34" t="s">
        <v>54</v>
      </c>
      <c r="G311" s="97">
        <v>0.31513517603740682</v>
      </c>
      <c r="H311" s="34">
        <f t="shared" si="11"/>
        <v>8</v>
      </c>
      <c r="I311" s="75">
        <f t="shared" si="12"/>
        <v>12</v>
      </c>
    </row>
    <row r="312" spans="1:9" x14ac:dyDescent="0.3">
      <c r="A312" s="34">
        <v>311</v>
      </c>
      <c r="B312" s="34">
        <v>511</v>
      </c>
      <c r="C312" s="34">
        <v>12</v>
      </c>
      <c r="D312" s="34">
        <v>759</v>
      </c>
      <c r="E312" s="34">
        <v>26</v>
      </c>
      <c r="F312" s="34" t="s">
        <v>55</v>
      </c>
      <c r="G312" s="97">
        <v>0.3162596173183313</v>
      </c>
      <c r="H312" s="34">
        <f t="shared" si="11"/>
        <v>4</v>
      </c>
      <c r="I312" s="75">
        <f t="shared" si="12"/>
        <v>5</v>
      </c>
    </row>
    <row r="313" spans="1:9" x14ac:dyDescent="0.3">
      <c r="A313" s="34">
        <v>312</v>
      </c>
      <c r="B313" s="34">
        <v>230</v>
      </c>
      <c r="C313" s="34">
        <v>24</v>
      </c>
      <c r="D313" s="34">
        <v>3149</v>
      </c>
      <c r="E313" s="34">
        <v>22</v>
      </c>
      <c r="F313" s="34" t="s">
        <v>54</v>
      </c>
      <c r="G313" s="97">
        <v>0.31803843476886295</v>
      </c>
      <c r="H313" s="34">
        <f t="shared" si="11"/>
        <v>2</v>
      </c>
      <c r="I313" s="75">
        <f t="shared" si="12"/>
        <v>2</v>
      </c>
    </row>
    <row r="314" spans="1:9" x14ac:dyDescent="0.3">
      <c r="A314" s="34">
        <v>313</v>
      </c>
      <c r="B314" s="34">
        <v>289</v>
      </c>
      <c r="C314" s="34">
        <v>12</v>
      </c>
      <c r="D314" s="34">
        <v>1092</v>
      </c>
      <c r="E314" s="34">
        <v>49</v>
      </c>
      <c r="F314" s="34" t="s">
        <v>56</v>
      </c>
      <c r="G314" s="97">
        <v>0.31841183317807809</v>
      </c>
      <c r="H314" s="34">
        <f t="shared" si="11"/>
        <v>14</v>
      </c>
      <c r="I314" s="75">
        <f t="shared" si="12"/>
        <v>19</v>
      </c>
    </row>
    <row r="315" spans="1:9" x14ac:dyDescent="0.3">
      <c r="A315" s="34">
        <v>314</v>
      </c>
      <c r="B315" s="34">
        <v>257</v>
      </c>
      <c r="C315" s="34">
        <v>24</v>
      </c>
      <c r="D315" s="34">
        <v>2684</v>
      </c>
      <c r="E315" s="34">
        <v>35</v>
      </c>
      <c r="F315" s="34" t="s">
        <v>54</v>
      </c>
      <c r="G315" s="97">
        <v>0.31970784065814062</v>
      </c>
      <c r="H315" s="34">
        <f t="shared" si="11"/>
        <v>8</v>
      </c>
      <c r="I315" s="75">
        <f t="shared" si="12"/>
        <v>12</v>
      </c>
    </row>
    <row r="316" spans="1:9" x14ac:dyDescent="0.3">
      <c r="A316" s="34">
        <v>315</v>
      </c>
      <c r="B316" s="34">
        <v>614</v>
      </c>
      <c r="C316" s="34">
        <v>24</v>
      </c>
      <c r="D316" s="34">
        <v>3632</v>
      </c>
      <c r="E316" s="34">
        <v>22</v>
      </c>
      <c r="F316" s="34" t="s">
        <v>56</v>
      </c>
      <c r="G316" s="97">
        <v>0.3207386906995946</v>
      </c>
      <c r="H316" s="34">
        <f t="shared" si="11"/>
        <v>2</v>
      </c>
      <c r="I316" s="75">
        <f t="shared" si="12"/>
        <v>2</v>
      </c>
    </row>
    <row r="317" spans="1:9" x14ac:dyDescent="0.3">
      <c r="A317" s="34">
        <v>316</v>
      </c>
      <c r="B317" s="34">
        <v>469</v>
      </c>
      <c r="C317" s="34">
        <v>33</v>
      </c>
      <c r="D317" s="34">
        <v>2764</v>
      </c>
      <c r="E317" s="34">
        <v>26</v>
      </c>
      <c r="F317" s="34" t="s">
        <v>56</v>
      </c>
      <c r="G317" s="97">
        <v>0.32131834683363847</v>
      </c>
      <c r="H317" s="34">
        <f t="shared" si="11"/>
        <v>4</v>
      </c>
      <c r="I317" s="75">
        <f t="shared" si="12"/>
        <v>5</v>
      </c>
    </row>
    <row r="318" spans="1:9" x14ac:dyDescent="0.3">
      <c r="A318" s="34">
        <v>317</v>
      </c>
      <c r="B318" s="34">
        <v>212</v>
      </c>
      <c r="C318" s="34">
        <v>36</v>
      </c>
      <c r="D318" s="34">
        <v>3835</v>
      </c>
      <c r="E318" s="34">
        <v>45</v>
      </c>
      <c r="F318" s="34" t="s">
        <v>56</v>
      </c>
      <c r="G318" s="97">
        <v>0.3222074004815294</v>
      </c>
      <c r="H318" s="34">
        <f t="shared" si="11"/>
        <v>12</v>
      </c>
      <c r="I318" s="75">
        <f t="shared" si="12"/>
        <v>17</v>
      </c>
    </row>
    <row r="319" spans="1:9" x14ac:dyDescent="0.3">
      <c r="A319" s="34">
        <v>318</v>
      </c>
      <c r="B319" s="34">
        <v>636</v>
      </c>
      <c r="C319" s="34">
        <v>12</v>
      </c>
      <c r="D319" s="34">
        <v>1393</v>
      </c>
      <c r="E319" s="34">
        <v>47</v>
      </c>
      <c r="F319" s="34" t="s">
        <v>54</v>
      </c>
      <c r="G319" s="97">
        <v>0.3223812966724533</v>
      </c>
      <c r="H319" s="34">
        <f t="shared" si="11"/>
        <v>13</v>
      </c>
      <c r="I319" s="75">
        <f t="shared" si="12"/>
        <v>18</v>
      </c>
    </row>
    <row r="320" spans="1:9" x14ac:dyDescent="0.3">
      <c r="A320" s="34">
        <v>319</v>
      </c>
      <c r="B320" s="34">
        <v>389</v>
      </c>
      <c r="C320" s="34">
        <v>15</v>
      </c>
      <c r="D320" s="34">
        <v>2326</v>
      </c>
      <c r="E320" s="34">
        <v>27</v>
      </c>
      <c r="F320" s="34" t="s">
        <v>54</v>
      </c>
      <c r="G320" s="97">
        <v>0.32289233060428224</v>
      </c>
      <c r="H320" s="34">
        <f t="shared" si="11"/>
        <v>4</v>
      </c>
      <c r="I320" s="75">
        <f t="shared" si="12"/>
        <v>6</v>
      </c>
    </row>
    <row r="321" spans="1:9" x14ac:dyDescent="0.3">
      <c r="A321" s="34">
        <v>320</v>
      </c>
      <c r="B321" s="34">
        <v>509</v>
      </c>
      <c r="C321" s="34">
        <v>24</v>
      </c>
      <c r="D321" s="34">
        <v>1413</v>
      </c>
      <c r="E321" s="34">
        <v>28</v>
      </c>
      <c r="F321" s="34" t="s">
        <v>54</v>
      </c>
      <c r="G321" s="97">
        <v>0.32400631701099403</v>
      </c>
      <c r="H321" s="34">
        <f t="shared" si="11"/>
        <v>5</v>
      </c>
      <c r="I321" s="75">
        <f t="shared" si="12"/>
        <v>7</v>
      </c>
    </row>
    <row r="322" spans="1:9" x14ac:dyDescent="0.3">
      <c r="A322" s="34">
        <v>321</v>
      </c>
      <c r="B322" s="34">
        <v>933</v>
      </c>
      <c r="C322" s="34">
        <v>9</v>
      </c>
      <c r="D322" s="34">
        <v>1224</v>
      </c>
      <c r="E322" s="34">
        <v>30</v>
      </c>
      <c r="F322" s="34" t="s">
        <v>54</v>
      </c>
      <c r="G322" s="97">
        <v>0.32406640843574319</v>
      </c>
      <c r="H322" s="34">
        <f t="shared" ref="H322:H385" si="13">MATCH(E322,$O$3:$O$27,1)</f>
        <v>5</v>
      </c>
      <c r="I322" s="75">
        <f t="shared" ref="I322:I385" si="14">MATCH(E322,$U$3:$U$28,1)</f>
        <v>9</v>
      </c>
    </row>
    <row r="323" spans="1:9" x14ac:dyDescent="0.3">
      <c r="A323" s="34">
        <v>322</v>
      </c>
      <c r="B323" s="34">
        <v>29</v>
      </c>
      <c r="C323" s="34">
        <v>7</v>
      </c>
      <c r="D323" s="34">
        <v>2415</v>
      </c>
      <c r="E323" s="34">
        <v>34</v>
      </c>
      <c r="F323" s="34" t="s">
        <v>54</v>
      </c>
      <c r="G323" s="97">
        <v>0.32695810815374049</v>
      </c>
      <c r="H323" s="34">
        <f t="shared" si="13"/>
        <v>7</v>
      </c>
      <c r="I323" s="75">
        <f t="shared" si="14"/>
        <v>11</v>
      </c>
    </row>
    <row r="324" spans="1:9" x14ac:dyDescent="0.3">
      <c r="A324" s="34">
        <v>323</v>
      </c>
      <c r="B324" s="34">
        <v>873</v>
      </c>
      <c r="C324" s="34">
        <v>24</v>
      </c>
      <c r="D324" s="34">
        <v>1382</v>
      </c>
      <c r="E324" s="34">
        <v>26</v>
      </c>
      <c r="F324" s="34" t="s">
        <v>54</v>
      </c>
      <c r="G324" s="97">
        <v>0.32704967543088692</v>
      </c>
      <c r="H324" s="34">
        <f t="shared" si="13"/>
        <v>4</v>
      </c>
      <c r="I324" s="75">
        <f t="shared" si="14"/>
        <v>5</v>
      </c>
    </row>
    <row r="325" spans="1:9" x14ac:dyDescent="0.3">
      <c r="A325" s="34">
        <v>324</v>
      </c>
      <c r="B325" s="34">
        <v>902</v>
      </c>
      <c r="C325" s="34">
        <v>20</v>
      </c>
      <c r="D325" s="34">
        <v>3485</v>
      </c>
      <c r="E325" s="34">
        <v>44</v>
      </c>
      <c r="F325" s="34" t="s">
        <v>54</v>
      </c>
      <c r="G325" s="97">
        <v>0.3272996230188423</v>
      </c>
      <c r="H325" s="34">
        <f t="shared" si="13"/>
        <v>12</v>
      </c>
      <c r="I325" s="75">
        <f t="shared" si="14"/>
        <v>17</v>
      </c>
    </row>
    <row r="326" spans="1:9" x14ac:dyDescent="0.3">
      <c r="A326" s="34">
        <v>325</v>
      </c>
      <c r="B326" s="34">
        <v>992</v>
      </c>
      <c r="C326" s="34">
        <v>15</v>
      </c>
      <c r="D326" s="34">
        <v>1569</v>
      </c>
      <c r="E326" s="34">
        <v>34</v>
      </c>
      <c r="F326" s="34" t="s">
        <v>54</v>
      </c>
      <c r="G326" s="97">
        <v>0.32777984380798075</v>
      </c>
      <c r="H326" s="34">
        <f t="shared" si="13"/>
        <v>7</v>
      </c>
      <c r="I326" s="75">
        <f t="shared" si="14"/>
        <v>11</v>
      </c>
    </row>
    <row r="327" spans="1:9" x14ac:dyDescent="0.3">
      <c r="A327" s="34">
        <v>326</v>
      </c>
      <c r="B327" s="34">
        <v>133</v>
      </c>
      <c r="C327" s="34">
        <v>15</v>
      </c>
      <c r="D327" s="34">
        <v>2708</v>
      </c>
      <c r="E327" s="34">
        <v>27</v>
      </c>
      <c r="F327" s="34" t="s">
        <v>54</v>
      </c>
      <c r="G327" s="97">
        <v>0.32787955848631456</v>
      </c>
      <c r="H327" s="34">
        <f t="shared" si="13"/>
        <v>4</v>
      </c>
      <c r="I327" s="75">
        <f t="shared" si="14"/>
        <v>6</v>
      </c>
    </row>
    <row r="328" spans="1:9" x14ac:dyDescent="0.3">
      <c r="A328" s="34">
        <v>327</v>
      </c>
      <c r="B328" s="34">
        <v>624</v>
      </c>
      <c r="C328" s="34">
        <v>12</v>
      </c>
      <c r="D328" s="34">
        <v>1858</v>
      </c>
      <c r="E328" s="34">
        <v>22</v>
      </c>
      <c r="F328" s="34" t="s">
        <v>56</v>
      </c>
      <c r="G328" s="97">
        <v>0.3283310248420046</v>
      </c>
      <c r="H328" s="34">
        <f t="shared" si="13"/>
        <v>2</v>
      </c>
      <c r="I328" s="75">
        <f t="shared" si="14"/>
        <v>2</v>
      </c>
    </row>
    <row r="329" spans="1:9" x14ac:dyDescent="0.3">
      <c r="A329" s="34">
        <v>328</v>
      </c>
      <c r="B329" s="34">
        <v>193</v>
      </c>
      <c r="C329" s="34">
        <v>27</v>
      </c>
      <c r="D329" s="34">
        <v>3915</v>
      </c>
      <c r="E329" s="34">
        <v>36</v>
      </c>
      <c r="F329" s="34" t="s">
        <v>55</v>
      </c>
      <c r="G329" s="97">
        <v>0.32880331741133972</v>
      </c>
      <c r="H329" s="34">
        <f t="shared" si="13"/>
        <v>8</v>
      </c>
      <c r="I329" s="75">
        <f t="shared" si="14"/>
        <v>13</v>
      </c>
    </row>
    <row r="330" spans="1:9" x14ac:dyDescent="0.3">
      <c r="A330" s="34">
        <v>329</v>
      </c>
      <c r="B330" s="34">
        <v>394</v>
      </c>
      <c r="C330" s="34">
        <v>6</v>
      </c>
      <c r="D330" s="34">
        <v>1957</v>
      </c>
      <c r="E330" s="34">
        <v>31</v>
      </c>
      <c r="F330" s="34" t="s">
        <v>56</v>
      </c>
      <c r="G330" s="97">
        <v>0.32912994050815669</v>
      </c>
      <c r="H330" s="34">
        <f t="shared" si="13"/>
        <v>6</v>
      </c>
      <c r="I330" s="75">
        <f t="shared" si="14"/>
        <v>10</v>
      </c>
    </row>
    <row r="331" spans="1:9" x14ac:dyDescent="0.3">
      <c r="A331" s="34">
        <v>330</v>
      </c>
      <c r="B331" s="34">
        <v>413</v>
      </c>
      <c r="C331" s="34">
        <v>12</v>
      </c>
      <c r="D331" s="34">
        <v>2292</v>
      </c>
      <c r="E331" s="34">
        <v>42</v>
      </c>
      <c r="F331" s="34" t="s">
        <v>55</v>
      </c>
      <c r="G331" s="97">
        <v>0.32945295797305774</v>
      </c>
      <c r="H331" s="34">
        <f t="shared" si="13"/>
        <v>11</v>
      </c>
      <c r="I331" s="75">
        <f t="shared" si="14"/>
        <v>16</v>
      </c>
    </row>
    <row r="332" spans="1:9" x14ac:dyDescent="0.3">
      <c r="A332" s="34">
        <v>331</v>
      </c>
      <c r="B332" s="34">
        <v>344</v>
      </c>
      <c r="C332" s="34">
        <v>18</v>
      </c>
      <c r="D332" s="34">
        <v>4439</v>
      </c>
      <c r="E332" s="34">
        <v>33</v>
      </c>
      <c r="F332" s="34" t="s">
        <v>54</v>
      </c>
      <c r="G332" s="97">
        <v>0.32980515326415705</v>
      </c>
      <c r="H332" s="34">
        <f t="shared" si="13"/>
        <v>7</v>
      </c>
      <c r="I332" s="75">
        <f t="shared" si="14"/>
        <v>11</v>
      </c>
    </row>
    <row r="333" spans="1:9" x14ac:dyDescent="0.3">
      <c r="A333" s="34">
        <v>332</v>
      </c>
      <c r="B333" s="34">
        <v>678</v>
      </c>
      <c r="C333" s="34">
        <v>72</v>
      </c>
      <c r="D333" s="34">
        <v>5595</v>
      </c>
      <c r="E333" s="34">
        <v>24</v>
      </c>
      <c r="F333" s="34" t="s">
        <v>55</v>
      </c>
      <c r="G333" s="97">
        <v>0.33052243029595174</v>
      </c>
      <c r="H333" s="34">
        <f t="shared" si="13"/>
        <v>3</v>
      </c>
      <c r="I333" s="75">
        <f t="shared" si="14"/>
        <v>3</v>
      </c>
    </row>
    <row r="334" spans="1:9" x14ac:dyDescent="0.3">
      <c r="A334" s="34">
        <v>333</v>
      </c>
      <c r="B334" s="34">
        <v>733</v>
      </c>
      <c r="C334" s="34">
        <v>8</v>
      </c>
      <c r="D334" s="34">
        <v>760</v>
      </c>
      <c r="E334" s="34">
        <v>44</v>
      </c>
      <c r="F334" s="34" t="s">
        <v>56</v>
      </c>
      <c r="G334" s="97">
        <v>0.33071391661021721</v>
      </c>
      <c r="H334" s="34">
        <f t="shared" si="13"/>
        <v>12</v>
      </c>
      <c r="I334" s="75">
        <f t="shared" si="14"/>
        <v>17</v>
      </c>
    </row>
    <row r="335" spans="1:9" x14ac:dyDescent="0.3">
      <c r="A335" s="34">
        <v>334</v>
      </c>
      <c r="B335" s="34">
        <v>283</v>
      </c>
      <c r="C335" s="34">
        <v>18</v>
      </c>
      <c r="D335" s="34">
        <v>1445</v>
      </c>
      <c r="E335" s="34">
        <v>49</v>
      </c>
      <c r="F335" s="34" t="s">
        <v>54</v>
      </c>
      <c r="G335" s="97">
        <v>0.33071621610224167</v>
      </c>
      <c r="H335" s="34">
        <f t="shared" si="13"/>
        <v>14</v>
      </c>
      <c r="I335" s="75">
        <f t="shared" si="14"/>
        <v>19</v>
      </c>
    </row>
    <row r="336" spans="1:9" x14ac:dyDescent="0.3">
      <c r="A336" s="34">
        <v>335</v>
      </c>
      <c r="B336" s="34">
        <v>830</v>
      </c>
      <c r="C336" s="34">
        <v>48</v>
      </c>
      <c r="D336" s="34">
        <v>6681</v>
      </c>
      <c r="E336" s="34">
        <v>38</v>
      </c>
      <c r="F336" s="34" t="s">
        <v>54</v>
      </c>
      <c r="G336" s="97">
        <v>0.33190591735886699</v>
      </c>
      <c r="H336" s="34">
        <f t="shared" si="13"/>
        <v>9</v>
      </c>
      <c r="I336" s="75">
        <f t="shared" si="14"/>
        <v>14</v>
      </c>
    </row>
    <row r="337" spans="1:9" x14ac:dyDescent="0.3">
      <c r="A337" s="34">
        <v>336</v>
      </c>
      <c r="B337" s="34">
        <v>426</v>
      </c>
      <c r="C337" s="34">
        <v>18</v>
      </c>
      <c r="D337" s="34">
        <v>2779</v>
      </c>
      <c r="E337" s="34">
        <v>21</v>
      </c>
      <c r="F337" s="34" t="s">
        <v>54</v>
      </c>
      <c r="G337" s="97">
        <v>0.33291821636777497</v>
      </c>
      <c r="H337" s="34">
        <f t="shared" si="13"/>
        <v>1</v>
      </c>
      <c r="I337" s="75">
        <f t="shared" si="14"/>
        <v>1</v>
      </c>
    </row>
    <row r="338" spans="1:9" x14ac:dyDescent="0.3">
      <c r="A338" s="34">
        <v>337</v>
      </c>
      <c r="B338" s="34">
        <v>665</v>
      </c>
      <c r="C338" s="34">
        <v>6</v>
      </c>
      <c r="D338" s="34">
        <v>1047</v>
      </c>
      <c r="E338" s="34">
        <v>50</v>
      </c>
      <c r="F338" s="34" t="s">
        <v>56</v>
      </c>
      <c r="G338" s="97">
        <v>0.3333603970252027</v>
      </c>
      <c r="H338" s="34">
        <f t="shared" si="13"/>
        <v>14</v>
      </c>
      <c r="I338" s="75">
        <f t="shared" si="14"/>
        <v>19</v>
      </c>
    </row>
    <row r="339" spans="1:9" x14ac:dyDescent="0.3">
      <c r="A339" s="34">
        <v>338</v>
      </c>
      <c r="B339" s="34">
        <v>141</v>
      </c>
      <c r="C339" s="34">
        <v>6</v>
      </c>
      <c r="D339" s="34">
        <v>709</v>
      </c>
      <c r="E339" s="34">
        <v>27</v>
      </c>
      <c r="F339" s="34" t="s">
        <v>54</v>
      </c>
      <c r="G339" s="97">
        <v>0.33359225244573631</v>
      </c>
      <c r="H339" s="34">
        <f t="shared" si="13"/>
        <v>4</v>
      </c>
      <c r="I339" s="75">
        <f t="shared" si="14"/>
        <v>6</v>
      </c>
    </row>
    <row r="340" spans="1:9" x14ac:dyDescent="0.3">
      <c r="A340" s="34">
        <v>339</v>
      </c>
      <c r="B340" s="34">
        <v>809</v>
      </c>
      <c r="C340" s="34">
        <v>42</v>
      </c>
      <c r="D340" s="34">
        <v>9283</v>
      </c>
      <c r="E340" s="34">
        <v>55</v>
      </c>
      <c r="F340" s="34" t="s">
        <v>54</v>
      </c>
      <c r="G340" s="97">
        <v>0.33431528982032488</v>
      </c>
      <c r="H340" s="34">
        <f t="shared" si="13"/>
        <v>17</v>
      </c>
      <c r="I340" s="75">
        <f t="shared" si="14"/>
        <v>22</v>
      </c>
    </row>
    <row r="341" spans="1:9" x14ac:dyDescent="0.3">
      <c r="A341" s="34">
        <v>340</v>
      </c>
      <c r="B341" s="34">
        <v>589</v>
      </c>
      <c r="C341" s="34">
        <v>18</v>
      </c>
      <c r="D341" s="34">
        <v>1217</v>
      </c>
      <c r="E341" s="34">
        <v>47</v>
      </c>
      <c r="F341" s="34" t="s">
        <v>55</v>
      </c>
      <c r="G341" s="97">
        <v>0.33541078051879647</v>
      </c>
      <c r="H341" s="34">
        <f t="shared" si="13"/>
        <v>13</v>
      </c>
      <c r="I341" s="75">
        <f t="shared" si="14"/>
        <v>18</v>
      </c>
    </row>
    <row r="342" spans="1:9" x14ac:dyDescent="0.3">
      <c r="A342" s="34">
        <v>341</v>
      </c>
      <c r="B342" s="34">
        <v>297</v>
      </c>
      <c r="C342" s="34">
        <v>12</v>
      </c>
      <c r="D342" s="34">
        <v>4675</v>
      </c>
      <c r="E342" s="34">
        <v>20</v>
      </c>
      <c r="F342" s="34" t="s">
        <v>56</v>
      </c>
      <c r="G342" s="97">
        <v>0.33662725901752855</v>
      </c>
      <c r="H342" s="34">
        <f t="shared" si="13"/>
        <v>1</v>
      </c>
      <c r="I342" s="75">
        <f t="shared" si="14"/>
        <v>1</v>
      </c>
    </row>
    <row r="343" spans="1:9" x14ac:dyDescent="0.3">
      <c r="A343" s="34">
        <v>342</v>
      </c>
      <c r="B343" s="34">
        <v>448</v>
      </c>
      <c r="C343" s="34">
        <v>7</v>
      </c>
      <c r="D343" s="34">
        <v>2576</v>
      </c>
      <c r="E343" s="34">
        <v>35</v>
      </c>
      <c r="F343" s="34" t="s">
        <v>54</v>
      </c>
      <c r="G343" s="97">
        <v>0.33783991500271926</v>
      </c>
      <c r="H343" s="34">
        <f t="shared" si="13"/>
        <v>8</v>
      </c>
      <c r="I343" s="75">
        <f t="shared" si="14"/>
        <v>12</v>
      </c>
    </row>
    <row r="344" spans="1:9" x14ac:dyDescent="0.3">
      <c r="A344" s="34">
        <v>343</v>
      </c>
      <c r="B344" s="34">
        <v>557</v>
      </c>
      <c r="C344" s="34">
        <v>18</v>
      </c>
      <c r="D344" s="34">
        <v>2278</v>
      </c>
      <c r="E344" s="34">
        <v>28</v>
      </c>
      <c r="F344" s="34" t="s">
        <v>57</v>
      </c>
      <c r="G344" s="97">
        <v>0.33899896315765832</v>
      </c>
      <c r="H344" s="34">
        <f t="shared" si="13"/>
        <v>5</v>
      </c>
      <c r="I344" s="75">
        <f t="shared" si="14"/>
        <v>7</v>
      </c>
    </row>
    <row r="345" spans="1:9" x14ac:dyDescent="0.3">
      <c r="A345" s="34">
        <v>344</v>
      </c>
      <c r="B345" s="34">
        <v>345</v>
      </c>
      <c r="C345" s="34">
        <v>10</v>
      </c>
      <c r="D345" s="34">
        <v>3949</v>
      </c>
      <c r="E345" s="34">
        <v>37</v>
      </c>
      <c r="F345" s="34" t="s">
        <v>54</v>
      </c>
      <c r="G345" s="97">
        <v>0.33964211782685572</v>
      </c>
      <c r="H345" s="34">
        <f t="shared" si="13"/>
        <v>9</v>
      </c>
      <c r="I345" s="75">
        <f t="shared" si="14"/>
        <v>14</v>
      </c>
    </row>
    <row r="346" spans="1:9" x14ac:dyDescent="0.3">
      <c r="A346" s="34">
        <v>345</v>
      </c>
      <c r="B346" s="34">
        <v>615</v>
      </c>
      <c r="C346" s="34">
        <v>18</v>
      </c>
      <c r="D346" s="34">
        <v>1808</v>
      </c>
      <c r="E346" s="34">
        <v>22</v>
      </c>
      <c r="F346" s="34" t="s">
        <v>57</v>
      </c>
      <c r="G346" s="97">
        <v>0.34116612358289389</v>
      </c>
      <c r="H346" s="34">
        <f t="shared" si="13"/>
        <v>2</v>
      </c>
      <c r="I346" s="75">
        <f t="shared" si="14"/>
        <v>2</v>
      </c>
    </row>
    <row r="347" spans="1:9" x14ac:dyDescent="0.3">
      <c r="A347" s="34">
        <v>346</v>
      </c>
      <c r="B347" s="34">
        <v>773</v>
      </c>
      <c r="C347" s="34">
        <v>21</v>
      </c>
      <c r="D347" s="34">
        <v>3275</v>
      </c>
      <c r="E347" s="34">
        <v>36</v>
      </c>
      <c r="F347" s="34" t="s">
        <v>54</v>
      </c>
      <c r="G347" s="97">
        <v>0.34153312690216342</v>
      </c>
      <c r="H347" s="34">
        <f t="shared" si="13"/>
        <v>8</v>
      </c>
      <c r="I347" s="75">
        <f t="shared" si="14"/>
        <v>13</v>
      </c>
    </row>
    <row r="348" spans="1:9" x14ac:dyDescent="0.3">
      <c r="A348" s="34">
        <v>347</v>
      </c>
      <c r="B348" s="34">
        <v>645</v>
      </c>
      <c r="C348" s="34">
        <v>18</v>
      </c>
      <c r="D348" s="34">
        <v>1880</v>
      </c>
      <c r="E348" s="34">
        <v>32</v>
      </c>
      <c r="F348" s="34" t="s">
        <v>54</v>
      </c>
      <c r="G348" s="97">
        <v>0.3432332519910174</v>
      </c>
      <c r="H348" s="34">
        <f t="shared" si="13"/>
        <v>6</v>
      </c>
      <c r="I348" s="75">
        <f t="shared" si="14"/>
        <v>10</v>
      </c>
    </row>
    <row r="349" spans="1:9" x14ac:dyDescent="0.3">
      <c r="A349" s="34">
        <v>348</v>
      </c>
      <c r="B349" s="34">
        <v>632</v>
      </c>
      <c r="C349" s="34">
        <v>18</v>
      </c>
      <c r="D349" s="34">
        <v>1553</v>
      </c>
      <c r="E349" s="34">
        <v>44</v>
      </c>
      <c r="F349" s="34" t="s">
        <v>55</v>
      </c>
      <c r="G349" s="97">
        <v>0.34439629667451932</v>
      </c>
      <c r="H349" s="34">
        <f t="shared" si="13"/>
        <v>12</v>
      </c>
      <c r="I349" s="75">
        <f t="shared" si="14"/>
        <v>17</v>
      </c>
    </row>
    <row r="350" spans="1:9" x14ac:dyDescent="0.3">
      <c r="A350" s="34">
        <v>349</v>
      </c>
      <c r="B350" s="34">
        <v>422</v>
      </c>
      <c r="C350" s="34">
        <v>12</v>
      </c>
      <c r="D350" s="34">
        <v>2028</v>
      </c>
      <c r="E350" s="34">
        <v>30</v>
      </c>
      <c r="F350" s="34" t="s">
        <v>54</v>
      </c>
      <c r="G350" s="97">
        <v>0.34537884595763857</v>
      </c>
      <c r="H350" s="34">
        <f t="shared" si="13"/>
        <v>5</v>
      </c>
      <c r="I350" s="75">
        <f t="shared" si="14"/>
        <v>9</v>
      </c>
    </row>
    <row r="351" spans="1:9" x14ac:dyDescent="0.3">
      <c r="A351" s="34">
        <v>350</v>
      </c>
      <c r="B351" s="34">
        <v>860</v>
      </c>
      <c r="C351" s="34">
        <v>9</v>
      </c>
      <c r="D351" s="34">
        <v>3577</v>
      </c>
      <c r="E351" s="34">
        <v>26</v>
      </c>
      <c r="F351" s="34" t="s">
        <v>54</v>
      </c>
      <c r="G351" s="97">
        <v>0.34632600387728651</v>
      </c>
      <c r="H351" s="34">
        <f t="shared" si="13"/>
        <v>4</v>
      </c>
      <c r="I351" s="75">
        <f t="shared" si="14"/>
        <v>5</v>
      </c>
    </row>
    <row r="352" spans="1:9" x14ac:dyDescent="0.3">
      <c r="A352" s="34">
        <v>351</v>
      </c>
      <c r="B352" s="34">
        <v>970</v>
      </c>
      <c r="C352" s="34">
        <v>11</v>
      </c>
      <c r="D352" s="34">
        <v>3939</v>
      </c>
      <c r="E352" s="34">
        <v>40</v>
      </c>
      <c r="F352" s="34" t="s">
        <v>54</v>
      </c>
      <c r="G352" s="97">
        <v>0.34939025358942954</v>
      </c>
      <c r="H352" s="34">
        <f t="shared" si="13"/>
        <v>10</v>
      </c>
      <c r="I352" s="75">
        <f t="shared" si="14"/>
        <v>15</v>
      </c>
    </row>
    <row r="353" spans="1:9" x14ac:dyDescent="0.3">
      <c r="A353" s="34">
        <v>352</v>
      </c>
      <c r="B353" s="34">
        <v>83</v>
      </c>
      <c r="C353" s="34">
        <v>18</v>
      </c>
      <c r="D353" s="34">
        <v>1568</v>
      </c>
      <c r="E353" s="34">
        <v>24</v>
      </c>
      <c r="F353" s="34" t="s">
        <v>56</v>
      </c>
      <c r="G353" s="97">
        <v>0.34983256630726867</v>
      </c>
      <c r="H353" s="34">
        <f t="shared" si="13"/>
        <v>3</v>
      </c>
      <c r="I353" s="75">
        <f t="shared" si="14"/>
        <v>3</v>
      </c>
    </row>
    <row r="354" spans="1:9" x14ac:dyDescent="0.3">
      <c r="A354" s="34">
        <v>353</v>
      </c>
      <c r="B354" s="34">
        <v>280</v>
      </c>
      <c r="C354" s="34">
        <v>24</v>
      </c>
      <c r="D354" s="34">
        <v>1901</v>
      </c>
      <c r="E354" s="34">
        <v>29</v>
      </c>
      <c r="F354" s="34" t="s">
        <v>54</v>
      </c>
      <c r="G354" s="97">
        <v>0.35156746309999243</v>
      </c>
      <c r="H354" s="34">
        <f t="shared" si="13"/>
        <v>5</v>
      </c>
      <c r="I354" s="75">
        <f t="shared" si="14"/>
        <v>8</v>
      </c>
    </row>
    <row r="355" spans="1:9" x14ac:dyDescent="0.3">
      <c r="A355" s="34">
        <v>354</v>
      </c>
      <c r="B355" s="34">
        <v>775</v>
      </c>
      <c r="C355" s="34">
        <v>12</v>
      </c>
      <c r="D355" s="34">
        <v>1480</v>
      </c>
      <c r="E355" s="34">
        <v>66</v>
      </c>
      <c r="F355" s="34" t="s">
        <v>54</v>
      </c>
      <c r="G355" s="97">
        <v>0.35369231748407592</v>
      </c>
      <c r="H355" s="34">
        <f t="shared" si="13"/>
        <v>21</v>
      </c>
      <c r="I355" s="75">
        <f t="shared" si="14"/>
        <v>24</v>
      </c>
    </row>
    <row r="356" spans="1:9" x14ac:dyDescent="0.3">
      <c r="A356" s="34">
        <v>355</v>
      </c>
      <c r="B356" s="34">
        <v>795</v>
      </c>
      <c r="C356" s="34">
        <v>24</v>
      </c>
      <c r="D356" s="34">
        <v>3062</v>
      </c>
      <c r="E356" s="34">
        <v>32</v>
      </c>
      <c r="F356" s="34" t="s">
        <v>54</v>
      </c>
      <c r="G356" s="97">
        <v>0.35666824992997037</v>
      </c>
      <c r="H356" s="34">
        <f t="shared" si="13"/>
        <v>6</v>
      </c>
      <c r="I356" s="75">
        <f t="shared" si="14"/>
        <v>10</v>
      </c>
    </row>
    <row r="357" spans="1:9" x14ac:dyDescent="0.3">
      <c r="A357" s="34">
        <v>356</v>
      </c>
      <c r="B357" s="34">
        <v>769</v>
      </c>
      <c r="C357" s="34">
        <v>12</v>
      </c>
      <c r="D357" s="34">
        <v>3617</v>
      </c>
      <c r="E357" s="34">
        <v>28</v>
      </c>
      <c r="F357" s="34" t="s">
        <v>54</v>
      </c>
      <c r="G357" s="97">
        <v>0.3566749026745113</v>
      </c>
      <c r="H357" s="34">
        <f t="shared" si="13"/>
        <v>5</v>
      </c>
      <c r="I357" s="75">
        <f t="shared" si="14"/>
        <v>7</v>
      </c>
    </row>
    <row r="358" spans="1:9" x14ac:dyDescent="0.3">
      <c r="A358" s="34">
        <v>357</v>
      </c>
      <c r="B358" s="34">
        <v>736</v>
      </c>
      <c r="C358" s="34">
        <v>36</v>
      </c>
      <c r="D358" s="34">
        <v>3990</v>
      </c>
      <c r="E358" s="34">
        <v>29</v>
      </c>
      <c r="F358" s="34" t="s">
        <v>56</v>
      </c>
      <c r="G358" s="97">
        <v>0.35731073078128817</v>
      </c>
      <c r="H358" s="34">
        <f t="shared" si="13"/>
        <v>5</v>
      </c>
      <c r="I358" s="75">
        <f t="shared" si="14"/>
        <v>8</v>
      </c>
    </row>
    <row r="359" spans="1:9" x14ac:dyDescent="0.3">
      <c r="A359" s="34">
        <v>358</v>
      </c>
      <c r="B359" s="34">
        <v>182</v>
      </c>
      <c r="C359" s="34">
        <v>36</v>
      </c>
      <c r="D359" s="34">
        <v>4455</v>
      </c>
      <c r="E359" s="34">
        <v>30</v>
      </c>
      <c r="F359" s="34" t="s">
        <v>55</v>
      </c>
      <c r="G359" s="97">
        <v>0.35976281237235808</v>
      </c>
      <c r="H359" s="34">
        <f t="shared" si="13"/>
        <v>5</v>
      </c>
      <c r="I359" s="75">
        <f t="shared" si="14"/>
        <v>9</v>
      </c>
    </row>
    <row r="360" spans="1:9" x14ac:dyDescent="0.3">
      <c r="A360" s="34">
        <v>359</v>
      </c>
      <c r="B360" s="34">
        <v>478</v>
      </c>
      <c r="C360" s="34">
        <v>24</v>
      </c>
      <c r="D360" s="34">
        <v>5152</v>
      </c>
      <c r="E360" s="34">
        <v>25</v>
      </c>
      <c r="F360" s="34" t="s">
        <v>54</v>
      </c>
      <c r="G360" s="97">
        <v>0.36070867793059636</v>
      </c>
      <c r="H360" s="34">
        <f t="shared" si="13"/>
        <v>3</v>
      </c>
      <c r="I360" s="75">
        <f t="shared" si="14"/>
        <v>4</v>
      </c>
    </row>
    <row r="361" spans="1:9" x14ac:dyDescent="0.3">
      <c r="A361" s="34">
        <v>360</v>
      </c>
      <c r="B361" s="34">
        <v>556</v>
      </c>
      <c r="C361" s="34">
        <v>12</v>
      </c>
      <c r="D361" s="34">
        <v>1331</v>
      </c>
      <c r="E361" s="34">
        <v>22</v>
      </c>
      <c r="F361" s="34" t="s">
        <v>55</v>
      </c>
      <c r="G361" s="97">
        <v>0.36081079104500424</v>
      </c>
      <c r="H361" s="34">
        <f t="shared" si="13"/>
        <v>2</v>
      </c>
      <c r="I361" s="75">
        <f t="shared" si="14"/>
        <v>2</v>
      </c>
    </row>
    <row r="362" spans="1:9" x14ac:dyDescent="0.3">
      <c r="A362" s="34">
        <v>361</v>
      </c>
      <c r="B362" s="34">
        <v>393</v>
      </c>
      <c r="C362" s="34">
        <v>36</v>
      </c>
      <c r="D362" s="34">
        <v>3249</v>
      </c>
      <c r="E362" s="34">
        <v>39</v>
      </c>
      <c r="F362" s="34" t="s">
        <v>54</v>
      </c>
      <c r="G362" s="97">
        <v>0.36099598575849601</v>
      </c>
      <c r="H362" s="34">
        <f t="shared" si="13"/>
        <v>9</v>
      </c>
      <c r="I362" s="75">
        <f t="shared" si="14"/>
        <v>14</v>
      </c>
    </row>
    <row r="363" spans="1:9" x14ac:dyDescent="0.3">
      <c r="A363" s="34">
        <v>362</v>
      </c>
      <c r="B363" s="34">
        <v>447</v>
      </c>
      <c r="C363" s="34">
        <v>36</v>
      </c>
      <c r="D363" s="34">
        <v>1842</v>
      </c>
      <c r="E363" s="34">
        <v>34</v>
      </c>
      <c r="F363" s="34" t="s">
        <v>57</v>
      </c>
      <c r="G363" s="97">
        <v>0.36167129840971934</v>
      </c>
      <c r="H363" s="34">
        <f t="shared" si="13"/>
        <v>7</v>
      </c>
      <c r="I363" s="75">
        <f t="shared" si="14"/>
        <v>11</v>
      </c>
    </row>
    <row r="364" spans="1:9" x14ac:dyDescent="0.3">
      <c r="A364" s="34">
        <v>363</v>
      </c>
      <c r="B364" s="34">
        <v>910</v>
      </c>
      <c r="C364" s="34">
        <v>9</v>
      </c>
      <c r="D364" s="34">
        <v>3195</v>
      </c>
      <c r="E364" s="34">
        <v>33</v>
      </c>
      <c r="F364" s="34" t="s">
        <v>56</v>
      </c>
      <c r="G364" s="97">
        <v>0.36253633076296954</v>
      </c>
      <c r="H364" s="34">
        <f t="shared" si="13"/>
        <v>7</v>
      </c>
      <c r="I364" s="75">
        <f t="shared" si="14"/>
        <v>11</v>
      </c>
    </row>
    <row r="365" spans="1:9" x14ac:dyDescent="0.3">
      <c r="A365" s="34">
        <v>364</v>
      </c>
      <c r="B365" s="34">
        <v>135</v>
      </c>
      <c r="C365" s="34">
        <v>60</v>
      </c>
      <c r="D365" s="34">
        <v>10144</v>
      </c>
      <c r="E365" s="34">
        <v>21</v>
      </c>
      <c r="F365" s="34" t="s">
        <v>56</v>
      </c>
      <c r="G365" s="97">
        <v>0.36360966731154321</v>
      </c>
      <c r="H365" s="34">
        <f t="shared" si="13"/>
        <v>1</v>
      </c>
      <c r="I365" s="75">
        <f t="shared" si="14"/>
        <v>1</v>
      </c>
    </row>
    <row r="366" spans="1:9" x14ac:dyDescent="0.3">
      <c r="A366" s="34">
        <v>365</v>
      </c>
      <c r="B366" s="34">
        <v>903</v>
      </c>
      <c r="C366" s="34">
        <v>36</v>
      </c>
      <c r="D366" s="34">
        <v>10477</v>
      </c>
      <c r="E366" s="34">
        <v>42</v>
      </c>
      <c r="F366" s="34" t="s">
        <v>54</v>
      </c>
      <c r="G366" s="97">
        <v>0.36441320202427963</v>
      </c>
      <c r="H366" s="34">
        <f t="shared" si="13"/>
        <v>11</v>
      </c>
      <c r="I366" s="75">
        <f t="shared" si="14"/>
        <v>16</v>
      </c>
    </row>
    <row r="367" spans="1:9" x14ac:dyDescent="0.3">
      <c r="A367" s="34">
        <v>366</v>
      </c>
      <c r="B367" s="34">
        <v>542</v>
      </c>
      <c r="C367" s="34">
        <v>24</v>
      </c>
      <c r="D367" s="34">
        <v>2032</v>
      </c>
      <c r="E367" s="34">
        <v>60</v>
      </c>
      <c r="F367" s="34" t="s">
        <v>54</v>
      </c>
      <c r="G367" s="97">
        <v>0.36450032964518908</v>
      </c>
      <c r="H367" s="34">
        <f t="shared" si="13"/>
        <v>19</v>
      </c>
      <c r="I367" s="75">
        <f t="shared" si="14"/>
        <v>23</v>
      </c>
    </row>
    <row r="368" spans="1:9" x14ac:dyDescent="0.3">
      <c r="A368" s="34">
        <v>367</v>
      </c>
      <c r="B368" s="34">
        <v>586</v>
      </c>
      <c r="C368" s="34">
        <v>18</v>
      </c>
      <c r="D368" s="34">
        <v>2039</v>
      </c>
      <c r="E368" s="34">
        <v>20</v>
      </c>
      <c r="F368" s="34" t="s">
        <v>57</v>
      </c>
      <c r="G368" s="97">
        <v>0.36471523488283808</v>
      </c>
      <c r="H368" s="34">
        <f t="shared" si="13"/>
        <v>1</v>
      </c>
      <c r="I368" s="75">
        <f t="shared" si="14"/>
        <v>1</v>
      </c>
    </row>
    <row r="369" spans="1:9" x14ac:dyDescent="0.3">
      <c r="A369" s="34">
        <v>368</v>
      </c>
      <c r="B369" s="34">
        <v>235</v>
      </c>
      <c r="C369" s="34">
        <v>4</v>
      </c>
      <c r="D369" s="34">
        <v>1544</v>
      </c>
      <c r="E369" s="34">
        <v>42</v>
      </c>
      <c r="F369" s="34" t="s">
        <v>54</v>
      </c>
      <c r="G369" s="97">
        <v>0.36754530886917669</v>
      </c>
      <c r="H369" s="34">
        <f t="shared" si="13"/>
        <v>11</v>
      </c>
      <c r="I369" s="75">
        <f t="shared" si="14"/>
        <v>16</v>
      </c>
    </row>
    <row r="370" spans="1:9" x14ac:dyDescent="0.3">
      <c r="A370" s="34">
        <v>369</v>
      </c>
      <c r="B370" s="34">
        <v>213</v>
      </c>
      <c r="C370" s="34">
        <v>27</v>
      </c>
      <c r="D370" s="34">
        <v>5293</v>
      </c>
      <c r="E370" s="34">
        <v>50</v>
      </c>
      <c r="F370" s="34" t="s">
        <v>55</v>
      </c>
      <c r="G370" s="97">
        <v>0.37006546494122472</v>
      </c>
      <c r="H370" s="34">
        <f t="shared" si="13"/>
        <v>14</v>
      </c>
      <c r="I370" s="75">
        <f t="shared" si="14"/>
        <v>19</v>
      </c>
    </row>
    <row r="371" spans="1:9" x14ac:dyDescent="0.3">
      <c r="A371" s="34">
        <v>370</v>
      </c>
      <c r="B371" s="34">
        <v>33</v>
      </c>
      <c r="C371" s="34">
        <v>18</v>
      </c>
      <c r="D371" s="34">
        <v>5866</v>
      </c>
      <c r="E371" s="34">
        <v>30</v>
      </c>
      <c r="F371" s="34" t="s">
        <v>54</v>
      </c>
      <c r="G371" s="97">
        <v>0.37124717489022829</v>
      </c>
      <c r="H371" s="34">
        <f t="shared" si="13"/>
        <v>5</v>
      </c>
      <c r="I371" s="75">
        <f t="shared" si="14"/>
        <v>9</v>
      </c>
    </row>
    <row r="372" spans="1:9" x14ac:dyDescent="0.3">
      <c r="A372" s="34">
        <v>371</v>
      </c>
      <c r="B372" s="34">
        <v>128</v>
      </c>
      <c r="C372" s="34">
        <v>12</v>
      </c>
      <c r="D372" s="34">
        <v>639</v>
      </c>
      <c r="E372" s="34">
        <v>30</v>
      </c>
      <c r="F372" s="34" t="s">
        <v>55</v>
      </c>
      <c r="G372" s="97">
        <v>0.37250731635933243</v>
      </c>
      <c r="H372" s="34">
        <f t="shared" si="13"/>
        <v>5</v>
      </c>
      <c r="I372" s="75">
        <f t="shared" si="14"/>
        <v>9</v>
      </c>
    </row>
    <row r="373" spans="1:9" x14ac:dyDescent="0.3">
      <c r="A373" s="34">
        <v>372</v>
      </c>
      <c r="B373" s="34">
        <v>397</v>
      </c>
      <c r="C373" s="34">
        <v>12</v>
      </c>
      <c r="D373" s="34">
        <v>2578</v>
      </c>
      <c r="E373" s="34">
        <v>55</v>
      </c>
      <c r="F373" s="34" t="s">
        <v>56</v>
      </c>
      <c r="G373" s="97">
        <v>0.37335071742996673</v>
      </c>
      <c r="H373" s="34">
        <f t="shared" si="13"/>
        <v>17</v>
      </c>
      <c r="I373" s="75">
        <f t="shared" si="14"/>
        <v>22</v>
      </c>
    </row>
    <row r="374" spans="1:9" x14ac:dyDescent="0.3">
      <c r="A374" s="34">
        <v>373</v>
      </c>
      <c r="B374" s="34">
        <v>543</v>
      </c>
      <c r="C374" s="34">
        <v>30</v>
      </c>
      <c r="D374" s="34">
        <v>6350</v>
      </c>
      <c r="E374" s="34">
        <v>31</v>
      </c>
      <c r="F374" s="34" t="s">
        <v>55</v>
      </c>
      <c r="G374" s="97">
        <v>0.37351426726947867</v>
      </c>
      <c r="H374" s="34">
        <f t="shared" si="13"/>
        <v>6</v>
      </c>
      <c r="I374" s="75">
        <f t="shared" si="14"/>
        <v>10</v>
      </c>
    </row>
    <row r="375" spans="1:9" x14ac:dyDescent="0.3">
      <c r="A375" s="34">
        <v>374</v>
      </c>
      <c r="B375" s="34">
        <v>60</v>
      </c>
      <c r="C375" s="34">
        <v>36</v>
      </c>
      <c r="D375" s="34">
        <v>6229</v>
      </c>
      <c r="E375" s="34">
        <v>23</v>
      </c>
      <c r="F375" s="34" t="s">
        <v>57</v>
      </c>
      <c r="G375" s="97">
        <v>0.37363836830496622</v>
      </c>
      <c r="H375" s="34">
        <f t="shared" si="13"/>
        <v>2</v>
      </c>
      <c r="I375" s="75">
        <f t="shared" si="14"/>
        <v>2</v>
      </c>
    </row>
    <row r="376" spans="1:9" x14ac:dyDescent="0.3">
      <c r="A376" s="34">
        <v>375</v>
      </c>
      <c r="B376" s="34">
        <v>92</v>
      </c>
      <c r="C376" s="34">
        <v>12</v>
      </c>
      <c r="D376" s="34">
        <v>1409</v>
      </c>
      <c r="E376" s="34">
        <v>54</v>
      </c>
      <c r="F376" s="34" t="s">
        <v>54</v>
      </c>
      <c r="G376" s="97">
        <v>0.37388050659190897</v>
      </c>
      <c r="H376" s="34">
        <f t="shared" si="13"/>
        <v>16</v>
      </c>
      <c r="I376" s="75">
        <f t="shared" si="14"/>
        <v>21</v>
      </c>
    </row>
    <row r="377" spans="1:9" x14ac:dyDescent="0.3">
      <c r="A377" s="34">
        <v>376</v>
      </c>
      <c r="B377" s="34">
        <v>285</v>
      </c>
      <c r="C377" s="34">
        <v>24</v>
      </c>
      <c r="D377" s="34">
        <v>3878</v>
      </c>
      <c r="E377" s="34">
        <v>37</v>
      </c>
      <c r="F377" s="34" t="s">
        <v>54</v>
      </c>
      <c r="G377" s="97">
        <v>0.37435728291907511</v>
      </c>
      <c r="H377" s="34">
        <f t="shared" si="13"/>
        <v>9</v>
      </c>
      <c r="I377" s="75">
        <f t="shared" si="14"/>
        <v>14</v>
      </c>
    </row>
    <row r="378" spans="1:9" x14ac:dyDescent="0.3">
      <c r="A378" s="34">
        <v>377</v>
      </c>
      <c r="B378" s="34">
        <v>79</v>
      </c>
      <c r="C378" s="34">
        <v>54</v>
      </c>
      <c r="D378" s="34">
        <v>9436</v>
      </c>
      <c r="E378" s="34">
        <v>39</v>
      </c>
      <c r="F378" s="34" t="s">
        <v>54</v>
      </c>
      <c r="G378" s="97">
        <v>0.37795438753756605</v>
      </c>
      <c r="H378" s="34">
        <f t="shared" si="13"/>
        <v>9</v>
      </c>
      <c r="I378" s="75">
        <f t="shared" si="14"/>
        <v>14</v>
      </c>
    </row>
    <row r="379" spans="1:9" x14ac:dyDescent="0.3">
      <c r="A379" s="34">
        <v>378</v>
      </c>
      <c r="B379" s="34">
        <v>993</v>
      </c>
      <c r="C379" s="34">
        <v>18</v>
      </c>
      <c r="D379" s="34">
        <v>1936</v>
      </c>
      <c r="E379" s="34">
        <v>23</v>
      </c>
      <c r="F379" s="34" t="s">
        <v>54</v>
      </c>
      <c r="G379" s="97">
        <v>0.378233503108377</v>
      </c>
      <c r="H379" s="34">
        <f t="shared" si="13"/>
        <v>2</v>
      </c>
      <c r="I379" s="75">
        <f t="shared" si="14"/>
        <v>2</v>
      </c>
    </row>
    <row r="380" spans="1:9" x14ac:dyDescent="0.3">
      <c r="A380" s="34">
        <v>379</v>
      </c>
      <c r="B380" s="34">
        <v>550</v>
      </c>
      <c r="C380" s="34">
        <v>48</v>
      </c>
      <c r="D380" s="34">
        <v>8858</v>
      </c>
      <c r="E380" s="34">
        <v>35</v>
      </c>
      <c r="F380" s="34" t="s">
        <v>54</v>
      </c>
      <c r="G380" s="97">
        <v>0.37839717850940346</v>
      </c>
      <c r="H380" s="34">
        <f t="shared" si="13"/>
        <v>8</v>
      </c>
      <c r="I380" s="75">
        <f t="shared" si="14"/>
        <v>12</v>
      </c>
    </row>
    <row r="381" spans="1:9" x14ac:dyDescent="0.3">
      <c r="A381" s="34">
        <v>380</v>
      </c>
      <c r="B381" s="34">
        <v>96</v>
      </c>
      <c r="C381" s="34">
        <v>54</v>
      </c>
      <c r="D381" s="34">
        <v>15945</v>
      </c>
      <c r="E381" s="34">
        <v>58</v>
      </c>
      <c r="F381" s="34" t="s">
        <v>55</v>
      </c>
      <c r="G381" s="97">
        <v>0.37859559743503335</v>
      </c>
      <c r="H381" s="34">
        <f t="shared" si="13"/>
        <v>18</v>
      </c>
      <c r="I381" s="75">
        <f t="shared" si="14"/>
        <v>23</v>
      </c>
    </row>
    <row r="382" spans="1:9" x14ac:dyDescent="0.3">
      <c r="A382" s="34">
        <v>381</v>
      </c>
      <c r="B382" s="34">
        <v>612</v>
      </c>
      <c r="C382" s="34">
        <v>10</v>
      </c>
      <c r="D382" s="34">
        <v>1240</v>
      </c>
      <c r="E382" s="34">
        <v>48</v>
      </c>
      <c r="F382" s="34" t="s">
        <v>57</v>
      </c>
      <c r="G382" s="97">
        <v>0.37874566577831692</v>
      </c>
      <c r="H382" s="34">
        <f t="shared" si="13"/>
        <v>13</v>
      </c>
      <c r="I382" s="75">
        <f t="shared" si="14"/>
        <v>18</v>
      </c>
    </row>
    <row r="383" spans="1:9" x14ac:dyDescent="0.3">
      <c r="A383" s="34">
        <v>382</v>
      </c>
      <c r="B383" s="34">
        <v>116</v>
      </c>
      <c r="C383" s="34">
        <v>48</v>
      </c>
      <c r="D383" s="34">
        <v>3578</v>
      </c>
      <c r="E383" s="34">
        <v>47</v>
      </c>
      <c r="F383" s="34" t="s">
        <v>54</v>
      </c>
      <c r="G383" s="97">
        <v>0.37897485840147627</v>
      </c>
      <c r="H383" s="34">
        <f t="shared" si="13"/>
        <v>13</v>
      </c>
      <c r="I383" s="75">
        <f t="shared" si="14"/>
        <v>18</v>
      </c>
    </row>
    <row r="384" spans="1:9" x14ac:dyDescent="0.3">
      <c r="A384" s="34">
        <v>383</v>
      </c>
      <c r="B384" s="34">
        <v>432</v>
      </c>
      <c r="C384" s="34">
        <v>24</v>
      </c>
      <c r="D384" s="34">
        <v>11328</v>
      </c>
      <c r="E384" s="34">
        <v>29</v>
      </c>
      <c r="F384" s="34" t="s">
        <v>55</v>
      </c>
      <c r="G384" s="97">
        <v>0.37950497440977304</v>
      </c>
      <c r="H384" s="34">
        <f t="shared" si="13"/>
        <v>5</v>
      </c>
      <c r="I384" s="75">
        <f t="shared" si="14"/>
        <v>8</v>
      </c>
    </row>
    <row r="385" spans="1:9" x14ac:dyDescent="0.3">
      <c r="A385" s="34">
        <v>384</v>
      </c>
      <c r="B385" s="34">
        <v>441</v>
      </c>
      <c r="C385" s="34">
        <v>12</v>
      </c>
      <c r="D385" s="34">
        <v>1884</v>
      </c>
      <c r="E385" s="34">
        <v>39</v>
      </c>
      <c r="F385" s="34" t="s">
        <v>54</v>
      </c>
      <c r="G385" s="97">
        <v>0.37960464309332653</v>
      </c>
      <c r="H385" s="34">
        <f t="shared" si="13"/>
        <v>9</v>
      </c>
      <c r="I385" s="75">
        <f t="shared" si="14"/>
        <v>14</v>
      </c>
    </row>
    <row r="386" spans="1:9" x14ac:dyDescent="0.3">
      <c r="A386" s="34">
        <v>385</v>
      </c>
      <c r="B386" s="34">
        <v>239</v>
      </c>
      <c r="C386" s="34">
        <v>12</v>
      </c>
      <c r="D386" s="34">
        <v>1291</v>
      </c>
      <c r="E386" s="34">
        <v>35</v>
      </c>
      <c r="F386" s="34" t="s">
        <v>56</v>
      </c>
      <c r="G386" s="97">
        <v>0.38014740413415293</v>
      </c>
      <c r="H386" s="34">
        <f t="shared" ref="H386:H449" si="15">MATCH(E386,$O$3:$O$27,1)</f>
        <v>8</v>
      </c>
      <c r="I386" s="75">
        <f t="shared" ref="I386:I449" si="16">MATCH(E386,$U$3:$U$28,1)</f>
        <v>12</v>
      </c>
    </row>
    <row r="387" spans="1:9" x14ac:dyDescent="0.3">
      <c r="A387" s="34">
        <v>386</v>
      </c>
      <c r="B387" s="34">
        <v>720</v>
      </c>
      <c r="C387" s="34">
        <v>20</v>
      </c>
      <c r="D387" s="34">
        <v>6148</v>
      </c>
      <c r="E387" s="34">
        <v>31</v>
      </c>
      <c r="F387" s="34" t="s">
        <v>54</v>
      </c>
      <c r="G387" s="97">
        <v>0.38537406549677888</v>
      </c>
      <c r="H387" s="34">
        <f t="shared" si="15"/>
        <v>6</v>
      </c>
      <c r="I387" s="75">
        <f t="shared" si="16"/>
        <v>10</v>
      </c>
    </row>
    <row r="388" spans="1:9" x14ac:dyDescent="0.3">
      <c r="A388" s="34">
        <v>387</v>
      </c>
      <c r="B388" s="34">
        <v>866</v>
      </c>
      <c r="C388" s="34">
        <v>15</v>
      </c>
      <c r="D388" s="34">
        <v>2221</v>
      </c>
      <c r="E388" s="34">
        <v>20</v>
      </c>
      <c r="F388" s="34" t="s">
        <v>56</v>
      </c>
      <c r="G388" s="97">
        <v>0.38627713465574032</v>
      </c>
      <c r="H388" s="34">
        <f t="shared" si="15"/>
        <v>1</v>
      </c>
      <c r="I388" s="75">
        <f t="shared" si="16"/>
        <v>1</v>
      </c>
    </row>
    <row r="389" spans="1:9" x14ac:dyDescent="0.3">
      <c r="A389" s="34">
        <v>388</v>
      </c>
      <c r="B389" s="34">
        <v>129</v>
      </c>
      <c r="C389" s="34">
        <v>12</v>
      </c>
      <c r="D389" s="34">
        <v>1860</v>
      </c>
      <c r="E389" s="34">
        <v>34</v>
      </c>
      <c r="F389" s="34" t="s">
        <v>54</v>
      </c>
      <c r="G389" s="97">
        <v>0.38840175140268851</v>
      </c>
      <c r="H389" s="34">
        <f t="shared" si="15"/>
        <v>7</v>
      </c>
      <c r="I389" s="75">
        <f t="shared" si="16"/>
        <v>11</v>
      </c>
    </row>
    <row r="390" spans="1:9" x14ac:dyDescent="0.3">
      <c r="A390" s="34">
        <v>389</v>
      </c>
      <c r="B390" s="34">
        <v>97</v>
      </c>
      <c r="C390" s="34">
        <v>12</v>
      </c>
      <c r="D390" s="34">
        <v>2012</v>
      </c>
      <c r="E390" s="34">
        <v>61</v>
      </c>
      <c r="F390" s="34" t="s">
        <v>56</v>
      </c>
      <c r="G390" s="97">
        <v>0.38865220014272517</v>
      </c>
      <c r="H390" s="34">
        <f t="shared" si="15"/>
        <v>19</v>
      </c>
      <c r="I390" s="75">
        <f t="shared" si="16"/>
        <v>23</v>
      </c>
    </row>
    <row r="391" spans="1:9" x14ac:dyDescent="0.3">
      <c r="A391" s="34">
        <v>390</v>
      </c>
      <c r="B391" s="34">
        <v>761</v>
      </c>
      <c r="C391" s="34">
        <v>15</v>
      </c>
      <c r="D391" s="34">
        <v>5045</v>
      </c>
      <c r="E391" s="34">
        <v>59</v>
      </c>
      <c r="F391" s="34" t="s">
        <v>56</v>
      </c>
      <c r="G391" s="97">
        <v>0.38872725930818486</v>
      </c>
      <c r="H391" s="34">
        <f t="shared" si="15"/>
        <v>18</v>
      </c>
      <c r="I391" s="75">
        <f t="shared" si="16"/>
        <v>23</v>
      </c>
    </row>
    <row r="392" spans="1:9" x14ac:dyDescent="0.3">
      <c r="A392" s="34">
        <v>391</v>
      </c>
      <c r="B392" s="34">
        <v>526</v>
      </c>
      <c r="C392" s="34">
        <v>26</v>
      </c>
      <c r="D392" s="34">
        <v>7966</v>
      </c>
      <c r="E392" s="34">
        <v>30</v>
      </c>
      <c r="F392" s="34" t="s">
        <v>54</v>
      </c>
      <c r="G392" s="97">
        <v>0.38899936356178133</v>
      </c>
      <c r="H392" s="34">
        <f t="shared" si="15"/>
        <v>5</v>
      </c>
      <c r="I392" s="75">
        <f t="shared" si="16"/>
        <v>9</v>
      </c>
    </row>
    <row r="393" spans="1:9" x14ac:dyDescent="0.3">
      <c r="A393" s="34">
        <v>392</v>
      </c>
      <c r="B393" s="34">
        <v>660</v>
      </c>
      <c r="C393" s="34">
        <v>18</v>
      </c>
      <c r="D393" s="34">
        <v>6361</v>
      </c>
      <c r="E393" s="34">
        <v>41</v>
      </c>
      <c r="F393" s="34" t="s">
        <v>54</v>
      </c>
      <c r="G393" s="97">
        <v>0.38908015114308325</v>
      </c>
      <c r="H393" s="34">
        <f t="shared" si="15"/>
        <v>10</v>
      </c>
      <c r="I393" s="75">
        <f t="shared" si="16"/>
        <v>15</v>
      </c>
    </row>
    <row r="394" spans="1:9" x14ac:dyDescent="0.3">
      <c r="A394" s="34">
        <v>393</v>
      </c>
      <c r="B394" s="34">
        <v>630</v>
      </c>
      <c r="C394" s="34">
        <v>9</v>
      </c>
      <c r="D394" s="34">
        <v>3832</v>
      </c>
      <c r="E394" s="34">
        <v>64</v>
      </c>
      <c r="F394" s="34" t="s">
        <v>54</v>
      </c>
      <c r="G394" s="97">
        <v>0.3922302476715771</v>
      </c>
      <c r="H394" s="34">
        <f t="shared" si="15"/>
        <v>21</v>
      </c>
      <c r="I394" s="75">
        <f t="shared" si="16"/>
        <v>24</v>
      </c>
    </row>
    <row r="395" spans="1:9" x14ac:dyDescent="0.3">
      <c r="A395" s="34">
        <v>394</v>
      </c>
      <c r="B395" s="34">
        <v>618</v>
      </c>
      <c r="C395" s="34">
        <v>6</v>
      </c>
      <c r="D395" s="34">
        <v>3676</v>
      </c>
      <c r="E395" s="34">
        <v>37</v>
      </c>
      <c r="F395" s="34" t="s">
        <v>54</v>
      </c>
      <c r="G395" s="97">
        <v>0.39228952064680567</v>
      </c>
      <c r="H395" s="34">
        <f t="shared" si="15"/>
        <v>9</v>
      </c>
      <c r="I395" s="75">
        <f t="shared" si="16"/>
        <v>14</v>
      </c>
    </row>
    <row r="396" spans="1:9" x14ac:dyDescent="0.3">
      <c r="A396" s="34">
        <v>395</v>
      </c>
      <c r="B396" s="34">
        <v>894</v>
      </c>
      <c r="C396" s="34">
        <v>36</v>
      </c>
      <c r="D396" s="34">
        <v>5800</v>
      </c>
      <c r="E396" s="34">
        <v>34</v>
      </c>
      <c r="F396" s="34" t="s">
        <v>54</v>
      </c>
      <c r="G396" s="97">
        <v>0.39247107292809724</v>
      </c>
      <c r="H396" s="34">
        <f t="shared" si="15"/>
        <v>7</v>
      </c>
      <c r="I396" s="75">
        <f t="shared" si="16"/>
        <v>11</v>
      </c>
    </row>
    <row r="397" spans="1:9" x14ac:dyDescent="0.3">
      <c r="A397" s="34">
        <v>396</v>
      </c>
      <c r="B397" s="34">
        <v>753</v>
      </c>
      <c r="C397" s="34">
        <v>12</v>
      </c>
      <c r="D397" s="34">
        <v>841</v>
      </c>
      <c r="E397" s="34">
        <v>23</v>
      </c>
      <c r="F397" s="34" t="s">
        <v>56</v>
      </c>
      <c r="G397" s="97">
        <v>0.3961955085190717</v>
      </c>
      <c r="H397" s="34">
        <f t="shared" si="15"/>
        <v>2</v>
      </c>
      <c r="I397" s="75">
        <f t="shared" si="16"/>
        <v>2</v>
      </c>
    </row>
    <row r="398" spans="1:9" x14ac:dyDescent="0.3">
      <c r="A398" s="34">
        <v>397</v>
      </c>
      <c r="B398" s="34">
        <v>482</v>
      </c>
      <c r="C398" s="34">
        <v>24</v>
      </c>
      <c r="D398" s="34">
        <v>1201</v>
      </c>
      <c r="E398" s="34">
        <v>26</v>
      </c>
      <c r="F398" s="34" t="s">
        <v>54</v>
      </c>
      <c r="G398" s="97">
        <v>0.39635250321694504</v>
      </c>
      <c r="H398" s="34">
        <f t="shared" si="15"/>
        <v>4</v>
      </c>
      <c r="I398" s="75">
        <f t="shared" si="16"/>
        <v>5</v>
      </c>
    </row>
    <row r="399" spans="1:9" x14ac:dyDescent="0.3">
      <c r="A399" s="34">
        <v>398</v>
      </c>
      <c r="B399" s="34">
        <v>113</v>
      </c>
      <c r="C399" s="34">
        <v>18</v>
      </c>
      <c r="D399" s="34">
        <v>6260</v>
      </c>
      <c r="E399" s="34">
        <v>28</v>
      </c>
      <c r="F399" s="34" t="s">
        <v>54</v>
      </c>
      <c r="G399" s="97">
        <v>0.39753817120319868</v>
      </c>
      <c r="H399" s="34">
        <f t="shared" si="15"/>
        <v>5</v>
      </c>
      <c r="I399" s="75">
        <f t="shared" si="16"/>
        <v>7</v>
      </c>
    </row>
    <row r="400" spans="1:9" x14ac:dyDescent="0.3">
      <c r="A400" s="34">
        <v>399</v>
      </c>
      <c r="B400" s="34">
        <v>739</v>
      </c>
      <c r="C400" s="34">
        <v>6</v>
      </c>
      <c r="D400" s="34">
        <v>6761</v>
      </c>
      <c r="E400" s="34">
        <v>45</v>
      </c>
      <c r="F400" s="34" t="s">
        <v>54</v>
      </c>
      <c r="G400" s="97">
        <v>0.39817709792802203</v>
      </c>
      <c r="H400" s="34">
        <f t="shared" si="15"/>
        <v>12</v>
      </c>
      <c r="I400" s="75">
        <f t="shared" si="16"/>
        <v>17</v>
      </c>
    </row>
    <row r="401" spans="1:9" x14ac:dyDescent="0.3">
      <c r="A401" s="34">
        <v>400</v>
      </c>
      <c r="B401" s="34">
        <v>892</v>
      </c>
      <c r="C401" s="34">
        <v>15</v>
      </c>
      <c r="D401" s="34">
        <v>1829</v>
      </c>
      <c r="E401" s="34">
        <v>46</v>
      </c>
      <c r="F401" s="34" t="s">
        <v>54</v>
      </c>
      <c r="G401" s="97">
        <v>0.39976545474229741</v>
      </c>
      <c r="H401" s="34">
        <f t="shared" si="15"/>
        <v>13</v>
      </c>
      <c r="I401" s="75">
        <f t="shared" si="16"/>
        <v>18</v>
      </c>
    </row>
    <row r="402" spans="1:9" x14ac:dyDescent="0.3">
      <c r="A402" s="34">
        <v>401</v>
      </c>
      <c r="B402" s="34">
        <v>710</v>
      </c>
      <c r="C402" s="34">
        <v>9</v>
      </c>
      <c r="D402" s="34">
        <v>2118</v>
      </c>
      <c r="E402" s="34">
        <v>37</v>
      </c>
      <c r="F402" s="34" t="s">
        <v>54</v>
      </c>
      <c r="G402" s="97">
        <v>0.4002047534094042</v>
      </c>
      <c r="H402" s="34">
        <f t="shared" si="15"/>
        <v>9</v>
      </c>
      <c r="I402" s="75">
        <f t="shared" si="16"/>
        <v>14</v>
      </c>
    </row>
    <row r="403" spans="1:9" x14ac:dyDescent="0.3">
      <c r="A403" s="34">
        <v>402</v>
      </c>
      <c r="B403" s="34">
        <v>458</v>
      </c>
      <c r="C403" s="34">
        <v>12</v>
      </c>
      <c r="D403" s="34">
        <v>3386</v>
      </c>
      <c r="E403" s="34">
        <v>35</v>
      </c>
      <c r="F403" s="34" t="s">
        <v>55</v>
      </c>
      <c r="G403" s="97">
        <v>0.40030310254410761</v>
      </c>
      <c r="H403" s="34">
        <f t="shared" si="15"/>
        <v>8</v>
      </c>
      <c r="I403" s="75">
        <f t="shared" si="16"/>
        <v>12</v>
      </c>
    </row>
    <row r="404" spans="1:9" x14ac:dyDescent="0.3">
      <c r="A404" s="34">
        <v>403</v>
      </c>
      <c r="B404" s="34">
        <v>868</v>
      </c>
      <c r="C404" s="34">
        <v>12</v>
      </c>
      <c r="D404" s="34">
        <v>3331</v>
      </c>
      <c r="E404" s="34">
        <v>42</v>
      </c>
      <c r="F404" s="34" t="s">
        <v>54</v>
      </c>
      <c r="G404" s="97">
        <v>0.40066352412759187</v>
      </c>
      <c r="H404" s="34">
        <f t="shared" si="15"/>
        <v>11</v>
      </c>
      <c r="I404" s="75">
        <f t="shared" si="16"/>
        <v>16</v>
      </c>
    </row>
    <row r="405" spans="1:9" x14ac:dyDescent="0.3">
      <c r="A405" s="34">
        <v>404</v>
      </c>
      <c r="B405" s="34">
        <v>251</v>
      </c>
      <c r="C405" s="34">
        <v>6</v>
      </c>
      <c r="D405" s="34">
        <v>666</v>
      </c>
      <c r="E405" s="34">
        <v>39</v>
      </c>
      <c r="F405" s="34" t="s">
        <v>56</v>
      </c>
      <c r="G405" s="97">
        <v>0.40171907808724328</v>
      </c>
      <c r="H405" s="34">
        <f t="shared" si="15"/>
        <v>9</v>
      </c>
      <c r="I405" s="75">
        <f t="shared" si="16"/>
        <v>14</v>
      </c>
    </row>
    <row r="406" spans="1:9" x14ac:dyDescent="0.3">
      <c r="A406" s="34">
        <v>405</v>
      </c>
      <c r="B406" s="34">
        <v>399</v>
      </c>
      <c r="C406" s="34">
        <v>12</v>
      </c>
      <c r="D406" s="34">
        <v>1223</v>
      </c>
      <c r="E406" s="34">
        <v>46</v>
      </c>
      <c r="F406" s="34" t="s">
        <v>55</v>
      </c>
      <c r="G406" s="97">
        <v>0.40345006345110257</v>
      </c>
      <c r="H406" s="34">
        <f t="shared" si="15"/>
        <v>13</v>
      </c>
      <c r="I406" s="75">
        <f t="shared" si="16"/>
        <v>18</v>
      </c>
    </row>
    <row r="407" spans="1:9" x14ac:dyDescent="0.3">
      <c r="A407" s="34">
        <v>406</v>
      </c>
      <c r="B407" s="34">
        <v>812</v>
      </c>
      <c r="C407" s="34">
        <v>6</v>
      </c>
      <c r="D407" s="34">
        <v>484</v>
      </c>
      <c r="E407" s="34">
        <v>28</v>
      </c>
      <c r="F407" s="34" t="s">
        <v>54</v>
      </c>
      <c r="G407" s="97">
        <v>0.40509661342184611</v>
      </c>
      <c r="H407" s="34">
        <f t="shared" si="15"/>
        <v>5</v>
      </c>
      <c r="I407" s="75">
        <f t="shared" si="16"/>
        <v>7</v>
      </c>
    </row>
    <row r="408" spans="1:9" x14ac:dyDescent="0.3">
      <c r="A408" s="34">
        <v>407</v>
      </c>
      <c r="B408" s="34">
        <v>318</v>
      </c>
      <c r="C408" s="34">
        <v>24</v>
      </c>
      <c r="D408" s="34">
        <v>4351</v>
      </c>
      <c r="E408" s="34">
        <v>48</v>
      </c>
      <c r="F408" s="34" t="s">
        <v>56</v>
      </c>
      <c r="G408" s="97">
        <v>0.405413363586134</v>
      </c>
      <c r="H408" s="34">
        <f t="shared" si="15"/>
        <v>13</v>
      </c>
      <c r="I408" s="75">
        <f t="shared" si="16"/>
        <v>18</v>
      </c>
    </row>
    <row r="409" spans="1:9" x14ac:dyDescent="0.3">
      <c r="A409" s="34">
        <v>408</v>
      </c>
      <c r="B409" s="34">
        <v>52</v>
      </c>
      <c r="C409" s="34">
        <v>27</v>
      </c>
      <c r="D409" s="34">
        <v>5965</v>
      </c>
      <c r="E409" s="34">
        <v>30</v>
      </c>
      <c r="F409" s="34" t="s">
        <v>54</v>
      </c>
      <c r="G409" s="97">
        <v>0.41056595204405666</v>
      </c>
      <c r="H409" s="34">
        <f t="shared" si="15"/>
        <v>5</v>
      </c>
      <c r="I409" s="75">
        <f t="shared" si="16"/>
        <v>9</v>
      </c>
    </row>
    <row r="410" spans="1:9" x14ac:dyDescent="0.3">
      <c r="A410" s="34">
        <v>409</v>
      </c>
      <c r="B410" s="34">
        <v>346</v>
      </c>
      <c r="C410" s="34">
        <v>15</v>
      </c>
      <c r="D410" s="34">
        <v>1459</v>
      </c>
      <c r="E410" s="34">
        <v>43</v>
      </c>
      <c r="F410" s="34" t="s">
        <v>56</v>
      </c>
      <c r="G410" s="97">
        <v>0.41084597494856245</v>
      </c>
      <c r="H410" s="34">
        <f t="shared" si="15"/>
        <v>11</v>
      </c>
      <c r="I410" s="75">
        <f t="shared" si="16"/>
        <v>16</v>
      </c>
    </row>
    <row r="411" spans="1:9" x14ac:dyDescent="0.3">
      <c r="A411" s="34">
        <v>410</v>
      </c>
      <c r="B411" s="34">
        <v>581</v>
      </c>
      <c r="C411" s="34">
        <v>18</v>
      </c>
      <c r="D411" s="34">
        <v>1056</v>
      </c>
      <c r="E411" s="34">
        <v>30</v>
      </c>
      <c r="F411" s="34" t="s">
        <v>55</v>
      </c>
      <c r="G411" s="97">
        <v>0.41226133539112664</v>
      </c>
      <c r="H411" s="34">
        <f t="shared" si="15"/>
        <v>5</v>
      </c>
      <c r="I411" s="75">
        <f t="shared" si="16"/>
        <v>9</v>
      </c>
    </row>
    <row r="412" spans="1:9" x14ac:dyDescent="0.3">
      <c r="A412" s="34">
        <v>411</v>
      </c>
      <c r="B412" s="34">
        <v>880</v>
      </c>
      <c r="C412" s="34">
        <v>30</v>
      </c>
      <c r="D412" s="34">
        <v>6742</v>
      </c>
      <c r="E412" s="34">
        <v>36</v>
      </c>
      <c r="F412" s="34" t="s">
        <v>54</v>
      </c>
      <c r="G412" s="97">
        <v>0.41371590116108492</v>
      </c>
      <c r="H412" s="34">
        <f t="shared" si="15"/>
        <v>8</v>
      </c>
      <c r="I412" s="75">
        <f t="shared" si="16"/>
        <v>13</v>
      </c>
    </row>
    <row r="413" spans="1:9" x14ac:dyDescent="0.3">
      <c r="A413" s="34">
        <v>412</v>
      </c>
      <c r="B413" s="34">
        <v>900</v>
      </c>
      <c r="C413" s="34">
        <v>18</v>
      </c>
      <c r="D413" s="34">
        <v>4153</v>
      </c>
      <c r="E413" s="34">
        <v>42</v>
      </c>
      <c r="F413" s="34" t="s">
        <v>55</v>
      </c>
      <c r="G413" s="97">
        <v>0.41443800207729553</v>
      </c>
      <c r="H413" s="34">
        <f t="shared" si="15"/>
        <v>11</v>
      </c>
      <c r="I413" s="75">
        <f t="shared" si="16"/>
        <v>16</v>
      </c>
    </row>
    <row r="414" spans="1:9" x14ac:dyDescent="0.3">
      <c r="A414" s="34">
        <v>413</v>
      </c>
      <c r="B414" s="34">
        <v>601</v>
      </c>
      <c r="C414" s="34">
        <v>7</v>
      </c>
      <c r="D414" s="34">
        <v>2329</v>
      </c>
      <c r="E414" s="34">
        <v>45</v>
      </c>
      <c r="F414" s="34" t="s">
        <v>56</v>
      </c>
      <c r="G414" s="97">
        <v>0.41508151362718826</v>
      </c>
      <c r="H414" s="34">
        <f t="shared" si="15"/>
        <v>12</v>
      </c>
      <c r="I414" s="75">
        <f t="shared" si="16"/>
        <v>17</v>
      </c>
    </row>
    <row r="415" spans="1:9" x14ac:dyDescent="0.3">
      <c r="A415" s="34">
        <v>414</v>
      </c>
      <c r="B415" s="34">
        <v>443</v>
      </c>
      <c r="C415" s="34">
        <v>20</v>
      </c>
      <c r="D415" s="34">
        <v>2629</v>
      </c>
      <c r="E415" s="34">
        <v>29</v>
      </c>
      <c r="F415" s="34" t="s">
        <v>54</v>
      </c>
      <c r="G415" s="97">
        <v>0.41534247224311527</v>
      </c>
      <c r="H415" s="34">
        <f t="shared" si="15"/>
        <v>5</v>
      </c>
      <c r="I415" s="75">
        <f t="shared" si="16"/>
        <v>8</v>
      </c>
    </row>
    <row r="416" spans="1:9" x14ac:dyDescent="0.3">
      <c r="A416" s="34">
        <v>415</v>
      </c>
      <c r="B416" s="34">
        <v>105</v>
      </c>
      <c r="C416" s="34">
        <v>12</v>
      </c>
      <c r="D416" s="34">
        <v>2445</v>
      </c>
      <c r="E416" s="34">
        <v>26</v>
      </c>
      <c r="F416" s="34" t="s">
        <v>54</v>
      </c>
      <c r="G416" s="97">
        <v>0.41636323059702285</v>
      </c>
      <c r="H416" s="34">
        <f t="shared" si="15"/>
        <v>4</v>
      </c>
      <c r="I416" s="75">
        <f t="shared" si="16"/>
        <v>5</v>
      </c>
    </row>
    <row r="417" spans="1:9" x14ac:dyDescent="0.3">
      <c r="A417" s="34">
        <v>416</v>
      </c>
      <c r="B417" s="34">
        <v>716</v>
      </c>
      <c r="C417" s="34">
        <v>30</v>
      </c>
      <c r="D417" s="34">
        <v>7596</v>
      </c>
      <c r="E417" s="34">
        <v>63</v>
      </c>
      <c r="F417" s="34" t="s">
        <v>54</v>
      </c>
      <c r="G417" s="97">
        <v>0.41736969824774084</v>
      </c>
      <c r="H417" s="34">
        <f t="shared" si="15"/>
        <v>20</v>
      </c>
      <c r="I417" s="75">
        <f t="shared" si="16"/>
        <v>24</v>
      </c>
    </row>
    <row r="418" spans="1:9" x14ac:dyDescent="0.3">
      <c r="A418" s="34">
        <v>417</v>
      </c>
      <c r="B418" s="34">
        <v>167</v>
      </c>
      <c r="C418" s="34">
        <v>18</v>
      </c>
      <c r="D418" s="34">
        <v>1131</v>
      </c>
      <c r="E418" s="34">
        <v>33</v>
      </c>
      <c r="F418" s="34" t="s">
        <v>57</v>
      </c>
      <c r="G418" s="97">
        <v>0.41790482460131895</v>
      </c>
      <c r="H418" s="34">
        <f t="shared" si="15"/>
        <v>7</v>
      </c>
      <c r="I418" s="75">
        <f t="shared" si="16"/>
        <v>11</v>
      </c>
    </row>
    <row r="419" spans="1:9" x14ac:dyDescent="0.3">
      <c r="A419" s="34">
        <v>418</v>
      </c>
      <c r="B419" s="34">
        <v>998</v>
      </c>
      <c r="C419" s="34">
        <v>12</v>
      </c>
      <c r="D419" s="34">
        <v>804</v>
      </c>
      <c r="E419" s="34">
        <v>38</v>
      </c>
      <c r="F419" s="34" t="s">
        <v>54</v>
      </c>
      <c r="G419" s="97">
        <v>0.41934866773817414</v>
      </c>
      <c r="H419" s="34">
        <f t="shared" si="15"/>
        <v>9</v>
      </c>
      <c r="I419" s="75">
        <f t="shared" si="16"/>
        <v>14</v>
      </c>
    </row>
    <row r="420" spans="1:9" x14ac:dyDescent="0.3">
      <c r="A420" s="34">
        <v>419</v>
      </c>
      <c r="B420" s="34">
        <v>794</v>
      </c>
      <c r="C420" s="34">
        <v>24</v>
      </c>
      <c r="D420" s="34">
        <v>2892</v>
      </c>
      <c r="E420" s="34">
        <v>51</v>
      </c>
      <c r="F420" s="34" t="s">
        <v>54</v>
      </c>
      <c r="G420" s="97">
        <v>0.42005017155497104</v>
      </c>
      <c r="H420" s="34">
        <f t="shared" si="15"/>
        <v>15</v>
      </c>
      <c r="I420" s="75">
        <f t="shared" si="16"/>
        <v>20</v>
      </c>
    </row>
    <row r="421" spans="1:9" x14ac:dyDescent="0.3">
      <c r="A421" s="34">
        <v>420</v>
      </c>
      <c r="B421" s="34">
        <v>700</v>
      </c>
      <c r="C421" s="34">
        <v>15</v>
      </c>
      <c r="D421" s="34">
        <v>1905</v>
      </c>
      <c r="E421" s="34">
        <v>40</v>
      </c>
      <c r="F421" s="34" t="s">
        <v>54</v>
      </c>
      <c r="G421" s="97">
        <v>0.42033237102755605</v>
      </c>
      <c r="H421" s="34">
        <f t="shared" si="15"/>
        <v>10</v>
      </c>
      <c r="I421" s="75">
        <f t="shared" si="16"/>
        <v>15</v>
      </c>
    </row>
    <row r="422" spans="1:9" x14ac:dyDescent="0.3">
      <c r="A422" s="34">
        <v>421</v>
      </c>
      <c r="B422" s="34">
        <v>310</v>
      </c>
      <c r="C422" s="34">
        <v>9</v>
      </c>
      <c r="D422" s="34">
        <v>276</v>
      </c>
      <c r="E422" s="34">
        <v>22</v>
      </c>
      <c r="F422" s="34" t="s">
        <v>54</v>
      </c>
      <c r="G422" s="97">
        <v>0.42246606961290034</v>
      </c>
      <c r="H422" s="34">
        <f t="shared" si="15"/>
        <v>2</v>
      </c>
      <c r="I422" s="75">
        <f t="shared" si="16"/>
        <v>2</v>
      </c>
    </row>
    <row r="423" spans="1:9" x14ac:dyDescent="0.3">
      <c r="A423" s="34">
        <v>422</v>
      </c>
      <c r="B423" s="34">
        <v>208</v>
      </c>
      <c r="C423" s="34">
        <v>12</v>
      </c>
      <c r="D423" s="34">
        <v>1424</v>
      </c>
      <c r="E423" s="34">
        <v>26</v>
      </c>
      <c r="F423" s="34" t="s">
        <v>54</v>
      </c>
      <c r="G423" s="97">
        <v>0.42279401986808263</v>
      </c>
      <c r="H423" s="34">
        <f t="shared" si="15"/>
        <v>4</v>
      </c>
      <c r="I423" s="75">
        <f t="shared" si="16"/>
        <v>5</v>
      </c>
    </row>
    <row r="424" spans="1:9" x14ac:dyDescent="0.3">
      <c r="A424" s="34">
        <v>423</v>
      </c>
      <c r="B424" s="34">
        <v>522</v>
      </c>
      <c r="C424" s="34">
        <v>18</v>
      </c>
      <c r="D424" s="34">
        <v>3190</v>
      </c>
      <c r="E424" s="34">
        <v>24</v>
      </c>
      <c r="F424" s="34" t="s">
        <v>57</v>
      </c>
      <c r="G424" s="97">
        <v>0.42466345098183889</v>
      </c>
      <c r="H424" s="34">
        <f t="shared" si="15"/>
        <v>3</v>
      </c>
      <c r="I424" s="75">
        <f t="shared" si="16"/>
        <v>3</v>
      </c>
    </row>
    <row r="425" spans="1:9" x14ac:dyDescent="0.3">
      <c r="A425" s="34">
        <v>424</v>
      </c>
      <c r="B425" s="34">
        <v>648</v>
      </c>
      <c r="C425" s="34">
        <v>12</v>
      </c>
      <c r="D425" s="34">
        <v>1386</v>
      </c>
      <c r="E425" s="34">
        <v>26</v>
      </c>
      <c r="F425" s="34" t="s">
        <v>57</v>
      </c>
      <c r="G425" s="97">
        <v>0.42595608545407715</v>
      </c>
      <c r="H425" s="34">
        <f t="shared" si="15"/>
        <v>4</v>
      </c>
      <c r="I425" s="75">
        <f t="shared" si="16"/>
        <v>5</v>
      </c>
    </row>
    <row r="426" spans="1:9" x14ac:dyDescent="0.3">
      <c r="A426" s="34">
        <v>425</v>
      </c>
      <c r="B426" s="34">
        <v>63</v>
      </c>
      <c r="C426" s="34">
        <v>36</v>
      </c>
      <c r="D426" s="34">
        <v>1953</v>
      </c>
      <c r="E426" s="34">
        <v>61</v>
      </c>
      <c r="F426" s="34" t="s">
        <v>55</v>
      </c>
      <c r="G426" s="97">
        <v>0.42610713017875457</v>
      </c>
      <c r="H426" s="34">
        <f t="shared" si="15"/>
        <v>19</v>
      </c>
      <c r="I426" s="75">
        <f t="shared" si="16"/>
        <v>23</v>
      </c>
    </row>
    <row r="427" spans="1:9" x14ac:dyDescent="0.3">
      <c r="A427" s="34">
        <v>426</v>
      </c>
      <c r="B427" s="34">
        <v>831</v>
      </c>
      <c r="C427" s="34">
        <v>24</v>
      </c>
      <c r="D427" s="34">
        <v>2375</v>
      </c>
      <c r="E427" s="34">
        <v>44</v>
      </c>
      <c r="F427" s="34" t="s">
        <v>54</v>
      </c>
      <c r="G427" s="97">
        <v>0.42656235874278181</v>
      </c>
      <c r="H427" s="34">
        <f t="shared" si="15"/>
        <v>12</v>
      </c>
      <c r="I427" s="75">
        <f t="shared" si="16"/>
        <v>17</v>
      </c>
    </row>
    <row r="428" spans="1:9" x14ac:dyDescent="0.3">
      <c r="A428" s="34">
        <v>427</v>
      </c>
      <c r="B428" s="34">
        <v>896</v>
      </c>
      <c r="C428" s="34">
        <v>36</v>
      </c>
      <c r="D428" s="34">
        <v>8947</v>
      </c>
      <c r="E428" s="34">
        <v>31</v>
      </c>
      <c r="F428" s="34" t="s">
        <v>54</v>
      </c>
      <c r="G428" s="97">
        <v>0.42875244736199036</v>
      </c>
      <c r="H428" s="34">
        <f t="shared" si="15"/>
        <v>6</v>
      </c>
      <c r="I428" s="75">
        <f t="shared" si="16"/>
        <v>10</v>
      </c>
    </row>
    <row r="429" spans="1:9" x14ac:dyDescent="0.3">
      <c r="A429" s="34">
        <v>428</v>
      </c>
      <c r="B429" s="34">
        <v>763</v>
      </c>
      <c r="C429" s="34">
        <v>12</v>
      </c>
      <c r="D429" s="34">
        <v>2214</v>
      </c>
      <c r="E429" s="34">
        <v>24</v>
      </c>
      <c r="F429" s="34" t="s">
        <v>54</v>
      </c>
      <c r="G429" s="97">
        <v>0.42932575897853764</v>
      </c>
      <c r="H429" s="34">
        <f t="shared" si="15"/>
        <v>3</v>
      </c>
      <c r="I429" s="75">
        <f t="shared" si="16"/>
        <v>3</v>
      </c>
    </row>
    <row r="430" spans="1:9" x14ac:dyDescent="0.3">
      <c r="A430" s="34">
        <v>429</v>
      </c>
      <c r="B430" s="34">
        <v>54</v>
      </c>
      <c r="C430" s="34">
        <v>18</v>
      </c>
      <c r="D430" s="34">
        <v>3378</v>
      </c>
      <c r="E430" s="34">
        <v>31</v>
      </c>
      <c r="F430" s="34" t="s">
        <v>54</v>
      </c>
      <c r="G430" s="97">
        <v>0.43055805317349116</v>
      </c>
      <c r="H430" s="34">
        <f t="shared" si="15"/>
        <v>6</v>
      </c>
      <c r="I430" s="75">
        <f t="shared" si="16"/>
        <v>10</v>
      </c>
    </row>
    <row r="431" spans="1:9" x14ac:dyDescent="0.3">
      <c r="A431" s="34">
        <v>430</v>
      </c>
      <c r="B431" s="34">
        <v>411</v>
      </c>
      <c r="C431" s="34">
        <v>24</v>
      </c>
      <c r="D431" s="34">
        <v>1967</v>
      </c>
      <c r="E431" s="34">
        <v>20</v>
      </c>
      <c r="F431" s="34" t="s">
        <v>56</v>
      </c>
      <c r="G431" s="97">
        <v>0.43179648035905727</v>
      </c>
      <c r="H431" s="34">
        <f t="shared" si="15"/>
        <v>1</v>
      </c>
      <c r="I431" s="75">
        <f t="shared" si="16"/>
        <v>1</v>
      </c>
    </row>
    <row r="432" spans="1:9" x14ac:dyDescent="0.3">
      <c r="A432" s="34">
        <v>431</v>
      </c>
      <c r="B432" s="34">
        <v>562</v>
      </c>
      <c r="C432" s="34">
        <v>24</v>
      </c>
      <c r="D432" s="34">
        <v>1546</v>
      </c>
      <c r="E432" s="34">
        <v>24</v>
      </c>
      <c r="F432" s="34" t="s">
        <v>55</v>
      </c>
      <c r="G432" s="97">
        <v>0.43231592205656943</v>
      </c>
      <c r="H432" s="34">
        <f t="shared" si="15"/>
        <v>3</v>
      </c>
      <c r="I432" s="75">
        <f t="shared" si="16"/>
        <v>3</v>
      </c>
    </row>
    <row r="433" spans="1:9" x14ac:dyDescent="0.3">
      <c r="A433" s="34">
        <v>432</v>
      </c>
      <c r="B433" s="34">
        <v>73</v>
      </c>
      <c r="C433" s="34">
        <v>8</v>
      </c>
      <c r="D433" s="34">
        <v>1164</v>
      </c>
      <c r="E433" s="34">
        <v>51</v>
      </c>
      <c r="F433" s="34" t="s">
        <v>54</v>
      </c>
      <c r="G433" s="97">
        <v>0.43248326238917889</v>
      </c>
      <c r="H433" s="34">
        <f t="shared" si="15"/>
        <v>15</v>
      </c>
      <c r="I433" s="75">
        <f t="shared" si="16"/>
        <v>20</v>
      </c>
    </row>
    <row r="434" spans="1:9" x14ac:dyDescent="0.3">
      <c r="A434" s="34">
        <v>433</v>
      </c>
      <c r="B434" s="34">
        <v>847</v>
      </c>
      <c r="C434" s="34">
        <v>18</v>
      </c>
      <c r="D434" s="34">
        <v>6761</v>
      </c>
      <c r="E434" s="34">
        <v>68</v>
      </c>
      <c r="F434" s="34" t="s">
        <v>55</v>
      </c>
      <c r="G434" s="97">
        <v>0.43283578243515952</v>
      </c>
      <c r="H434" s="34">
        <f t="shared" si="15"/>
        <v>22</v>
      </c>
      <c r="I434" s="75">
        <f t="shared" si="16"/>
        <v>25</v>
      </c>
    </row>
    <row r="435" spans="1:9" x14ac:dyDescent="0.3">
      <c r="A435" s="34">
        <v>434</v>
      </c>
      <c r="B435" s="34">
        <v>269</v>
      </c>
      <c r="C435" s="34">
        <v>14</v>
      </c>
      <c r="D435" s="34">
        <v>8978</v>
      </c>
      <c r="E435" s="34">
        <v>45</v>
      </c>
      <c r="F435" s="34" t="s">
        <v>55</v>
      </c>
      <c r="G435" s="97">
        <v>0.4350690342365241</v>
      </c>
      <c r="H435" s="34">
        <f t="shared" si="15"/>
        <v>12</v>
      </c>
      <c r="I435" s="75">
        <f t="shared" si="16"/>
        <v>17</v>
      </c>
    </row>
    <row r="436" spans="1:9" x14ac:dyDescent="0.3">
      <c r="A436" s="34">
        <v>435</v>
      </c>
      <c r="B436" s="34">
        <v>390</v>
      </c>
      <c r="C436" s="34">
        <v>9</v>
      </c>
      <c r="D436" s="34">
        <v>1449</v>
      </c>
      <c r="E436" s="34">
        <v>27</v>
      </c>
      <c r="F436" s="34" t="s">
        <v>56</v>
      </c>
      <c r="G436" s="97">
        <v>0.43634098430612533</v>
      </c>
      <c r="H436" s="34">
        <f t="shared" si="15"/>
        <v>4</v>
      </c>
      <c r="I436" s="75">
        <f t="shared" si="16"/>
        <v>6</v>
      </c>
    </row>
    <row r="437" spans="1:9" x14ac:dyDescent="0.3">
      <c r="A437" s="34">
        <v>436</v>
      </c>
      <c r="B437" s="34">
        <v>740</v>
      </c>
      <c r="C437" s="34">
        <v>30</v>
      </c>
      <c r="D437" s="34">
        <v>4280</v>
      </c>
      <c r="E437" s="34">
        <v>26</v>
      </c>
      <c r="F437" s="34" t="s">
        <v>57</v>
      </c>
      <c r="G437" s="97">
        <v>0.43684037660723618</v>
      </c>
      <c r="H437" s="34">
        <f t="shared" si="15"/>
        <v>4</v>
      </c>
      <c r="I437" s="75">
        <f t="shared" si="16"/>
        <v>5</v>
      </c>
    </row>
    <row r="438" spans="1:9" x14ac:dyDescent="0.3">
      <c r="A438" s="34">
        <v>437</v>
      </c>
      <c r="B438" s="34">
        <v>621</v>
      </c>
      <c r="C438" s="34">
        <v>21</v>
      </c>
      <c r="D438" s="34">
        <v>3652</v>
      </c>
      <c r="E438" s="34">
        <v>27</v>
      </c>
      <c r="F438" s="34" t="s">
        <v>54</v>
      </c>
      <c r="G438" s="97">
        <v>0.43763784107178938</v>
      </c>
      <c r="H438" s="34">
        <f t="shared" si="15"/>
        <v>4</v>
      </c>
      <c r="I438" s="75">
        <f t="shared" si="16"/>
        <v>6</v>
      </c>
    </row>
    <row r="439" spans="1:9" x14ac:dyDescent="0.3">
      <c r="A439" s="34">
        <v>438</v>
      </c>
      <c r="B439" s="34">
        <v>163</v>
      </c>
      <c r="C439" s="34">
        <v>15</v>
      </c>
      <c r="D439" s="34">
        <v>1262</v>
      </c>
      <c r="E439" s="34">
        <v>36</v>
      </c>
      <c r="F439" s="34" t="s">
        <v>54</v>
      </c>
      <c r="G439" s="97">
        <v>0.43775328518660195</v>
      </c>
      <c r="H439" s="34">
        <f t="shared" si="15"/>
        <v>8</v>
      </c>
      <c r="I439" s="75">
        <f t="shared" si="16"/>
        <v>13</v>
      </c>
    </row>
    <row r="440" spans="1:9" x14ac:dyDescent="0.3">
      <c r="A440" s="34">
        <v>439</v>
      </c>
      <c r="B440" s="34">
        <v>767</v>
      </c>
      <c r="C440" s="34">
        <v>30</v>
      </c>
      <c r="D440" s="34">
        <v>3108</v>
      </c>
      <c r="E440" s="34">
        <v>31</v>
      </c>
      <c r="F440" s="34" t="s">
        <v>55</v>
      </c>
      <c r="G440" s="97">
        <v>0.43979344336867521</v>
      </c>
      <c r="H440" s="34">
        <f t="shared" si="15"/>
        <v>6</v>
      </c>
      <c r="I440" s="75">
        <f t="shared" si="16"/>
        <v>10</v>
      </c>
    </row>
    <row r="441" spans="1:9" x14ac:dyDescent="0.3">
      <c r="A441" s="34">
        <v>440</v>
      </c>
      <c r="B441" s="34">
        <v>298</v>
      </c>
      <c r="C441" s="34">
        <v>10</v>
      </c>
      <c r="D441" s="34">
        <v>1287</v>
      </c>
      <c r="E441" s="34">
        <v>45</v>
      </c>
      <c r="F441" s="34" t="s">
        <v>54</v>
      </c>
      <c r="G441" s="97">
        <v>0.44081607947403934</v>
      </c>
      <c r="H441" s="34">
        <f t="shared" si="15"/>
        <v>12</v>
      </c>
      <c r="I441" s="75">
        <f t="shared" si="16"/>
        <v>17</v>
      </c>
    </row>
    <row r="442" spans="1:9" x14ac:dyDescent="0.3">
      <c r="A442" s="34">
        <v>441</v>
      </c>
      <c r="B442" s="34">
        <v>919</v>
      </c>
      <c r="C442" s="34">
        <v>24</v>
      </c>
      <c r="D442" s="34">
        <v>2359</v>
      </c>
      <c r="E442" s="34">
        <v>33</v>
      </c>
      <c r="F442" s="34" t="s">
        <v>55</v>
      </c>
      <c r="G442" s="97">
        <v>0.44084254539595291</v>
      </c>
      <c r="H442" s="34">
        <f t="shared" si="15"/>
        <v>7</v>
      </c>
      <c r="I442" s="75">
        <f t="shared" si="16"/>
        <v>11</v>
      </c>
    </row>
    <row r="443" spans="1:9" x14ac:dyDescent="0.3">
      <c r="A443" s="34">
        <v>442</v>
      </c>
      <c r="B443" s="34">
        <v>307</v>
      </c>
      <c r="C443" s="34">
        <v>30</v>
      </c>
      <c r="D443" s="34">
        <v>4811</v>
      </c>
      <c r="E443" s="34">
        <v>24</v>
      </c>
      <c r="F443" s="34" t="s">
        <v>56</v>
      </c>
      <c r="G443" s="97">
        <v>0.44324766651426395</v>
      </c>
      <c r="H443" s="34">
        <f t="shared" si="15"/>
        <v>3</v>
      </c>
      <c r="I443" s="75">
        <f t="shared" si="16"/>
        <v>3</v>
      </c>
    </row>
    <row r="444" spans="1:9" x14ac:dyDescent="0.3">
      <c r="A444" s="34">
        <v>443</v>
      </c>
      <c r="B444" s="34">
        <v>853</v>
      </c>
      <c r="C444" s="34">
        <v>15</v>
      </c>
      <c r="D444" s="34">
        <v>1471</v>
      </c>
      <c r="E444" s="34">
        <v>35</v>
      </c>
      <c r="F444" s="34" t="s">
        <v>54</v>
      </c>
      <c r="G444" s="97">
        <v>0.44413503013298405</v>
      </c>
      <c r="H444" s="34">
        <f t="shared" si="15"/>
        <v>8</v>
      </c>
      <c r="I444" s="75">
        <f t="shared" si="16"/>
        <v>12</v>
      </c>
    </row>
    <row r="445" spans="1:9" x14ac:dyDescent="0.3">
      <c r="A445" s="34">
        <v>444</v>
      </c>
      <c r="B445" s="34">
        <v>143</v>
      </c>
      <c r="C445" s="34">
        <v>27</v>
      </c>
      <c r="D445" s="34">
        <v>3416</v>
      </c>
      <c r="E445" s="34">
        <v>27</v>
      </c>
      <c r="F445" s="34" t="s">
        <v>54</v>
      </c>
      <c r="G445" s="97">
        <v>0.44671011981251652</v>
      </c>
      <c r="H445" s="34">
        <f t="shared" si="15"/>
        <v>4</v>
      </c>
      <c r="I445" s="75">
        <f t="shared" si="16"/>
        <v>6</v>
      </c>
    </row>
    <row r="446" spans="1:9" x14ac:dyDescent="0.3">
      <c r="A446" s="34">
        <v>445</v>
      </c>
      <c r="B446" s="34">
        <v>984</v>
      </c>
      <c r="C446" s="34">
        <v>36</v>
      </c>
      <c r="D446" s="34">
        <v>8229</v>
      </c>
      <c r="E446" s="34">
        <v>26</v>
      </c>
      <c r="F446" s="34" t="s">
        <v>55</v>
      </c>
      <c r="G446" s="97">
        <v>0.44692623386436192</v>
      </c>
      <c r="H446" s="34">
        <f t="shared" si="15"/>
        <v>4</v>
      </c>
      <c r="I446" s="75">
        <f t="shared" si="16"/>
        <v>5</v>
      </c>
    </row>
    <row r="447" spans="1:9" x14ac:dyDescent="0.3">
      <c r="A447" s="34">
        <v>446</v>
      </c>
      <c r="B447" s="34">
        <v>323</v>
      </c>
      <c r="C447" s="34">
        <v>24</v>
      </c>
      <c r="D447" s="34">
        <v>2910</v>
      </c>
      <c r="E447" s="34">
        <v>34</v>
      </c>
      <c r="F447" s="34" t="s">
        <v>54</v>
      </c>
      <c r="G447" s="97">
        <v>0.44914127488434863</v>
      </c>
      <c r="H447" s="34">
        <f t="shared" si="15"/>
        <v>7</v>
      </c>
      <c r="I447" s="75">
        <f t="shared" si="16"/>
        <v>11</v>
      </c>
    </row>
    <row r="448" spans="1:9" x14ac:dyDescent="0.3">
      <c r="A448" s="34">
        <v>447</v>
      </c>
      <c r="B448" s="34">
        <v>126</v>
      </c>
      <c r="C448" s="34">
        <v>12</v>
      </c>
      <c r="D448" s="34">
        <v>2121</v>
      </c>
      <c r="E448" s="34">
        <v>30</v>
      </c>
      <c r="F448" s="34" t="s">
        <v>54</v>
      </c>
      <c r="G448" s="97">
        <v>0.45061435654835191</v>
      </c>
      <c r="H448" s="34">
        <f t="shared" si="15"/>
        <v>5</v>
      </c>
      <c r="I448" s="75">
        <f t="shared" si="16"/>
        <v>9</v>
      </c>
    </row>
    <row r="449" spans="1:9" x14ac:dyDescent="0.3">
      <c r="A449" s="34">
        <v>448</v>
      </c>
      <c r="B449" s="34">
        <v>655</v>
      </c>
      <c r="C449" s="34">
        <v>24</v>
      </c>
      <c r="D449" s="34">
        <v>2346</v>
      </c>
      <c r="E449" s="34">
        <v>35</v>
      </c>
      <c r="F449" s="34" t="s">
        <v>54</v>
      </c>
      <c r="G449" s="97">
        <v>0.45112281764832773</v>
      </c>
      <c r="H449" s="34">
        <f t="shared" si="15"/>
        <v>8</v>
      </c>
      <c r="I449" s="75">
        <f t="shared" si="16"/>
        <v>12</v>
      </c>
    </row>
    <row r="450" spans="1:9" x14ac:dyDescent="0.3">
      <c r="A450" s="34">
        <v>449</v>
      </c>
      <c r="B450" s="34">
        <v>727</v>
      </c>
      <c r="C450" s="34">
        <v>15</v>
      </c>
      <c r="D450" s="34">
        <v>1316</v>
      </c>
      <c r="E450" s="34">
        <v>47</v>
      </c>
      <c r="F450" s="34" t="s">
        <v>54</v>
      </c>
      <c r="G450" s="97">
        <v>0.45134922306865755</v>
      </c>
      <c r="H450" s="34">
        <f t="shared" ref="H450:H513" si="17">MATCH(E450,$O$3:$O$27,1)</f>
        <v>13</v>
      </c>
      <c r="I450" s="75">
        <f t="shared" ref="I450:I513" si="18">MATCH(E450,$U$3:$U$28,1)</f>
        <v>18</v>
      </c>
    </row>
    <row r="451" spans="1:9" x14ac:dyDescent="0.3">
      <c r="A451" s="34">
        <v>450</v>
      </c>
      <c r="B451" s="34">
        <v>28</v>
      </c>
      <c r="C451" s="34">
        <v>12</v>
      </c>
      <c r="D451" s="34">
        <v>409</v>
      </c>
      <c r="E451" s="34">
        <v>42</v>
      </c>
      <c r="F451" s="34" t="s">
        <v>56</v>
      </c>
      <c r="G451" s="97">
        <v>0.45159049715741795</v>
      </c>
      <c r="H451" s="34">
        <f t="shared" si="17"/>
        <v>11</v>
      </c>
      <c r="I451" s="75">
        <f t="shared" si="18"/>
        <v>16</v>
      </c>
    </row>
    <row r="452" spans="1:9" x14ac:dyDescent="0.3">
      <c r="A452" s="34">
        <v>451</v>
      </c>
      <c r="B452" s="34">
        <v>358</v>
      </c>
      <c r="C452" s="34">
        <v>36</v>
      </c>
      <c r="D452" s="34">
        <v>4463</v>
      </c>
      <c r="E452" s="34">
        <v>26</v>
      </c>
      <c r="F452" s="34" t="s">
        <v>55</v>
      </c>
      <c r="G452" s="97">
        <v>0.46060259413451354</v>
      </c>
      <c r="H452" s="34">
        <f t="shared" si="17"/>
        <v>4</v>
      </c>
      <c r="I452" s="75">
        <f t="shared" si="18"/>
        <v>5</v>
      </c>
    </row>
    <row r="453" spans="1:9" x14ac:dyDescent="0.3">
      <c r="A453" s="34">
        <v>452</v>
      </c>
      <c r="B453" s="34">
        <v>101</v>
      </c>
      <c r="C453" s="34">
        <v>24</v>
      </c>
      <c r="D453" s="34">
        <v>1469</v>
      </c>
      <c r="E453" s="34">
        <v>41</v>
      </c>
      <c r="F453" s="34" t="s">
        <v>54</v>
      </c>
      <c r="G453" s="97">
        <v>0.46129197486175255</v>
      </c>
      <c r="H453" s="34">
        <f t="shared" si="17"/>
        <v>10</v>
      </c>
      <c r="I453" s="75">
        <f t="shared" si="18"/>
        <v>15</v>
      </c>
    </row>
    <row r="454" spans="1:9" x14ac:dyDescent="0.3">
      <c r="A454" s="34">
        <v>453</v>
      </c>
      <c r="B454" s="34">
        <v>549</v>
      </c>
      <c r="C454" s="34">
        <v>12</v>
      </c>
      <c r="D454" s="34">
        <v>626</v>
      </c>
      <c r="E454" s="34">
        <v>24</v>
      </c>
      <c r="F454" s="34" t="s">
        <v>57</v>
      </c>
      <c r="G454" s="97">
        <v>0.46153198327962885</v>
      </c>
      <c r="H454" s="34">
        <f t="shared" si="17"/>
        <v>3</v>
      </c>
      <c r="I454" s="75">
        <f t="shared" si="18"/>
        <v>3</v>
      </c>
    </row>
    <row r="455" spans="1:9" x14ac:dyDescent="0.3">
      <c r="A455" s="34">
        <v>454</v>
      </c>
      <c r="B455" s="34">
        <v>331</v>
      </c>
      <c r="C455" s="34">
        <v>24</v>
      </c>
      <c r="D455" s="34">
        <v>6615</v>
      </c>
      <c r="E455" s="34">
        <v>75</v>
      </c>
      <c r="F455" s="34" t="s">
        <v>54</v>
      </c>
      <c r="G455" s="97">
        <v>0.46647850728458662</v>
      </c>
      <c r="H455" s="34">
        <f t="shared" si="17"/>
        <v>25</v>
      </c>
      <c r="I455" s="75">
        <f t="shared" si="18"/>
        <v>25</v>
      </c>
    </row>
    <row r="456" spans="1:9" x14ac:dyDescent="0.3">
      <c r="A456" s="34">
        <v>455</v>
      </c>
      <c r="B456" s="34">
        <v>433</v>
      </c>
      <c r="C456" s="34">
        <v>6</v>
      </c>
      <c r="D456" s="34">
        <v>1872</v>
      </c>
      <c r="E456" s="34">
        <v>36</v>
      </c>
      <c r="F456" s="34" t="s">
        <v>54</v>
      </c>
      <c r="G456" s="97">
        <v>0.46746962202119779</v>
      </c>
      <c r="H456" s="34">
        <f t="shared" si="17"/>
        <v>8</v>
      </c>
      <c r="I456" s="75">
        <f t="shared" si="18"/>
        <v>13</v>
      </c>
    </row>
    <row r="457" spans="1:9" x14ac:dyDescent="0.3">
      <c r="A457" s="34">
        <v>456</v>
      </c>
      <c r="B457" s="34">
        <v>560</v>
      </c>
      <c r="C457" s="34">
        <v>18</v>
      </c>
      <c r="D457" s="34">
        <v>1928</v>
      </c>
      <c r="E457" s="34">
        <v>31</v>
      </c>
      <c r="F457" s="34" t="s">
        <v>55</v>
      </c>
      <c r="G457" s="97">
        <v>0.46784864557248684</v>
      </c>
      <c r="H457" s="34">
        <f t="shared" si="17"/>
        <v>6</v>
      </c>
      <c r="I457" s="75">
        <f t="shared" si="18"/>
        <v>10</v>
      </c>
    </row>
    <row r="458" spans="1:9" x14ac:dyDescent="0.3">
      <c r="A458" s="34">
        <v>457</v>
      </c>
      <c r="B458" s="34">
        <v>279</v>
      </c>
      <c r="C458" s="34">
        <v>6</v>
      </c>
      <c r="D458" s="34">
        <v>4611</v>
      </c>
      <c r="E458" s="34">
        <v>32</v>
      </c>
      <c r="F458" s="34" t="s">
        <v>57</v>
      </c>
      <c r="G458" s="97">
        <v>0.46846201837879242</v>
      </c>
      <c r="H458" s="34">
        <f t="shared" si="17"/>
        <v>6</v>
      </c>
      <c r="I458" s="75">
        <f t="shared" si="18"/>
        <v>10</v>
      </c>
    </row>
    <row r="459" spans="1:9" x14ac:dyDescent="0.3">
      <c r="A459" s="34">
        <v>458</v>
      </c>
      <c r="B459" s="34">
        <v>666</v>
      </c>
      <c r="C459" s="34">
        <v>24</v>
      </c>
      <c r="D459" s="34">
        <v>6314</v>
      </c>
      <c r="E459" s="34">
        <v>27</v>
      </c>
      <c r="F459" s="34" t="s">
        <v>54</v>
      </c>
      <c r="G459" s="97">
        <v>0.46885621366597652</v>
      </c>
      <c r="H459" s="34">
        <f t="shared" si="17"/>
        <v>4</v>
      </c>
      <c r="I459" s="75">
        <f t="shared" si="18"/>
        <v>6</v>
      </c>
    </row>
    <row r="460" spans="1:9" x14ac:dyDescent="0.3">
      <c r="A460" s="34">
        <v>459</v>
      </c>
      <c r="B460" s="34">
        <v>539</v>
      </c>
      <c r="C460" s="34">
        <v>48</v>
      </c>
      <c r="D460" s="34">
        <v>7763</v>
      </c>
      <c r="E460" s="34">
        <v>42</v>
      </c>
      <c r="F460" s="34" t="s">
        <v>55</v>
      </c>
      <c r="G460" s="97">
        <v>0.47013726135231015</v>
      </c>
      <c r="H460" s="34">
        <f t="shared" si="17"/>
        <v>11</v>
      </c>
      <c r="I460" s="75">
        <f t="shared" si="18"/>
        <v>16</v>
      </c>
    </row>
    <row r="461" spans="1:9" x14ac:dyDescent="0.3">
      <c r="A461" s="34">
        <v>460</v>
      </c>
      <c r="B461" s="34">
        <v>366</v>
      </c>
      <c r="C461" s="34">
        <v>12</v>
      </c>
      <c r="D461" s="34">
        <v>1542</v>
      </c>
      <c r="E461" s="34">
        <v>36</v>
      </c>
      <c r="F461" s="34" t="s">
        <v>54</v>
      </c>
      <c r="G461" s="97">
        <v>0.47032016595386972</v>
      </c>
      <c r="H461" s="34">
        <f t="shared" si="17"/>
        <v>8</v>
      </c>
      <c r="I461" s="75">
        <f t="shared" si="18"/>
        <v>13</v>
      </c>
    </row>
    <row r="462" spans="1:9" x14ac:dyDescent="0.3">
      <c r="A462" s="34">
        <v>461</v>
      </c>
      <c r="B462" s="34">
        <v>714</v>
      </c>
      <c r="C462" s="34">
        <v>9</v>
      </c>
      <c r="D462" s="34">
        <v>1138</v>
      </c>
      <c r="E462" s="34">
        <v>25</v>
      </c>
      <c r="F462" s="34" t="s">
        <v>54</v>
      </c>
      <c r="G462" s="97">
        <v>0.47064009408955021</v>
      </c>
      <c r="H462" s="34">
        <f t="shared" si="17"/>
        <v>3</v>
      </c>
      <c r="I462" s="75">
        <f t="shared" si="18"/>
        <v>4</v>
      </c>
    </row>
    <row r="463" spans="1:9" x14ac:dyDescent="0.3">
      <c r="A463" s="34">
        <v>462</v>
      </c>
      <c r="B463" s="34">
        <v>869</v>
      </c>
      <c r="C463" s="34">
        <v>36</v>
      </c>
      <c r="D463" s="34">
        <v>7409</v>
      </c>
      <c r="E463" s="34">
        <v>37</v>
      </c>
      <c r="F463" s="34" t="s">
        <v>54</v>
      </c>
      <c r="G463" s="97">
        <v>0.47291563316784679</v>
      </c>
      <c r="H463" s="34">
        <f t="shared" si="17"/>
        <v>9</v>
      </c>
      <c r="I463" s="75">
        <f t="shared" si="18"/>
        <v>14</v>
      </c>
    </row>
    <row r="464" spans="1:9" x14ac:dyDescent="0.3">
      <c r="A464" s="34">
        <v>463</v>
      </c>
      <c r="B464" s="34">
        <v>521</v>
      </c>
      <c r="C464" s="34">
        <v>24</v>
      </c>
      <c r="D464" s="34">
        <v>5507</v>
      </c>
      <c r="E464" s="34">
        <v>44</v>
      </c>
      <c r="F464" s="34" t="s">
        <v>54</v>
      </c>
      <c r="G464" s="97">
        <v>0.47367544635838521</v>
      </c>
      <c r="H464" s="34">
        <f t="shared" si="17"/>
        <v>12</v>
      </c>
      <c r="I464" s="75">
        <f t="shared" si="18"/>
        <v>17</v>
      </c>
    </row>
    <row r="465" spans="1:9" x14ac:dyDescent="0.3">
      <c r="A465" s="34">
        <v>464</v>
      </c>
      <c r="B465" s="34">
        <v>66</v>
      </c>
      <c r="C465" s="34">
        <v>27</v>
      </c>
      <c r="D465" s="34">
        <v>5190</v>
      </c>
      <c r="E465" s="34">
        <v>48</v>
      </c>
      <c r="F465" s="34" t="s">
        <v>54</v>
      </c>
      <c r="G465" s="97">
        <v>0.47376463134346469</v>
      </c>
      <c r="H465" s="34">
        <f t="shared" si="17"/>
        <v>13</v>
      </c>
      <c r="I465" s="75">
        <f t="shared" si="18"/>
        <v>18</v>
      </c>
    </row>
    <row r="466" spans="1:9" x14ac:dyDescent="0.3">
      <c r="A466" s="34">
        <v>465</v>
      </c>
      <c r="B466" s="34">
        <v>313</v>
      </c>
      <c r="C466" s="34">
        <v>24</v>
      </c>
      <c r="D466" s="34">
        <v>3749</v>
      </c>
      <c r="E466" s="34">
        <v>26</v>
      </c>
      <c r="F466" s="34" t="s">
        <v>56</v>
      </c>
      <c r="G466" s="97">
        <v>0.47502849718472395</v>
      </c>
      <c r="H466" s="34">
        <f t="shared" si="17"/>
        <v>4</v>
      </c>
      <c r="I466" s="75">
        <f t="shared" si="18"/>
        <v>5</v>
      </c>
    </row>
    <row r="467" spans="1:9" x14ac:dyDescent="0.3">
      <c r="A467" s="34">
        <v>466</v>
      </c>
      <c r="B467" s="34">
        <v>685</v>
      </c>
      <c r="C467" s="34">
        <v>36</v>
      </c>
      <c r="D467" s="34">
        <v>9857</v>
      </c>
      <c r="E467" s="34">
        <v>31</v>
      </c>
      <c r="F467" s="34" t="s">
        <v>54</v>
      </c>
      <c r="G467" s="97">
        <v>0.47574992231851088</v>
      </c>
      <c r="H467" s="34">
        <f t="shared" si="17"/>
        <v>6</v>
      </c>
      <c r="I467" s="75">
        <f t="shared" si="18"/>
        <v>10</v>
      </c>
    </row>
    <row r="468" spans="1:9" x14ac:dyDescent="0.3">
      <c r="A468" s="34">
        <v>467</v>
      </c>
      <c r="B468" s="34">
        <v>14</v>
      </c>
      <c r="C468" s="34">
        <v>24</v>
      </c>
      <c r="D468" s="34">
        <v>1199</v>
      </c>
      <c r="E468" s="34">
        <v>60</v>
      </c>
      <c r="F468" s="34" t="s">
        <v>55</v>
      </c>
      <c r="G468" s="97">
        <v>0.47975470706225221</v>
      </c>
      <c r="H468" s="34">
        <f t="shared" si="17"/>
        <v>19</v>
      </c>
      <c r="I468" s="75">
        <f t="shared" si="18"/>
        <v>23</v>
      </c>
    </row>
    <row r="469" spans="1:9" x14ac:dyDescent="0.3">
      <c r="A469" s="34">
        <v>468</v>
      </c>
      <c r="B469" s="34">
        <v>989</v>
      </c>
      <c r="C469" s="34">
        <v>24</v>
      </c>
      <c r="D469" s="34">
        <v>6579</v>
      </c>
      <c r="E469" s="34">
        <v>29</v>
      </c>
      <c r="F469" s="34" t="s">
        <v>54</v>
      </c>
      <c r="G469" s="97">
        <v>0.4820652781466247</v>
      </c>
      <c r="H469" s="34">
        <f t="shared" si="17"/>
        <v>5</v>
      </c>
      <c r="I469" s="75">
        <f t="shared" si="18"/>
        <v>8</v>
      </c>
    </row>
    <row r="470" spans="1:9" x14ac:dyDescent="0.3">
      <c r="A470" s="34">
        <v>469</v>
      </c>
      <c r="B470" s="34">
        <v>859</v>
      </c>
      <c r="C470" s="34">
        <v>15</v>
      </c>
      <c r="D470" s="34">
        <v>3959</v>
      </c>
      <c r="E470" s="34">
        <v>29</v>
      </c>
      <c r="F470" s="34" t="s">
        <v>57</v>
      </c>
      <c r="G470" s="97">
        <v>0.48210052837337303</v>
      </c>
      <c r="H470" s="34">
        <f t="shared" si="17"/>
        <v>5</v>
      </c>
      <c r="I470" s="75">
        <f t="shared" si="18"/>
        <v>8</v>
      </c>
    </row>
    <row r="471" spans="1:9" x14ac:dyDescent="0.3">
      <c r="A471" s="34">
        <v>470</v>
      </c>
      <c r="B471" s="34">
        <v>19</v>
      </c>
      <c r="C471" s="34">
        <v>24</v>
      </c>
      <c r="D471" s="34">
        <v>12579</v>
      </c>
      <c r="E471" s="34">
        <v>44</v>
      </c>
      <c r="F471" s="34" t="s">
        <v>57</v>
      </c>
      <c r="G471" s="97">
        <v>0.48262797817729919</v>
      </c>
      <c r="H471" s="34">
        <f t="shared" si="17"/>
        <v>12</v>
      </c>
      <c r="I471" s="75">
        <f t="shared" si="18"/>
        <v>17</v>
      </c>
    </row>
    <row r="472" spans="1:9" x14ac:dyDescent="0.3">
      <c r="A472" s="34">
        <v>471</v>
      </c>
      <c r="B472" s="34">
        <v>57</v>
      </c>
      <c r="C472" s="34">
        <v>12</v>
      </c>
      <c r="D472" s="34">
        <v>6468</v>
      </c>
      <c r="E472" s="34">
        <v>52</v>
      </c>
      <c r="F472" s="34" t="s">
        <v>55</v>
      </c>
      <c r="G472" s="97">
        <v>0.48338568812975613</v>
      </c>
      <c r="H472" s="34">
        <f t="shared" si="17"/>
        <v>15</v>
      </c>
      <c r="I472" s="75">
        <f t="shared" si="18"/>
        <v>20</v>
      </c>
    </row>
    <row r="473" spans="1:9" x14ac:dyDescent="0.3">
      <c r="A473" s="34">
        <v>472</v>
      </c>
      <c r="B473" s="34">
        <v>180</v>
      </c>
      <c r="C473" s="34">
        <v>21</v>
      </c>
      <c r="D473" s="34">
        <v>571</v>
      </c>
      <c r="E473" s="34">
        <v>65</v>
      </c>
      <c r="F473" s="34" t="s">
        <v>54</v>
      </c>
      <c r="G473" s="97">
        <v>0.48404731828292658</v>
      </c>
      <c r="H473" s="34">
        <f t="shared" si="17"/>
        <v>21</v>
      </c>
      <c r="I473" s="75">
        <f t="shared" si="18"/>
        <v>24</v>
      </c>
    </row>
    <row r="474" spans="1:9" x14ac:dyDescent="0.3">
      <c r="A474" s="34">
        <v>473</v>
      </c>
      <c r="B474" s="34">
        <v>883</v>
      </c>
      <c r="C474" s="34">
        <v>30</v>
      </c>
      <c r="D474" s="34">
        <v>2181</v>
      </c>
      <c r="E474" s="34">
        <v>36</v>
      </c>
      <c r="F474" s="34" t="s">
        <v>54</v>
      </c>
      <c r="G474" s="97">
        <v>0.48593952073923519</v>
      </c>
      <c r="H474" s="34">
        <f t="shared" si="17"/>
        <v>8</v>
      </c>
      <c r="I474" s="75">
        <f t="shared" si="18"/>
        <v>13</v>
      </c>
    </row>
    <row r="475" spans="1:9" x14ac:dyDescent="0.3">
      <c r="A475" s="34">
        <v>474</v>
      </c>
      <c r="B475" s="34">
        <v>32</v>
      </c>
      <c r="C475" s="34">
        <v>24</v>
      </c>
      <c r="D475" s="34">
        <v>4020</v>
      </c>
      <c r="E475" s="34">
        <v>27</v>
      </c>
      <c r="F475" s="34" t="s">
        <v>54</v>
      </c>
      <c r="G475" s="97">
        <v>0.48596296580794041</v>
      </c>
      <c r="H475" s="34">
        <f t="shared" si="17"/>
        <v>4</v>
      </c>
      <c r="I475" s="75">
        <f t="shared" si="18"/>
        <v>6</v>
      </c>
    </row>
    <row r="476" spans="1:9" x14ac:dyDescent="0.3">
      <c r="A476" s="34">
        <v>475</v>
      </c>
      <c r="B476" s="34">
        <v>236</v>
      </c>
      <c r="C476" s="34">
        <v>24</v>
      </c>
      <c r="D476" s="34">
        <v>1823</v>
      </c>
      <c r="E476" s="34">
        <v>30</v>
      </c>
      <c r="F476" s="34" t="s">
        <v>55</v>
      </c>
      <c r="G476" s="97">
        <v>0.48844429682310408</v>
      </c>
      <c r="H476" s="34">
        <f t="shared" si="17"/>
        <v>5</v>
      </c>
      <c r="I476" s="75">
        <f t="shared" si="18"/>
        <v>9</v>
      </c>
    </row>
    <row r="477" spans="1:9" x14ac:dyDescent="0.3">
      <c r="A477" s="34">
        <v>476</v>
      </c>
      <c r="B477" s="34">
        <v>967</v>
      </c>
      <c r="C477" s="34">
        <v>27</v>
      </c>
      <c r="D477" s="34">
        <v>2520</v>
      </c>
      <c r="E477" s="34">
        <v>23</v>
      </c>
      <c r="F477" s="34" t="s">
        <v>55</v>
      </c>
      <c r="G477" s="97">
        <v>0.48936094611851322</v>
      </c>
      <c r="H477" s="34">
        <f t="shared" si="17"/>
        <v>2</v>
      </c>
      <c r="I477" s="75">
        <f t="shared" si="18"/>
        <v>2</v>
      </c>
    </row>
    <row r="478" spans="1:9" x14ac:dyDescent="0.3">
      <c r="A478" s="34">
        <v>477</v>
      </c>
      <c r="B478" s="34">
        <v>329</v>
      </c>
      <c r="C478" s="34">
        <v>36</v>
      </c>
      <c r="D478" s="34">
        <v>4473</v>
      </c>
      <c r="E478" s="34">
        <v>31</v>
      </c>
      <c r="F478" s="34" t="s">
        <v>54</v>
      </c>
      <c r="G478" s="97">
        <v>0.49054219346013139</v>
      </c>
      <c r="H478" s="34">
        <f t="shared" si="17"/>
        <v>6</v>
      </c>
      <c r="I478" s="75">
        <f t="shared" si="18"/>
        <v>10</v>
      </c>
    </row>
    <row r="479" spans="1:9" x14ac:dyDescent="0.3">
      <c r="A479" s="34">
        <v>478</v>
      </c>
      <c r="B479" s="34">
        <v>598</v>
      </c>
      <c r="C479" s="34">
        <v>24</v>
      </c>
      <c r="D479" s="34">
        <v>4241</v>
      </c>
      <c r="E479" s="34">
        <v>36</v>
      </c>
      <c r="F479" s="34" t="s">
        <v>55</v>
      </c>
      <c r="G479" s="97">
        <v>0.49142003007488111</v>
      </c>
      <c r="H479" s="34">
        <f t="shared" si="17"/>
        <v>8</v>
      </c>
      <c r="I479" s="75">
        <f t="shared" si="18"/>
        <v>13</v>
      </c>
    </row>
    <row r="480" spans="1:9" x14ac:dyDescent="0.3">
      <c r="A480" s="34">
        <v>479</v>
      </c>
      <c r="B480" s="34">
        <v>969</v>
      </c>
      <c r="C480" s="34">
        <v>42</v>
      </c>
      <c r="D480" s="34">
        <v>7166</v>
      </c>
      <c r="E480" s="34">
        <v>29</v>
      </c>
      <c r="F480" s="34" t="s">
        <v>54</v>
      </c>
      <c r="G480" s="97">
        <v>0.49231242613196102</v>
      </c>
      <c r="H480" s="34">
        <f t="shared" si="17"/>
        <v>5</v>
      </c>
      <c r="I480" s="75">
        <f t="shared" si="18"/>
        <v>8</v>
      </c>
    </row>
    <row r="481" spans="1:9" x14ac:dyDescent="0.3">
      <c r="A481" s="34">
        <v>480</v>
      </c>
      <c r="B481" s="34">
        <v>587</v>
      </c>
      <c r="C481" s="34">
        <v>9</v>
      </c>
      <c r="D481" s="34">
        <v>2799</v>
      </c>
      <c r="E481" s="34">
        <v>36</v>
      </c>
      <c r="F481" s="34" t="s">
        <v>54</v>
      </c>
      <c r="G481" s="97">
        <v>0.49330433569090204</v>
      </c>
      <c r="H481" s="34">
        <f t="shared" si="17"/>
        <v>8</v>
      </c>
      <c r="I481" s="75">
        <f t="shared" si="18"/>
        <v>13</v>
      </c>
    </row>
    <row r="482" spans="1:9" x14ac:dyDescent="0.3">
      <c r="A482" s="34">
        <v>481</v>
      </c>
      <c r="B482" s="34">
        <v>937</v>
      </c>
      <c r="C482" s="34">
        <v>9</v>
      </c>
      <c r="D482" s="34">
        <v>745</v>
      </c>
      <c r="E482" s="34">
        <v>28</v>
      </c>
      <c r="F482" s="34" t="s">
        <v>57</v>
      </c>
      <c r="G482" s="97">
        <v>0.4935212212605683</v>
      </c>
      <c r="H482" s="34">
        <f t="shared" si="17"/>
        <v>5</v>
      </c>
      <c r="I482" s="75">
        <f t="shared" si="18"/>
        <v>7</v>
      </c>
    </row>
    <row r="483" spans="1:9" x14ac:dyDescent="0.3">
      <c r="A483" s="34">
        <v>482</v>
      </c>
      <c r="B483" s="34">
        <v>203</v>
      </c>
      <c r="C483" s="34">
        <v>27</v>
      </c>
      <c r="D483" s="34">
        <v>5117</v>
      </c>
      <c r="E483" s="34">
        <v>26</v>
      </c>
      <c r="F483" s="34" t="s">
        <v>54</v>
      </c>
      <c r="G483" s="97">
        <v>0.49401382205924094</v>
      </c>
      <c r="H483" s="34">
        <f t="shared" si="17"/>
        <v>4</v>
      </c>
      <c r="I483" s="75">
        <f t="shared" si="18"/>
        <v>5</v>
      </c>
    </row>
    <row r="484" spans="1:9" x14ac:dyDescent="0.3">
      <c r="A484" s="34">
        <v>483</v>
      </c>
      <c r="B484" s="34">
        <v>731</v>
      </c>
      <c r="C484" s="34">
        <v>24</v>
      </c>
      <c r="D484" s="34">
        <v>6403</v>
      </c>
      <c r="E484" s="34">
        <v>33</v>
      </c>
      <c r="F484" s="34" t="s">
        <v>54</v>
      </c>
      <c r="G484" s="97">
        <v>0.49467169425308855</v>
      </c>
      <c r="H484" s="34">
        <f t="shared" si="17"/>
        <v>7</v>
      </c>
      <c r="I484" s="75">
        <f t="shared" si="18"/>
        <v>11</v>
      </c>
    </row>
    <row r="485" spans="1:9" x14ac:dyDescent="0.3">
      <c r="A485" s="34">
        <v>484</v>
      </c>
      <c r="B485" s="34">
        <v>653</v>
      </c>
      <c r="C485" s="34">
        <v>24</v>
      </c>
      <c r="D485" s="34">
        <v>2303</v>
      </c>
      <c r="E485" s="34">
        <v>45</v>
      </c>
      <c r="F485" s="34" t="s">
        <v>55</v>
      </c>
      <c r="G485" s="97">
        <v>0.49518096015769442</v>
      </c>
      <c r="H485" s="34">
        <f t="shared" si="17"/>
        <v>12</v>
      </c>
      <c r="I485" s="75">
        <f t="shared" si="18"/>
        <v>17</v>
      </c>
    </row>
    <row r="486" spans="1:9" x14ac:dyDescent="0.3">
      <c r="A486" s="34">
        <v>485</v>
      </c>
      <c r="B486" s="34">
        <v>541</v>
      </c>
      <c r="C486" s="34">
        <v>12</v>
      </c>
      <c r="D486" s="34">
        <v>1534</v>
      </c>
      <c r="E486" s="34">
        <v>23</v>
      </c>
      <c r="F486" s="34" t="s">
        <v>55</v>
      </c>
      <c r="G486" s="97">
        <v>0.49585504789229051</v>
      </c>
      <c r="H486" s="34">
        <f t="shared" si="17"/>
        <v>2</v>
      </c>
      <c r="I486" s="75">
        <f t="shared" si="18"/>
        <v>2</v>
      </c>
    </row>
    <row r="487" spans="1:9" x14ac:dyDescent="0.3">
      <c r="A487" s="34">
        <v>486</v>
      </c>
      <c r="B487" s="34">
        <v>745</v>
      </c>
      <c r="C487" s="34">
        <v>39</v>
      </c>
      <c r="D487" s="34">
        <v>14179</v>
      </c>
      <c r="E487" s="34">
        <v>30</v>
      </c>
      <c r="F487" s="34" t="s">
        <v>54</v>
      </c>
      <c r="G487" s="97">
        <v>0.4995050145056471</v>
      </c>
      <c r="H487" s="34">
        <f t="shared" si="17"/>
        <v>5</v>
      </c>
      <c r="I487" s="75">
        <f t="shared" si="18"/>
        <v>9</v>
      </c>
    </row>
    <row r="488" spans="1:9" x14ac:dyDescent="0.3">
      <c r="A488" s="34">
        <v>487</v>
      </c>
      <c r="B488" s="34">
        <v>548</v>
      </c>
      <c r="C488" s="34">
        <v>24</v>
      </c>
      <c r="D488" s="34">
        <v>1552</v>
      </c>
      <c r="E488" s="34">
        <v>32</v>
      </c>
      <c r="F488" s="34" t="s">
        <v>54</v>
      </c>
      <c r="G488" s="97">
        <v>0.49955910413586879</v>
      </c>
      <c r="H488" s="34">
        <f t="shared" si="17"/>
        <v>6</v>
      </c>
      <c r="I488" s="75">
        <f t="shared" si="18"/>
        <v>10</v>
      </c>
    </row>
    <row r="489" spans="1:9" x14ac:dyDescent="0.3">
      <c r="A489" s="34">
        <v>488</v>
      </c>
      <c r="B489" s="34">
        <v>408</v>
      </c>
      <c r="C489" s="34">
        <v>15</v>
      </c>
      <c r="D489" s="34">
        <v>1053</v>
      </c>
      <c r="E489" s="34">
        <v>27</v>
      </c>
      <c r="F489" s="34" t="s">
        <v>54</v>
      </c>
      <c r="G489" s="97">
        <v>0.49956333750312631</v>
      </c>
      <c r="H489" s="34">
        <f t="shared" si="17"/>
        <v>4</v>
      </c>
      <c r="I489" s="75">
        <f t="shared" si="18"/>
        <v>6</v>
      </c>
    </row>
    <row r="490" spans="1:9" x14ac:dyDescent="0.3">
      <c r="A490" s="34">
        <v>489</v>
      </c>
      <c r="B490" s="34">
        <v>455</v>
      </c>
      <c r="C490" s="34">
        <v>24</v>
      </c>
      <c r="D490" s="34">
        <v>4817</v>
      </c>
      <c r="E490" s="34">
        <v>31</v>
      </c>
      <c r="F490" s="34" t="s">
        <v>55</v>
      </c>
      <c r="G490" s="97">
        <v>0.5012706438778769</v>
      </c>
      <c r="H490" s="34">
        <f t="shared" si="17"/>
        <v>6</v>
      </c>
      <c r="I490" s="75">
        <f t="shared" si="18"/>
        <v>10</v>
      </c>
    </row>
    <row r="491" spans="1:9" x14ac:dyDescent="0.3">
      <c r="A491" s="34">
        <v>490</v>
      </c>
      <c r="B491" s="34">
        <v>845</v>
      </c>
      <c r="C491" s="34">
        <v>18</v>
      </c>
      <c r="D491" s="34">
        <v>3422</v>
      </c>
      <c r="E491" s="34">
        <v>47</v>
      </c>
      <c r="F491" s="34" t="s">
        <v>54</v>
      </c>
      <c r="G491" s="97">
        <v>0.50136532059845362</v>
      </c>
      <c r="H491" s="34">
        <f t="shared" si="17"/>
        <v>13</v>
      </c>
      <c r="I491" s="75">
        <f t="shared" si="18"/>
        <v>18</v>
      </c>
    </row>
    <row r="492" spans="1:9" x14ac:dyDescent="0.3">
      <c r="A492" s="34">
        <v>491</v>
      </c>
      <c r="B492" s="34">
        <v>64</v>
      </c>
      <c r="C492" s="34">
        <v>48</v>
      </c>
      <c r="D492" s="34">
        <v>14421</v>
      </c>
      <c r="E492" s="34">
        <v>25</v>
      </c>
      <c r="F492" s="34" t="s">
        <v>55</v>
      </c>
      <c r="G492" s="97">
        <v>0.50185865087321824</v>
      </c>
      <c r="H492" s="34">
        <f t="shared" si="17"/>
        <v>3</v>
      </c>
      <c r="I492" s="75">
        <f t="shared" si="18"/>
        <v>4</v>
      </c>
    </row>
    <row r="493" spans="1:9" x14ac:dyDescent="0.3">
      <c r="A493" s="34">
        <v>492</v>
      </c>
      <c r="B493" s="34">
        <v>669</v>
      </c>
      <c r="C493" s="34">
        <v>12</v>
      </c>
      <c r="D493" s="34">
        <v>4843</v>
      </c>
      <c r="E493" s="34">
        <v>43</v>
      </c>
      <c r="F493" s="34" t="s">
        <v>55</v>
      </c>
      <c r="G493" s="97">
        <v>0.50194707355561285</v>
      </c>
      <c r="H493" s="34">
        <f t="shared" si="17"/>
        <v>11</v>
      </c>
      <c r="I493" s="75">
        <f t="shared" si="18"/>
        <v>16</v>
      </c>
    </row>
    <row r="494" spans="1:9" x14ac:dyDescent="0.3">
      <c r="A494" s="34">
        <v>493</v>
      </c>
      <c r="B494" s="34">
        <v>12</v>
      </c>
      <c r="C494" s="34">
        <v>48</v>
      </c>
      <c r="D494" s="34">
        <v>4308</v>
      </c>
      <c r="E494" s="34">
        <v>24</v>
      </c>
      <c r="F494" s="34" t="s">
        <v>57</v>
      </c>
      <c r="G494" s="97">
        <v>0.50236272425382433</v>
      </c>
      <c r="H494" s="34">
        <f t="shared" si="17"/>
        <v>3</v>
      </c>
      <c r="I494" s="75">
        <f t="shared" si="18"/>
        <v>3</v>
      </c>
    </row>
    <row r="495" spans="1:9" x14ac:dyDescent="0.3">
      <c r="A495" s="34">
        <v>494</v>
      </c>
      <c r="B495" s="34">
        <v>161</v>
      </c>
      <c r="C495" s="34">
        <v>24</v>
      </c>
      <c r="D495" s="34">
        <v>2872</v>
      </c>
      <c r="E495" s="34">
        <v>36</v>
      </c>
      <c r="F495" s="34" t="s">
        <v>54</v>
      </c>
      <c r="G495" s="97">
        <v>0.50753014037346578</v>
      </c>
      <c r="H495" s="34">
        <f t="shared" si="17"/>
        <v>8</v>
      </c>
      <c r="I495" s="75">
        <f t="shared" si="18"/>
        <v>13</v>
      </c>
    </row>
    <row r="496" spans="1:9" x14ac:dyDescent="0.3">
      <c r="A496" s="34">
        <v>495</v>
      </c>
      <c r="B496" s="34">
        <v>146</v>
      </c>
      <c r="C496" s="34">
        <v>48</v>
      </c>
      <c r="D496" s="34">
        <v>3566</v>
      </c>
      <c r="E496" s="34">
        <v>30</v>
      </c>
      <c r="F496" s="34" t="s">
        <v>54</v>
      </c>
      <c r="G496" s="97">
        <v>0.50949970530422106</v>
      </c>
      <c r="H496" s="34">
        <f t="shared" si="17"/>
        <v>5</v>
      </c>
      <c r="I496" s="75">
        <f t="shared" si="18"/>
        <v>9</v>
      </c>
    </row>
    <row r="497" spans="1:9" x14ac:dyDescent="0.3">
      <c r="A497" s="34">
        <v>496</v>
      </c>
      <c r="B497" s="34">
        <v>931</v>
      </c>
      <c r="C497" s="34">
        <v>24</v>
      </c>
      <c r="D497" s="34">
        <v>1747</v>
      </c>
      <c r="E497" s="34">
        <v>24</v>
      </c>
      <c r="F497" s="34" t="s">
        <v>54</v>
      </c>
      <c r="G497" s="97">
        <v>0.50961489557336148</v>
      </c>
      <c r="H497" s="34">
        <f t="shared" si="17"/>
        <v>3</v>
      </c>
      <c r="I497" s="75">
        <f t="shared" si="18"/>
        <v>3</v>
      </c>
    </row>
    <row r="498" spans="1:9" x14ac:dyDescent="0.3">
      <c r="A498" s="34">
        <v>497</v>
      </c>
      <c r="B498" s="34">
        <v>108</v>
      </c>
      <c r="C498" s="34">
        <v>12</v>
      </c>
      <c r="D498" s="34">
        <v>6078</v>
      </c>
      <c r="E498" s="34">
        <v>32</v>
      </c>
      <c r="F498" s="34" t="s">
        <v>54</v>
      </c>
      <c r="G498" s="97">
        <v>0.51157011554575849</v>
      </c>
      <c r="H498" s="34">
        <f t="shared" si="17"/>
        <v>6</v>
      </c>
      <c r="I498" s="75">
        <f t="shared" si="18"/>
        <v>10</v>
      </c>
    </row>
    <row r="499" spans="1:9" x14ac:dyDescent="0.3">
      <c r="A499" s="34">
        <v>498</v>
      </c>
      <c r="B499" s="34">
        <v>93</v>
      </c>
      <c r="C499" s="34">
        <v>12</v>
      </c>
      <c r="D499" s="34">
        <v>797</v>
      </c>
      <c r="E499" s="34">
        <v>33</v>
      </c>
      <c r="F499" s="34" t="s">
        <v>57</v>
      </c>
      <c r="G499" s="97">
        <v>0.5115814543085736</v>
      </c>
      <c r="H499" s="34">
        <f t="shared" si="17"/>
        <v>7</v>
      </c>
      <c r="I499" s="75">
        <f t="shared" si="18"/>
        <v>11</v>
      </c>
    </row>
    <row r="500" spans="1:9" x14ac:dyDescent="0.3">
      <c r="A500" s="34">
        <v>499</v>
      </c>
      <c r="B500" s="34">
        <v>87</v>
      </c>
      <c r="C500" s="34">
        <v>18</v>
      </c>
      <c r="D500" s="34">
        <v>1295</v>
      </c>
      <c r="E500" s="34">
        <v>27</v>
      </c>
      <c r="F500" s="34" t="s">
        <v>56</v>
      </c>
      <c r="G500" s="97">
        <v>0.51171063402171935</v>
      </c>
      <c r="H500" s="34">
        <f t="shared" si="17"/>
        <v>4</v>
      </c>
      <c r="I500" s="75">
        <f t="shared" si="18"/>
        <v>6</v>
      </c>
    </row>
    <row r="501" spans="1:9" x14ac:dyDescent="0.3">
      <c r="A501" s="34">
        <v>500</v>
      </c>
      <c r="B501" s="34">
        <v>683</v>
      </c>
      <c r="C501" s="34">
        <v>15</v>
      </c>
      <c r="D501" s="34">
        <v>1478</v>
      </c>
      <c r="E501" s="34">
        <v>33</v>
      </c>
      <c r="F501" s="34" t="s">
        <v>54</v>
      </c>
      <c r="G501" s="97">
        <v>0.51234129185133881</v>
      </c>
      <c r="H501" s="34">
        <f t="shared" si="17"/>
        <v>7</v>
      </c>
      <c r="I501" s="75">
        <f t="shared" si="18"/>
        <v>11</v>
      </c>
    </row>
    <row r="502" spans="1:9" x14ac:dyDescent="0.3">
      <c r="A502" s="34">
        <v>501</v>
      </c>
      <c r="B502" s="34">
        <v>951</v>
      </c>
      <c r="C502" s="34">
        <v>18</v>
      </c>
      <c r="D502" s="34">
        <v>3590</v>
      </c>
      <c r="E502" s="34">
        <v>40</v>
      </c>
      <c r="F502" s="34" t="s">
        <v>54</v>
      </c>
      <c r="G502" s="97">
        <v>0.51338675358961394</v>
      </c>
      <c r="H502" s="34">
        <f t="shared" si="17"/>
        <v>10</v>
      </c>
      <c r="I502" s="75">
        <f t="shared" si="18"/>
        <v>15</v>
      </c>
    </row>
    <row r="503" spans="1:9" x14ac:dyDescent="0.3">
      <c r="A503" s="34">
        <v>502</v>
      </c>
      <c r="B503" s="34">
        <v>821</v>
      </c>
      <c r="C503" s="34">
        <v>12</v>
      </c>
      <c r="D503" s="34">
        <v>1101</v>
      </c>
      <c r="E503" s="34">
        <v>27</v>
      </c>
      <c r="F503" s="34" t="s">
        <v>54</v>
      </c>
      <c r="G503" s="97">
        <v>0.51721605291569317</v>
      </c>
      <c r="H503" s="34">
        <f t="shared" si="17"/>
        <v>4</v>
      </c>
      <c r="I503" s="75">
        <f t="shared" si="18"/>
        <v>6</v>
      </c>
    </row>
    <row r="504" spans="1:9" x14ac:dyDescent="0.3">
      <c r="A504" s="34">
        <v>503</v>
      </c>
      <c r="B504" s="34">
        <v>21</v>
      </c>
      <c r="C504" s="34">
        <v>9</v>
      </c>
      <c r="D504" s="34">
        <v>2134</v>
      </c>
      <c r="E504" s="34">
        <v>48</v>
      </c>
      <c r="F504" s="34" t="s">
        <v>54</v>
      </c>
      <c r="G504" s="97">
        <v>0.51780774008633224</v>
      </c>
      <c r="H504" s="34">
        <f t="shared" si="17"/>
        <v>13</v>
      </c>
      <c r="I504" s="75">
        <f t="shared" si="18"/>
        <v>18</v>
      </c>
    </row>
    <row r="505" spans="1:9" x14ac:dyDescent="0.3">
      <c r="A505" s="34">
        <v>504</v>
      </c>
      <c r="B505" s="34">
        <v>416</v>
      </c>
      <c r="C505" s="34">
        <v>36</v>
      </c>
      <c r="D505" s="34">
        <v>5842</v>
      </c>
      <c r="E505" s="34">
        <v>35</v>
      </c>
      <c r="F505" s="34" t="s">
        <v>54</v>
      </c>
      <c r="G505" s="97">
        <v>0.51832332991246688</v>
      </c>
      <c r="H505" s="34">
        <f t="shared" si="17"/>
        <v>8</v>
      </c>
      <c r="I505" s="75">
        <f t="shared" si="18"/>
        <v>12</v>
      </c>
    </row>
    <row r="506" spans="1:9" x14ac:dyDescent="0.3">
      <c r="A506" s="34">
        <v>505</v>
      </c>
      <c r="B506" s="34">
        <v>500</v>
      </c>
      <c r="C506" s="34">
        <v>6</v>
      </c>
      <c r="D506" s="34">
        <v>1323</v>
      </c>
      <c r="E506" s="34">
        <v>28</v>
      </c>
      <c r="F506" s="34" t="s">
        <v>54</v>
      </c>
      <c r="G506" s="97">
        <v>0.51913522189053041</v>
      </c>
      <c r="H506" s="34">
        <f t="shared" si="17"/>
        <v>5</v>
      </c>
      <c r="I506" s="75">
        <f t="shared" si="18"/>
        <v>7</v>
      </c>
    </row>
    <row r="507" spans="1:9" x14ac:dyDescent="0.3">
      <c r="A507" s="34">
        <v>506</v>
      </c>
      <c r="B507" s="34">
        <v>987</v>
      </c>
      <c r="C507" s="34">
        <v>42</v>
      </c>
      <c r="D507" s="34">
        <v>6289</v>
      </c>
      <c r="E507" s="34">
        <v>33</v>
      </c>
      <c r="F507" s="34" t="s">
        <v>54</v>
      </c>
      <c r="G507" s="97">
        <v>0.5198141913672466</v>
      </c>
      <c r="H507" s="34">
        <f t="shared" si="17"/>
        <v>7</v>
      </c>
      <c r="I507" s="75">
        <f t="shared" si="18"/>
        <v>11</v>
      </c>
    </row>
    <row r="508" spans="1:9" x14ac:dyDescent="0.3">
      <c r="A508" s="34">
        <v>507</v>
      </c>
      <c r="B508" s="34">
        <v>430</v>
      </c>
      <c r="C508" s="34">
        <v>18</v>
      </c>
      <c r="D508" s="34">
        <v>1190</v>
      </c>
      <c r="E508" s="34">
        <v>55</v>
      </c>
      <c r="F508" s="34" t="s">
        <v>57</v>
      </c>
      <c r="G508" s="97">
        <v>0.52065733385624324</v>
      </c>
      <c r="H508" s="34">
        <f t="shared" si="17"/>
        <v>17</v>
      </c>
      <c r="I508" s="75">
        <f t="shared" si="18"/>
        <v>22</v>
      </c>
    </row>
    <row r="509" spans="1:9" x14ac:dyDescent="0.3">
      <c r="A509" s="34">
        <v>508</v>
      </c>
      <c r="B509" s="34">
        <v>395</v>
      </c>
      <c r="C509" s="34">
        <v>9</v>
      </c>
      <c r="D509" s="34">
        <v>2406</v>
      </c>
      <c r="E509" s="34">
        <v>31</v>
      </c>
      <c r="F509" s="34" t="s">
        <v>54</v>
      </c>
      <c r="G509" s="97">
        <v>0.52082672420594822</v>
      </c>
      <c r="H509" s="34">
        <f t="shared" si="17"/>
        <v>6</v>
      </c>
      <c r="I509" s="75">
        <f t="shared" si="18"/>
        <v>10</v>
      </c>
    </row>
    <row r="510" spans="1:9" x14ac:dyDescent="0.3">
      <c r="A510" s="34">
        <v>509</v>
      </c>
      <c r="B510" s="34">
        <v>600</v>
      </c>
      <c r="C510" s="34">
        <v>24</v>
      </c>
      <c r="D510" s="34">
        <v>3863</v>
      </c>
      <c r="E510" s="34">
        <v>32</v>
      </c>
      <c r="F510" s="34" t="s">
        <v>54</v>
      </c>
      <c r="G510" s="97">
        <v>0.52167373713531728</v>
      </c>
      <c r="H510" s="34">
        <f t="shared" si="17"/>
        <v>6</v>
      </c>
      <c r="I510" s="75">
        <f t="shared" si="18"/>
        <v>10</v>
      </c>
    </row>
    <row r="511" spans="1:9" x14ac:dyDescent="0.3">
      <c r="A511" s="34">
        <v>510</v>
      </c>
      <c r="B511" s="34">
        <v>68</v>
      </c>
      <c r="C511" s="34">
        <v>12</v>
      </c>
      <c r="D511" s="34">
        <v>1007</v>
      </c>
      <c r="E511" s="34">
        <v>22</v>
      </c>
      <c r="F511" s="34" t="s">
        <v>54</v>
      </c>
      <c r="G511" s="97">
        <v>0.52168325204970456</v>
      </c>
      <c r="H511" s="34">
        <f t="shared" si="17"/>
        <v>2</v>
      </c>
      <c r="I511" s="75">
        <f t="shared" si="18"/>
        <v>2</v>
      </c>
    </row>
    <row r="512" spans="1:9" x14ac:dyDescent="0.3">
      <c r="A512" s="34">
        <v>511</v>
      </c>
      <c r="B512" s="34">
        <v>876</v>
      </c>
      <c r="C512" s="34">
        <v>11</v>
      </c>
      <c r="D512" s="34">
        <v>1322</v>
      </c>
      <c r="E512" s="34">
        <v>40</v>
      </c>
      <c r="F512" s="34" t="s">
        <v>56</v>
      </c>
      <c r="G512" s="97">
        <v>0.52342038947681413</v>
      </c>
      <c r="H512" s="34">
        <f t="shared" si="17"/>
        <v>10</v>
      </c>
      <c r="I512" s="75">
        <f t="shared" si="18"/>
        <v>15</v>
      </c>
    </row>
    <row r="513" spans="1:9" x14ac:dyDescent="0.3">
      <c r="A513" s="34">
        <v>512</v>
      </c>
      <c r="B513" s="34">
        <v>647</v>
      </c>
      <c r="C513" s="34">
        <v>30</v>
      </c>
      <c r="D513" s="34">
        <v>4583</v>
      </c>
      <c r="E513" s="34">
        <v>32</v>
      </c>
      <c r="F513" s="34" t="s">
        <v>54</v>
      </c>
      <c r="G513" s="97">
        <v>0.52854223643875065</v>
      </c>
      <c r="H513" s="34">
        <f t="shared" si="17"/>
        <v>6</v>
      </c>
      <c r="I513" s="75">
        <f t="shared" si="18"/>
        <v>10</v>
      </c>
    </row>
    <row r="514" spans="1:9" x14ac:dyDescent="0.3">
      <c r="A514" s="34">
        <v>513</v>
      </c>
      <c r="B514" s="34">
        <v>305</v>
      </c>
      <c r="C514" s="34">
        <v>48</v>
      </c>
      <c r="D514" s="34">
        <v>10127</v>
      </c>
      <c r="E514" s="34">
        <v>44</v>
      </c>
      <c r="F514" s="34" t="s">
        <v>55</v>
      </c>
      <c r="G514" s="97">
        <v>0.52905222882343406</v>
      </c>
      <c r="H514" s="34">
        <f t="shared" ref="H514:H577" si="19">MATCH(E514,$O$3:$O$27,1)</f>
        <v>12</v>
      </c>
      <c r="I514" s="75">
        <f t="shared" ref="I514:I577" si="20">MATCH(E514,$U$3:$U$28,1)</f>
        <v>17</v>
      </c>
    </row>
    <row r="515" spans="1:9" x14ac:dyDescent="0.3">
      <c r="A515" s="34">
        <v>514</v>
      </c>
      <c r="B515" s="34">
        <v>810</v>
      </c>
      <c r="C515" s="34">
        <v>15</v>
      </c>
      <c r="D515" s="34">
        <v>1778</v>
      </c>
      <c r="E515" s="34">
        <v>26</v>
      </c>
      <c r="F515" s="34" t="s">
        <v>57</v>
      </c>
      <c r="G515" s="97">
        <v>0.52913058206402397</v>
      </c>
      <c r="H515" s="34">
        <f t="shared" si="19"/>
        <v>4</v>
      </c>
      <c r="I515" s="75">
        <f t="shared" si="20"/>
        <v>5</v>
      </c>
    </row>
    <row r="516" spans="1:9" x14ac:dyDescent="0.3">
      <c r="A516" s="34">
        <v>515</v>
      </c>
      <c r="B516" s="34">
        <v>7</v>
      </c>
      <c r="C516" s="34">
        <v>24</v>
      </c>
      <c r="D516" s="34">
        <v>2835</v>
      </c>
      <c r="E516" s="34">
        <v>53</v>
      </c>
      <c r="F516" s="34" t="s">
        <v>54</v>
      </c>
      <c r="G516" s="97">
        <v>0.52913312492338604</v>
      </c>
      <c r="H516" s="34">
        <f t="shared" si="19"/>
        <v>16</v>
      </c>
      <c r="I516" s="75">
        <f t="shared" si="20"/>
        <v>21</v>
      </c>
    </row>
    <row r="517" spans="1:9" x14ac:dyDescent="0.3">
      <c r="A517" s="34">
        <v>516</v>
      </c>
      <c r="B517" s="34">
        <v>58</v>
      </c>
      <c r="C517" s="34">
        <v>36</v>
      </c>
      <c r="D517" s="34">
        <v>9566</v>
      </c>
      <c r="E517" s="34">
        <v>31</v>
      </c>
      <c r="F517" s="34" t="s">
        <v>56</v>
      </c>
      <c r="G517" s="97">
        <v>0.53001885987970343</v>
      </c>
      <c r="H517" s="34">
        <f t="shared" si="19"/>
        <v>6</v>
      </c>
      <c r="I517" s="75">
        <f t="shared" si="20"/>
        <v>10</v>
      </c>
    </row>
    <row r="518" spans="1:9" x14ac:dyDescent="0.3">
      <c r="A518" s="34">
        <v>517</v>
      </c>
      <c r="B518" s="34">
        <v>973</v>
      </c>
      <c r="C518" s="34">
        <v>24</v>
      </c>
      <c r="D518" s="34">
        <v>1193</v>
      </c>
      <c r="E518" s="34">
        <v>29</v>
      </c>
      <c r="F518" s="34" t="s">
        <v>57</v>
      </c>
      <c r="G518" s="97">
        <v>0.53029281891855051</v>
      </c>
      <c r="H518" s="34">
        <f t="shared" si="19"/>
        <v>5</v>
      </c>
      <c r="I518" s="75">
        <f t="shared" si="20"/>
        <v>8</v>
      </c>
    </row>
    <row r="519" spans="1:9" x14ac:dyDescent="0.3">
      <c r="A519" s="34">
        <v>518</v>
      </c>
      <c r="B519" s="34">
        <v>823</v>
      </c>
      <c r="C519" s="34">
        <v>36</v>
      </c>
      <c r="D519" s="34">
        <v>2712</v>
      </c>
      <c r="E519" s="34">
        <v>41</v>
      </c>
      <c r="F519" s="34" t="s">
        <v>55</v>
      </c>
      <c r="G519" s="97">
        <v>0.53058679264948527</v>
      </c>
      <c r="H519" s="34">
        <f t="shared" si="19"/>
        <v>10</v>
      </c>
      <c r="I519" s="75">
        <f t="shared" si="20"/>
        <v>15</v>
      </c>
    </row>
    <row r="520" spans="1:9" x14ac:dyDescent="0.3">
      <c r="A520" s="34">
        <v>519</v>
      </c>
      <c r="B520" s="34">
        <v>525</v>
      </c>
      <c r="C520" s="34">
        <v>18</v>
      </c>
      <c r="D520" s="34">
        <v>1113</v>
      </c>
      <c r="E520" s="34">
        <v>26</v>
      </c>
      <c r="F520" s="34" t="s">
        <v>56</v>
      </c>
      <c r="G520" s="97">
        <v>0.53356421609425109</v>
      </c>
      <c r="H520" s="34">
        <f t="shared" si="19"/>
        <v>4</v>
      </c>
      <c r="I520" s="75">
        <f t="shared" si="20"/>
        <v>5</v>
      </c>
    </row>
    <row r="521" spans="1:9" x14ac:dyDescent="0.3">
      <c r="A521" s="34">
        <v>520</v>
      </c>
      <c r="B521" s="34">
        <v>332</v>
      </c>
      <c r="C521" s="34">
        <v>18</v>
      </c>
      <c r="D521" s="34">
        <v>1864</v>
      </c>
      <c r="E521" s="34">
        <v>30</v>
      </c>
      <c r="F521" s="34" t="s">
        <v>57</v>
      </c>
      <c r="G521" s="97">
        <v>0.53493451678360293</v>
      </c>
      <c r="H521" s="34">
        <f t="shared" si="19"/>
        <v>5</v>
      </c>
      <c r="I521" s="75">
        <f t="shared" si="20"/>
        <v>9</v>
      </c>
    </row>
    <row r="522" spans="1:9" x14ac:dyDescent="0.3">
      <c r="A522" s="34">
        <v>521</v>
      </c>
      <c r="B522" s="34">
        <v>964</v>
      </c>
      <c r="C522" s="34">
        <v>24</v>
      </c>
      <c r="D522" s="34">
        <v>2397</v>
      </c>
      <c r="E522" s="34">
        <v>35</v>
      </c>
      <c r="F522" s="34" t="s">
        <v>55</v>
      </c>
      <c r="G522" s="97">
        <v>0.53535309507155771</v>
      </c>
      <c r="H522" s="34">
        <f t="shared" si="19"/>
        <v>8</v>
      </c>
      <c r="I522" s="75">
        <f t="shared" si="20"/>
        <v>12</v>
      </c>
    </row>
    <row r="523" spans="1:9" x14ac:dyDescent="0.3">
      <c r="A523" s="34">
        <v>522</v>
      </c>
      <c r="B523" s="34">
        <v>566</v>
      </c>
      <c r="C523" s="34">
        <v>24</v>
      </c>
      <c r="D523" s="34">
        <v>1553</v>
      </c>
      <c r="E523" s="34">
        <v>23</v>
      </c>
      <c r="F523" s="34" t="s">
        <v>56</v>
      </c>
      <c r="G523" s="97">
        <v>0.53567390089735578</v>
      </c>
      <c r="H523" s="34">
        <f t="shared" si="19"/>
        <v>2</v>
      </c>
      <c r="I523" s="75">
        <f t="shared" si="20"/>
        <v>2</v>
      </c>
    </row>
    <row r="524" spans="1:9" x14ac:dyDescent="0.3">
      <c r="A524" s="34">
        <v>523</v>
      </c>
      <c r="B524" s="34">
        <v>130</v>
      </c>
      <c r="C524" s="34">
        <v>12</v>
      </c>
      <c r="D524" s="34">
        <v>3499</v>
      </c>
      <c r="E524" s="34">
        <v>29</v>
      </c>
      <c r="F524" s="34" t="s">
        <v>57</v>
      </c>
      <c r="G524" s="97">
        <v>0.53646539986925301</v>
      </c>
      <c r="H524" s="34">
        <f t="shared" si="19"/>
        <v>5</v>
      </c>
      <c r="I524" s="75">
        <f t="shared" si="20"/>
        <v>8</v>
      </c>
    </row>
    <row r="525" spans="1:9" x14ac:dyDescent="0.3">
      <c r="A525" s="34">
        <v>524</v>
      </c>
      <c r="B525" s="34">
        <v>72</v>
      </c>
      <c r="C525" s="34">
        <v>7</v>
      </c>
      <c r="D525" s="34">
        <v>730</v>
      </c>
      <c r="E525" s="34">
        <v>46</v>
      </c>
      <c r="F525" s="34" t="s">
        <v>54</v>
      </c>
      <c r="G525" s="97">
        <v>0.53648132603001264</v>
      </c>
      <c r="H525" s="34">
        <f t="shared" si="19"/>
        <v>13</v>
      </c>
      <c r="I525" s="75">
        <f t="shared" si="20"/>
        <v>18</v>
      </c>
    </row>
    <row r="526" spans="1:9" x14ac:dyDescent="0.3">
      <c r="A526" s="34">
        <v>525</v>
      </c>
      <c r="B526" s="34">
        <v>1</v>
      </c>
      <c r="C526" s="34">
        <v>6</v>
      </c>
      <c r="D526" s="34">
        <v>1169</v>
      </c>
      <c r="E526" s="34">
        <v>67</v>
      </c>
      <c r="F526" s="34" t="s">
        <v>54</v>
      </c>
      <c r="G526" s="97">
        <v>0.53982165175639663</v>
      </c>
      <c r="H526" s="34">
        <f t="shared" si="19"/>
        <v>22</v>
      </c>
      <c r="I526" s="75">
        <f t="shared" si="20"/>
        <v>25</v>
      </c>
    </row>
    <row r="527" spans="1:9" x14ac:dyDescent="0.3">
      <c r="A527" s="34">
        <v>526</v>
      </c>
      <c r="B527" s="34">
        <v>494</v>
      </c>
      <c r="C527" s="34">
        <v>6</v>
      </c>
      <c r="D527" s="34">
        <v>368</v>
      </c>
      <c r="E527" s="34">
        <v>38</v>
      </c>
      <c r="F527" s="34" t="s">
        <v>54</v>
      </c>
      <c r="G527" s="97">
        <v>0.54189504840738656</v>
      </c>
      <c r="H527" s="34">
        <f t="shared" si="19"/>
        <v>9</v>
      </c>
      <c r="I527" s="75">
        <f t="shared" si="20"/>
        <v>14</v>
      </c>
    </row>
    <row r="528" spans="1:9" x14ac:dyDescent="0.3">
      <c r="A528" s="34">
        <v>527</v>
      </c>
      <c r="B528" s="34">
        <v>670</v>
      </c>
      <c r="C528" s="34">
        <v>30</v>
      </c>
      <c r="D528" s="34">
        <v>3017</v>
      </c>
      <c r="E528" s="34">
        <v>47</v>
      </c>
      <c r="F528" s="34" t="s">
        <v>54</v>
      </c>
      <c r="G528" s="97">
        <v>0.54238212326308211</v>
      </c>
      <c r="H528" s="34">
        <f t="shared" si="19"/>
        <v>13</v>
      </c>
      <c r="I528" s="75">
        <f t="shared" si="20"/>
        <v>18</v>
      </c>
    </row>
    <row r="529" spans="1:9" x14ac:dyDescent="0.3">
      <c r="A529" s="34">
        <v>528</v>
      </c>
      <c r="B529" s="34">
        <v>827</v>
      </c>
      <c r="C529" s="34">
        <v>18</v>
      </c>
      <c r="D529" s="34">
        <v>3966</v>
      </c>
      <c r="E529" s="34">
        <v>33</v>
      </c>
      <c r="F529" s="34" t="s">
        <v>57</v>
      </c>
      <c r="G529" s="97">
        <v>0.54267352505173805</v>
      </c>
      <c r="H529" s="34">
        <f t="shared" si="19"/>
        <v>7</v>
      </c>
      <c r="I529" s="75">
        <f t="shared" si="20"/>
        <v>11</v>
      </c>
    </row>
    <row r="530" spans="1:9" x14ac:dyDescent="0.3">
      <c r="A530" s="34">
        <v>529</v>
      </c>
      <c r="B530" s="34">
        <v>717</v>
      </c>
      <c r="C530" s="34">
        <v>30</v>
      </c>
      <c r="D530" s="34">
        <v>3077</v>
      </c>
      <c r="E530" s="34">
        <v>40</v>
      </c>
      <c r="F530" s="34" t="s">
        <v>54</v>
      </c>
      <c r="G530" s="97">
        <v>0.54304744578706921</v>
      </c>
      <c r="H530" s="34">
        <f t="shared" si="19"/>
        <v>10</v>
      </c>
      <c r="I530" s="75">
        <f t="shared" si="20"/>
        <v>15</v>
      </c>
    </row>
    <row r="531" spans="1:9" x14ac:dyDescent="0.3">
      <c r="A531" s="34">
        <v>530</v>
      </c>
      <c r="B531" s="34">
        <v>913</v>
      </c>
      <c r="C531" s="34">
        <v>30</v>
      </c>
      <c r="D531" s="34">
        <v>2991</v>
      </c>
      <c r="E531" s="34">
        <v>25</v>
      </c>
      <c r="F531" s="34" t="s">
        <v>56</v>
      </c>
      <c r="G531" s="97">
        <v>0.54523606813227721</v>
      </c>
      <c r="H531" s="34">
        <f t="shared" si="19"/>
        <v>3</v>
      </c>
      <c r="I531" s="75">
        <f t="shared" si="20"/>
        <v>4</v>
      </c>
    </row>
    <row r="532" spans="1:9" x14ac:dyDescent="0.3">
      <c r="A532" s="34">
        <v>531</v>
      </c>
      <c r="B532" s="34">
        <v>299</v>
      </c>
      <c r="C532" s="34">
        <v>18</v>
      </c>
      <c r="D532" s="34">
        <v>2515</v>
      </c>
      <c r="E532" s="34">
        <v>43</v>
      </c>
      <c r="F532" s="34" t="s">
        <v>54</v>
      </c>
      <c r="G532" s="97">
        <v>0.54533173058960605</v>
      </c>
      <c r="H532" s="34">
        <f t="shared" si="19"/>
        <v>11</v>
      </c>
      <c r="I532" s="75">
        <f t="shared" si="20"/>
        <v>16</v>
      </c>
    </row>
    <row r="533" spans="1:9" x14ac:dyDescent="0.3">
      <c r="A533" s="34">
        <v>532</v>
      </c>
      <c r="B533" s="34">
        <v>661</v>
      </c>
      <c r="C533" s="34">
        <v>12</v>
      </c>
      <c r="D533" s="34">
        <v>1297</v>
      </c>
      <c r="E533" s="34">
        <v>23</v>
      </c>
      <c r="F533" s="34" t="s">
        <v>54</v>
      </c>
      <c r="G533" s="97">
        <v>0.54602777439072603</v>
      </c>
      <c r="H533" s="34">
        <f t="shared" si="19"/>
        <v>2</v>
      </c>
      <c r="I533" s="75">
        <f t="shared" si="20"/>
        <v>2</v>
      </c>
    </row>
    <row r="534" spans="1:9" x14ac:dyDescent="0.3">
      <c r="A534" s="34">
        <v>533</v>
      </c>
      <c r="B534" s="34">
        <v>633</v>
      </c>
      <c r="C534" s="34">
        <v>15</v>
      </c>
      <c r="D534" s="34">
        <v>1444</v>
      </c>
      <c r="E534" s="34">
        <v>23</v>
      </c>
      <c r="F534" s="34" t="s">
        <v>54</v>
      </c>
      <c r="G534" s="97">
        <v>0.54637966849715447</v>
      </c>
      <c r="H534" s="34">
        <f t="shared" si="19"/>
        <v>2</v>
      </c>
      <c r="I534" s="75">
        <f t="shared" si="20"/>
        <v>2</v>
      </c>
    </row>
    <row r="535" spans="1:9" x14ac:dyDescent="0.3">
      <c r="A535" s="34">
        <v>534</v>
      </c>
      <c r="B535" s="34">
        <v>996</v>
      </c>
      <c r="C535" s="34">
        <v>12</v>
      </c>
      <c r="D535" s="34">
        <v>1736</v>
      </c>
      <c r="E535" s="34">
        <v>31</v>
      </c>
      <c r="F535" s="34" t="s">
        <v>56</v>
      </c>
      <c r="G535" s="97">
        <v>0.54822511732685475</v>
      </c>
      <c r="H535" s="34">
        <f t="shared" si="19"/>
        <v>6</v>
      </c>
      <c r="I535" s="75">
        <f t="shared" si="20"/>
        <v>10</v>
      </c>
    </row>
    <row r="536" spans="1:9" x14ac:dyDescent="0.3">
      <c r="A536" s="34">
        <v>535</v>
      </c>
      <c r="B536" s="34">
        <v>815</v>
      </c>
      <c r="C536" s="34">
        <v>48</v>
      </c>
      <c r="D536" s="34">
        <v>3931</v>
      </c>
      <c r="E536" s="34">
        <v>46</v>
      </c>
      <c r="F536" s="34" t="s">
        <v>55</v>
      </c>
      <c r="G536" s="97">
        <v>0.54831473621360471</v>
      </c>
      <c r="H536" s="34">
        <f t="shared" si="19"/>
        <v>13</v>
      </c>
      <c r="I536" s="75">
        <f t="shared" si="20"/>
        <v>18</v>
      </c>
    </row>
    <row r="537" spans="1:9" x14ac:dyDescent="0.3">
      <c r="A537" s="34">
        <v>536</v>
      </c>
      <c r="B537" s="34">
        <v>5</v>
      </c>
      <c r="C537" s="34">
        <v>24</v>
      </c>
      <c r="D537" s="34">
        <v>4870</v>
      </c>
      <c r="E537" s="34">
        <v>53</v>
      </c>
      <c r="F537" s="34" t="s">
        <v>55</v>
      </c>
      <c r="G537" s="97">
        <v>0.54835374123364777</v>
      </c>
      <c r="H537" s="34">
        <f t="shared" si="19"/>
        <v>16</v>
      </c>
      <c r="I537" s="75">
        <f t="shared" si="20"/>
        <v>21</v>
      </c>
    </row>
    <row r="538" spans="1:9" x14ac:dyDescent="0.3">
      <c r="A538" s="34">
        <v>537</v>
      </c>
      <c r="B538" s="34">
        <v>884</v>
      </c>
      <c r="C538" s="34">
        <v>18</v>
      </c>
      <c r="D538" s="34">
        <v>1098</v>
      </c>
      <c r="E538" s="34">
        <v>65</v>
      </c>
      <c r="F538" s="34" t="s">
        <v>56</v>
      </c>
      <c r="G538" s="97">
        <v>0.54961806594677143</v>
      </c>
      <c r="H538" s="34">
        <f t="shared" si="19"/>
        <v>21</v>
      </c>
      <c r="I538" s="75">
        <f t="shared" si="20"/>
        <v>24</v>
      </c>
    </row>
    <row r="539" spans="1:9" x14ac:dyDescent="0.3">
      <c r="A539" s="34">
        <v>538</v>
      </c>
      <c r="B539" s="34">
        <v>504</v>
      </c>
      <c r="C539" s="34">
        <v>24</v>
      </c>
      <c r="D539" s="34">
        <v>1216</v>
      </c>
      <c r="E539" s="34">
        <v>38</v>
      </c>
      <c r="F539" s="34" t="s">
        <v>55</v>
      </c>
      <c r="G539" s="97">
        <v>0.5508416196970094</v>
      </c>
      <c r="H539" s="34">
        <f t="shared" si="19"/>
        <v>9</v>
      </c>
      <c r="I539" s="75">
        <f t="shared" si="20"/>
        <v>14</v>
      </c>
    </row>
    <row r="540" spans="1:9" x14ac:dyDescent="0.3">
      <c r="A540" s="34">
        <v>539</v>
      </c>
      <c r="B540" s="34">
        <v>339</v>
      </c>
      <c r="C540" s="34">
        <v>24</v>
      </c>
      <c r="D540" s="34">
        <v>4169</v>
      </c>
      <c r="E540" s="34">
        <v>28</v>
      </c>
      <c r="F540" s="34" t="s">
        <v>54</v>
      </c>
      <c r="G540" s="97">
        <v>0.55253689069244338</v>
      </c>
      <c r="H540" s="34">
        <f t="shared" si="19"/>
        <v>5</v>
      </c>
      <c r="I540" s="75">
        <f t="shared" si="20"/>
        <v>7</v>
      </c>
    </row>
    <row r="541" spans="1:9" x14ac:dyDescent="0.3">
      <c r="A541" s="34">
        <v>540</v>
      </c>
      <c r="B541" s="34">
        <v>563</v>
      </c>
      <c r="C541" s="34">
        <v>6</v>
      </c>
      <c r="D541" s="34">
        <v>683</v>
      </c>
      <c r="E541" s="34">
        <v>29</v>
      </c>
      <c r="F541" s="34" t="s">
        <v>56</v>
      </c>
      <c r="G541" s="97">
        <v>0.55526620085316702</v>
      </c>
      <c r="H541" s="34">
        <f t="shared" si="19"/>
        <v>5</v>
      </c>
      <c r="I541" s="75">
        <f t="shared" si="20"/>
        <v>8</v>
      </c>
    </row>
    <row r="542" spans="1:9" x14ac:dyDescent="0.3">
      <c r="A542" s="34">
        <v>541</v>
      </c>
      <c r="B542" s="34">
        <v>214</v>
      </c>
      <c r="C542" s="34">
        <v>30</v>
      </c>
      <c r="D542" s="34">
        <v>1908</v>
      </c>
      <c r="E542" s="34">
        <v>66</v>
      </c>
      <c r="F542" s="34" t="s">
        <v>55</v>
      </c>
      <c r="G542" s="97">
        <v>0.55536233119078182</v>
      </c>
      <c r="H542" s="34">
        <f t="shared" si="19"/>
        <v>21</v>
      </c>
      <c r="I542" s="75">
        <f t="shared" si="20"/>
        <v>24</v>
      </c>
    </row>
    <row r="543" spans="1:9" x14ac:dyDescent="0.3">
      <c r="A543" s="34">
        <v>542</v>
      </c>
      <c r="B543" s="34">
        <v>825</v>
      </c>
      <c r="C543" s="34">
        <v>18</v>
      </c>
      <c r="D543" s="34">
        <v>3780</v>
      </c>
      <c r="E543" s="34">
        <v>35</v>
      </c>
      <c r="F543" s="34" t="s">
        <v>54</v>
      </c>
      <c r="G543" s="97">
        <v>0.55553505491216471</v>
      </c>
      <c r="H543" s="34">
        <f t="shared" si="19"/>
        <v>8</v>
      </c>
      <c r="I543" s="75">
        <f t="shared" si="20"/>
        <v>12</v>
      </c>
    </row>
    <row r="544" spans="1:9" x14ac:dyDescent="0.3">
      <c r="A544" s="34">
        <v>543</v>
      </c>
      <c r="B544" s="34">
        <v>245</v>
      </c>
      <c r="C544" s="34">
        <v>12</v>
      </c>
      <c r="D544" s="34">
        <v>3447</v>
      </c>
      <c r="E544" s="34">
        <v>35</v>
      </c>
      <c r="F544" s="34" t="s">
        <v>56</v>
      </c>
      <c r="G544" s="97">
        <v>0.55659066580163208</v>
      </c>
      <c r="H544" s="34">
        <f t="shared" si="19"/>
        <v>8</v>
      </c>
      <c r="I544" s="75">
        <f t="shared" si="20"/>
        <v>12</v>
      </c>
    </row>
    <row r="545" spans="1:9" x14ac:dyDescent="0.3">
      <c r="A545" s="34">
        <v>544</v>
      </c>
      <c r="B545" s="34">
        <v>471</v>
      </c>
      <c r="C545" s="34">
        <v>24</v>
      </c>
      <c r="D545" s="34">
        <v>3092</v>
      </c>
      <c r="E545" s="34">
        <v>22</v>
      </c>
      <c r="F545" s="34" t="s">
        <v>55</v>
      </c>
      <c r="G545" s="97">
        <v>0.55719279533347565</v>
      </c>
      <c r="H545" s="34">
        <f t="shared" si="19"/>
        <v>2</v>
      </c>
      <c r="I545" s="75">
        <f t="shared" si="20"/>
        <v>2</v>
      </c>
    </row>
    <row r="546" spans="1:9" x14ac:dyDescent="0.3">
      <c r="A546" s="34">
        <v>545</v>
      </c>
      <c r="B546" s="34">
        <v>492</v>
      </c>
      <c r="C546" s="34">
        <v>27</v>
      </c>
      <c r="D546" s="34">
        <v>8318</v>
      </c>
      <c r="E546" s="34">
        <v>42</v>
      </c>
      <c r="F546" s="34" t="s">
        <v>57</v>
      </c>
      <c r="G546" s="97">
        <v>0.5584937322168767</v>
      </c>
      <c r="H546" s="34">
        <f t="shared" si="19"/>
        <v>11</v>
      </c>
      <c r="I546" s="75">
        <f t="shared" si="20"/>
        <v>16</v>
      </c>
    </row>
    <row r="547" spans="1:9" x14ac:dyDescent="0.3">
      <c r="A547" s="34">
        <v>546</v>
      </c>
      <c r="B547" s="34">
        <v>682</v>
      </c>
      <c r="C547" s="34">
        <v>12</v>
      </c>
      <c r="D547" s="34">
        <v>2279</v>
      </c>
      <c r="E547" s="34">
        <v>37</v>
      </c>
      <c r="F547" s="34" t="s">
        <v>54</v>
      </c>
      <c r="G547" s="97">
        <v>0.55925444024739779</v>
      </c>
      <c r="H547" s="34">
        <f t="shared" si="19"/>
        <v>9</v>
      </c>
      <c r="I547" s="75">
        <f t="shared" si="20"/>
        <v>14</v>
      </c>
    </row>
    <row r="548" spans="1:9" x14ac:dyDescent="0.3">
      <c r="A548" s="34">
        <v>547</v>
      </c>
      <c r="B548" s="34">
        <v>558</v>
      </c>
      <c r="C548" s="34">
        <v>21</v>
      </c>
      <c r="D548" s="34">
        <v>5003</v>
      </c>
      <c r="E548" s="34">
        <v>29</v>
      </c>
      <c r="F548" s="34" t="s">
        <v>57</v>
      </c>
      <c r="G548" s="97">
        <v>0.55925620702712719</v>
      </c>
      <c r="H548" s="34">
        <f t="shared" si="19"/>
        <v>5</v>
      </c>
      <c r="I548" s="75">
        <f t="shared" si="20"/>
        <v>8</v>
      </c>
    </row>
    <row r="549" spans="1:9" x14ac:dyDescent="0.3">
      <c r="A549" s="34">
        <v>548</v>
      </c>
      <c r="B549" s="34">
        <v>593</v>
      </c>
      <c r="C549" s="34">
        <v>21</v>
      </c>
      <c r="D549" s="34">
        <v>1572</v>
      </c>
      <c r="E549" s="34">
        <v>36</v>
      </c>
      <c r="F549" s="34" t="s">
        <v>56</v>
      </c>
      <c r="G549" s="97">
        <v>0.56057374500565393</v>
      </c>
      <c r="H549" s="34">
        <f t="shared" si="19"/>
        <v>8</v>
      </c>
      <c r="I549" s="75">
        <f t="shared" si="20"/>
        <v>13</v>
      </c>
    </row>
    <row r="550" spans="1:9" x14ac:dyDescent="0.3">
      <c r="A550" s="34">
        <v>549</v>
      </c>
      <c r="B550" s="34">
        <v>911</v>
      </c>
      <c r="C550" s="34">
        <v>36</v>
      </c>
      <c r="D550" s="34">
        <v>4454</v>
      </c>
      <c r="E550" s="34">
        <v>34</v>
      </c>
      <c r="F550" s="34" t="s">
        <v>56</v>
      </c>
      <c r="G550" s="97">
        <v>0.56508025181431065</v>
      </c>
      <c r="H550" s="34">
        <f t="shared" si="19"/>
        <v>7</v>
      </c>
      <c r="I550" s="75">
        <f t="shared" si="20"/>
        <v>11</v>
      </c>
    </row>
    <row r="551" spans="1:9" x14ac:dyDescent="0.3">
      <c r="A551" s="34">
        <v>550</v>
      </c>
      <c r="B551" s="34">
        <v>290</v>
      </c>
      <c r="C551" s="34">
        <v>24</v>
      </c>
      <c r="D551" s="34">
        <v>1024</v>
      </c>
      <c r="E551" s="34">
        <v>48</v>
      </c>
      <c r="F551" s="34" t="s">
        <v>55</v>
      </c>
      <c r="G551" s="97">
        <v>0.56564384422798653</v>
      </c>
      <c r="H551" s="34">
        <f t="shared" si="19"/>
        <v>13</v>
      </c>
      <c r="I551" s="75">
        <f t="shared" si="20"/>
        <v>18</v>
      </c>
    </row>
    <row r="552" spans="1:9" x14ac:dyDescent="0.3">
      <c r="A552" s="34">
        <v>551</v>
      </c>
      <c r="B552" s="34">
        <v>486</v>
      </c>
      <c r="C552" s="34">
        <v>6</v>
      </c>
      <c r="D552" s="34">
        <v>1209</v>
      </c>
      <c r="E552" s="34">
        <v>47</v>
      </c>
      <c r="F552" s="34" t="s">
        <v>55</v>
      </c>
      <c r="G552" s="97">
        <v>0.56637288532708419</v>
      </c>
      <c r="H552" s="34">
        <f t="shared" si="19"/>
        <v>13</v>
      </c>
      <c r="I552" s="75">
        <f t="shared" si="20"/>
        <v>18</v>
      </c>
    </row>
    <row r="553" spans="1:9" x14ac:dyDescent="0.3">
      <c r="A553" s="34">
        <v>552</v>
      </c>
      <c r="B553" s="34">
        <v>77</v>
      </c>
      <c r="C553" s="34">
        <v>42</v>
      </c>
      <c r="D553" s="34">
        <v>3965</v>
      </c>
      <c r="E553" s="34">
        <v>34</v>
      </c>
      <c r="F553" s="34" t="s">
        <v>55</v>
      </c>
      <c r="G553" s="97">
        <v>0.56687663616969364</v>
      </c>
      <c r="H553" s="34">
        <f t="shared" si="19"/>
        <v>7</v>
      </c>
      <c r="I553" s="75">
        <f t="shared" si="20"/>
        <v>11</v>
      </c>
    </row>
    <row r="554" spans="1:9" x14ac:dyDescent="0.3">
      <c r="A554" s="34">
        <v>553</v>
      </c>
      <c r="B554" s="34">
        <v>361</v>
      </c>
      <c r="C554" s="34">
        <v>18</v>
      </c>
      <c r="D554" s="34">
        <v>1239</v>
      </c>
      <c r="E554" s="34">
        <v>61</v>
      </c>
      <c r="F554" s="34" t="s">
        <v>54</v>
      </c>
      <c r="G554" s="97">
        <v>0.56712050963877636</v>
      </c>
      <c r="H554" s="34">
        <f t="shared" si="19"/>
        <v>19</v>
      </c>
      <c r="I554" s="75">
        <f t="shared" si="20"/>
        <v>23</v>
      </c>
    </row>
    <row r="555" spans="1:9" x14ac:dyDescent="0.3">
      <c r="A555" s="34">
        <v>554</v>
      </c>
      <c r="B555" s="34">
        <v>410</v>
      </c>
      <c r="C555" s="34">
        <v>12</v>
      </c>
      <c r="D555" s="34">
        <v>939</v>
      </c>
      <c r="E555" s="34">
        <v>28</v>
      </c>
      <c r="F555" s="34" t="s">
        <v>55</v>
      </c>
      <c r="G555" s="97">
        <v>0.56730241418156446</v>
      </c>
      <c r="H555" s="34">
        <f t="shared" si="19"/>
        <v>5</v>
      </c>
      <c r="I555" s="75">
        <f t="shared" si="20"/>
        <v>7</v>
      </c>
    </row>
    <row r="556" spans="1:9" x14ac:dyDescent="0.3">
      <c r="A556" s="34">
        <v>555</v>
      </c>
      <c r="B556" s="34">
        <v>955</v>
      </c>
      <c r="C556" s="34">
        <v>12</v>
      </c>
      <c r="D556" s="34">
        <v>1893</v>
      </c>
      <c r="E556" s="34">
        <v>29</v>
      </c>
      <c r="F556" s="34" t="s">
        <v>56</v>
      </c>
      <c r="G556" s="97">
        <v>0.56803540685473908</v>
      </c>
      <c r="H556" s="34">
        <f t="shared" si="19"/>
        <v>5</v>
      </c>
      <c r="I556" s="75">
        <f t="shared" si="20"/>
        <v>8</v>
      </c>
    </row>
    <row r="557" spans="1:9" x14ac:dyDescent="0.3">
      <c r="A557" s="34">
        <v>556</v>
      </c>
      <c r="B557" s="34">
        <v>459</v>
      </c>
      <c r="C557" s="34">
        <v>6</v>
      </c>
      <c r="D557" s="34">
        <v>343</v>
      </c>
      <c r="E557" s="34">
        <v>27</v>
      </c>
      <c r="F557" s="34" t="s">
        <v>56</v>
      </c>
      <c r="G557" s="97">
        <v>0.56834807942994148</v>
      </c>
      <c r="H557" s="34">
        <f t="shared" si="19"/>
        <v>4</v>
      </c>
      <c r="I557" s="75">
        <f t="shared" si="20"/>
        <v>6</v>
      </c>
    </row>
    <row r="558" spans="1:9" x14ac:dyDescent="0.3">
      <c r="A558" s="34">
        <v>557</v>
      </c>
      <c r="B558" s="34">
        <v>496</v>
      </c>
      <c r="C558" s="34">
        <v>24</v>
      </c>
      <c r="D558" s="34">
        <v>2996</v>
      </c>
      <c r="E558" s="34">
        <v>20</v>
      </c>
      <c r="F558" s="34" t="s">
        <v>55</v>
      </c>
      <c r="G558" s="97">
        <v>0.56973002171643738</v>
      </c>
      <c r="H558" s="34">
        <f t="shared" si="19"/>
        <v>1</v>
      </c>
      <c r="I558" s="75">
        <f t="shared" si="20"/>
        <v>1</v>
      </c>
    </row>
    <row r="559" spans="1:9" x14ac:dyDescent="0.3">
      <c r="A559" s="34">
        <v>558</v>
      </c>
      <c r="B559" s="34">
        <v>20</v>
      </c>
      <c r="C559" s="34">
        <v>24</v>
      </c>
      <c r="D559" s="34">
        <v>3430</v>
      </c>
      <c r="E559" s="34">
        <v>31</v>
      </c>
      <c r="F559" s="34" t="s">
        <v>54</v>
      </c>
      <c r="G559" s="97">
        <v>0.57004825385581481</v>
      </c>
      <c r="H559" s="34">
        <f t="shared" si="19"/>
        <v>6</v>
      </c>
      <c r="I559" s="75">
        <f t="shared" si="20"/>
        <v>10</v>
      </c>
    </row>
    <row r="560" spans="1:9" x14ac:dyDescent="0.3">
      <c r="A560" s="34">
        <v>559</v>
      </c>
      <c r="B560" s="34">
        <v>188</v>
      </c>
      <c r="C560" s="34">
        <v>16</v>
      </c>
      <c r="D560" s="34">
        <v>1175</v>
      </c>
      <c r="E560" s="34">
        <v>68</v>
      </c>
      <c r="F560" s="34" t="s">
        <v>54</v>
      </c>
      <c r="G560" s="97">
        <v>0.57066740790890969</v>
      </c>
      <c r="H560" s="34">
        <f t="shared" si="19"/>
        <v>22</v>
      </c>
      <c r="I560" s="75">
        <f t="shared" si="20"/>
        <v>25</v>
      </c>
    </row>
    <row r="561" spans="1:9" x14ac:dyDescent="0.3">
      <c r="A561" s="34">
        <v>560</v>
      </c>
      <c r="B561" s="34">
        <v>532</v>
      </c>
      <c r="C561" s="34">
        <v>15</v>
      </c>
      <c r="D561" s="34">
        <v>2631</v>
      </c>
      <c r="E561" s="34">
        <v>28</v>
      </c>
      <c r="F561" s="34" t="s">
        <v>57</v>
      </c>
      <c r="G561" s="97">
        <v>0.57069646261380447</v>
      </c>
      <c r="H561" s="34">
        <f t="shared" si="19"/>
        <v>5</v>
      </c>
      <c r="I561" s="75">
        <f t="shared" si="20"/>
        <v>7</v>
      </c>
    </row>
    <row r="562" spans="1:9" x14ac:dyDescent="0.3">
      <c r="A562" s="34">
        <v>561</v>
      </c>
      <c r="B562" s="34">
        <v>679</v>
      </c>
      <c r="C562" s="34">
        <v>24</v>
      </c>
      <c r="D562" s="34">
        <v>2384</v>
      </c>
      <c r="E562" s="34">
        <v>64</v>
      </c>
      <c r="F562" s="34" t="s">
        <v>54</v>
      </c>
      <c r="G562" s="97">
        <v>0.57176681880505498</v>
      </c>
      <c r="H562" s="34">
        <f t="shared" si="19"/>
        <v>21</v>
      </c>
      <c r="I562" s="75">
        <f t="shared" si="20"/>
        <v>24</v>
      </c>
    </row>
    <row r="563" spans="1:9" x14ac:dyDescent="0.3">
      <c r="A563" s="34">
        <v>562</v>
      </c>
      <c r="B563" s="34">
        <v>966</v>
      </c>
      <c r="C563" s="34">
        <v>30</v>
      </c>
      <c r="D563" s="34">
        <v>1715</v>
      </c>
      <c r="E563" s="34">
        <v>26</v>
      </c>
      <c r="F563" s="34" t="s">
        <v>56</v>
      </c>
      <c r="G563" s="97">
        <v>0.5720667823312392</v>
      </c>
      <c r="H563" s="34">
        <f t="shared" si="19"/>
        <v>4</v>
      </c>
      <c r="I563" s="75">
        <f t="shared" si="20"/>
        <v>5</v>
      </c>
    </row>
    <row r="564" spans="1:9" x14ac:dyDescent="0.3">
      <c r="A564" s="34">
        <v>563</v>
      </c>
      <c r="B564" s="34">
        <v>826</v>
      </c>
      <c r="C564" s="34">
        <v>21</v>
      </c>
      <c r="D564" s="34">
        <v>1602</v>
      </c>
      <c r="E564" s="34">
        <v>30</v>
      </c>
      <c r="F564" s="34" t="s">
        <v>54</v>
      </c>
      <c r="G564" s="97">
        <v>0.5723731908330747</v>
      </c>
      <c r="H564" s="34">
        <f t="shared" si="19"/>
        <v>5</v>
      </c>
      <c r="I564" s="75">
        <f t="shared" si="20"/>
        <v>9</v>
      </c>
    </row>
    <row r="565" spans="1:9" x14ac:dyDescent="0.3">
      <c r="A565" s="34">
        <v>564</v>
      </c>
      <c r="B565" s="34">
        <v>957</v>
      </c>
      <c r="C565" s="34">
        <v>30</v>
      </c>
      <c r="D565" s="34">
        <v>3656</v>
      </c>
      <c r="E565" s="34">
        <v>49</v>
      </c>
      <c r="F565" s="34" t="s">
        <v>54</v>
      </c>
      <c r="G565" s="97">
        <v>0.57275156716626452</v>
      </c>
      <c r="H565" s="34">
        <f t="shared" si="19"/>
        <v>14</v>
      </c>
      <c r="I565" s="75">
        <f t="shared" si="20"/>
        <v>19</v>
      </c>
    </row>
    <row r="566" spans="1:9" x14ac:dyDescent="0.3">
      <c r="A566" s="34">
        <v>565</v>
      </c>
      <c r="B566" s="34">
        <v>602</v>
      </c>
      <c r="C566" s="34">
        <v>9</v>
      </c>
      <c r="D566" s="34">
        <v>918</v>
      </c>
      <c r="E566" s="34">
        <v>30</v>
      </c>
      <c r="F566" s="34" t="s">
        <v>57</v>
      </c>
      <c r="G566" s="97">
        <v>0.57378481552463723</v>
      </c>
      <c r="H566" s="34">
        <f t="shared" si="19"/>
        <v>5</v>
      </c>
      <c r="I566" s="75">
        <f t="shared" si="20"/>
        <v>9</v>
      </c>
    </row>
    <row r="567" spans="1:9" x14ac:dyDescent="0.3">
      <c r="A567" s="34">
        <v>566</v>
      </c>
      <c r="B567" s="34">
        <v>818</v>
      </c>
      <c r="C567" s="34">
        <v>6</v>
      </c>
      <c r="D567" s="34">
        <v>1554</v>
      </c>
      <c r="E567" s="34">
        <v>24</v>
      </c>
      <c r="F567" s="34" t="s">
        <v>56</v>
      </c>
      <c r="G567" s="97">
        <v>0.57518147966116129</v>
      </c>
      <c r="H567" s="34">
        <f t="shared" si="19"/>
        <v>3</v>
      </c>
      <c r="I567" s="75">
        <f t="shared" si="20"/>
        <v>3</v>
      </c>
    </row>
    <row r="568" spans="1:9" x14ac:dyDescent="0.3">
      <c r="A568" s="34">
        <v>567</v>
      </c>
      <c r="B568" s="34">
        <v>62</v>
      </c>
      <c r="C568" s="34">
        <v>15</v>
      </c>
      <c r="D568" s="34">
        <v>1537</v>
      </c>
      <c r="E568" s="34">
        <v>50</v>
      </c>
      <c r="F568" s="34" t="s">
        <v>54</v>
      </c>
      <c r="G568" s="97">
        <v>0.57740194348978602</v>
      </c>
      <c r="H568" s="34">
        <f t="shared" si="19"/>
        <v>14</v>
      </c>
      <c r="I568" s="75">
        <f t="shared" si="20"/>
        <v>19</v>
      </c>
    </row>
    <row r="569" spans="1:9" x14ac:dyDescent="0.3">
      <c r="A569" s="34">
        <v>568</v>
      </c>
      <c r="B569" s="34">
        <v>707</v>
      </c>
      <c r="C569" s="34">
        <v>48</v>
      </c>
      <c r="D569" s="34">
        <v>6560</v>
      </c>
      <c r="E569" s="34">
        <v>24</v>
      </c>
      <c r="F569" s="34" t="s">
        <v>55</v>
      </c>
      <c r="G569" s="97">
        <v>0.57740786032301106</v>
      </c>
      <c r="H569" s="34">
        <f t="shared" si="19"/>
        <v>3</v>
      </c>
      <c r="I569" s="75">
        <f t="shared" si="20"/>
        <v>3</v>
      </c>
    </row>
    <row r="570" spans="1:9" x14ac:dyDescent="0.3">
      <c r="A570" s="34">
        <v>569</v>
      </c>
      <c r="B570" s="34">
        <v>337</v>
      </c>
      <c r="C570" s="34">
        <v>13</v>
      </c>
      <c r="D570" s="34">
        <v>2101</v>
      </c>
      <c r="E570" s="34">
        <v>23</v>
      </c>
      <c r="F570" s="34" t="s">
        <v>56</v>
      </c>
      <c r="G570" s="97">
        <v>0.57790826421750363</v>
      </c>
      <c r="H570" s="34">
        <f t="shared" si="19"/>
        <v>2</v>
      </c>
      <c r="I570" s="75">
        <f t="shared" si="20"/>
        <v>2</v>
      </c>
    </row>
    <row r="571" spans="1:9" x14ac:dyDescent="0.3">
      <c r="A571" s="34">
        <v>570</v>
      </c>
      <c r="B571" s="34">
        <v>314</v>
      </c>
      <c r="C571" s="34">
        <v>12</v>
      </c>
      <c r="D571" s="34">
        <v>685</v>
      </c>
      <c r="E571" s="34">
        <v>25</v>
      </c>
      <c r="F571" s="34" t="s">
        <v>55</v>
      </c>
      <c r="G571" s="97">
        <v>0.58108530298128125</v>
      </c>
      <c r="H571" s="34">
        <f t="shared" si="19"/>
        <v>3</v>
      </c>
      <c r="I571" s="75">
        <f t="shared" si="20"/>
        <v>4</v>
      </c>
    </row>
    <row r="572" spans="1:9" x14ac:dyDescent="0.3">
      <c r="A572" s="34">
        <v>571</v>
      </c>
      <c r="B572" s="34">
        <v>978</v>
      </c>
      <c r="C572" s="34">
        <v>18</v>
      </c>
      <c r="D572" s="34">
        <v>2427</v>
      </c>
      <c r="E572" s="34">
        <v>42</v>
      </c>
      <c r="F572" s="34" t="s">
        <v>54</v>
      </c>
      <c r="G572" s="97">
        <v>0.58213096382895158</v>
      </c>
      <c r="H572" s="34">
        <f t="shared" si="19"/>
        <v>11</v>
      </c>
      <c r="I572" s="75">
        <f t="shared" si="20"/>
        <v>16</v>
      </c>
    </row>
    <row r="573" spans="1:9" x14ac:dyDescent="0.3">
      <c r="A573" s="34">
        <v>572</v>
      </c>
      <c r="B573" s="34">
        <v>460</v>
      </c>
      <c r="C573" s="34">
        <v>18</v>
      </c>
      <c r="D573" s="34">
        <v>4594</v>
      </c>
      <c r="E573" s="34">
        <v>32</v>
      </c>
      <c r="F573" s="34" t="s">
        <v>54</v>
      </c>
      <c r="G573" s="97">
        <v>0.58233644194481671</v>
      </c>
      <c r="H573" s="34">
        <f t="shared" si="19"/>
        <v>6</v>
      </c>
      <c r="I573" s="75">
        <f t="shared" si="20"/>
        <v>10</v>
      </c>
    </row>
    <row r="574" spans="1:9" x14ac:dyDescent="0.3">
      <c r="A574" s="34">
        <v>573</v>
      </c>
      <c r="B574" s="34">
        <v>35</v>
      </c>
      <c r="C574" s="34">
        <v>12</v>
      </c>
      <c r="D574" s="34">
        <v>1474</v>
      </c>
      <c r="E574" s="34">
        <v>33</v>
      </c>
      <c r="F574" s="34" t="s">
        <v>56</v>
      </c>
      <c r="G574" s="97">
        <v>0.58305061601296726</v>
      </c>
      <c r="H574" s="34">
        <f t="shared" si="19"/>
        <v>7</v>
      </c>
      <c r="I574" s="75">
        <f t="shared" si="20"/>
        <v>11</v>
      </c>
    </row>
    <row r="575" spans="1:9" x14ac:dyDescent="0.3">
      <c r="A575" s="34">
        <v>574</v>
      </c>
      <c r="B575" s="34">
        <v>895</v>
      </c>
      <c r="C575" s="34">
        <v>18</v>
      </c>
      <c r="D575" s="34">
        <v>1169</v>
      </c>
      <c r="E575" s="34">
        <v>29</v>
      </c>
      <c r="F575" s="34" t="s">
        <v>54</v>
      </c>
      <c r="G575" s="97">
        <v>0.58336499406087994</v>
      </c>
      <c r="H575" s="34">
        <f t="shared" si="19"/>
        <v>5</v>
      </c>
      <c r="I575" s="75">
        <f t="shared" si="20"/>
        <v>8</v>
      </c>
    </row>
    <row r="576" spans="1:9" x14ac:dyDescent="0.3">
      <c r="A576" s="34">
        <v>575</v>
      </c>
      <c r="B576" s="34">
        <v>152</v>
      </c>
      <c r="C576" s="34">
        <v>10</v>
      </c>
      <c r="D576" s="34">
        <v>1924</v>
      </c>
      <c r="E576" s="34">
        <v>38</v>
      </c>
      <c r="F576" s="34" t="s">
        <v>54</v>
      </c>
      <c r="G576" s="97">
        <v>0.58419878501209366</v>
      </c>
      <c r="H576" s="34">
        <f t="shared" si="19"/>
        <v>9</v>
      </c>
      <c r="I576" s="75">
        <f t="shared" si="20"/>
        <v>14</v>
      </c>
    </row>
    <row r="577" spans="1:9" x14ac:dyDescent="0.3">
      <c r="A577" s="34">
        <v>576</v>
      </c>
      <c r="B577" s="34">
        <v>11</v>
      </c>
      <c r="C577" s="34">
        <v>12</v>
      </c>
      <c r="D577" s="34">
        <v>1295</v>
      </c>
      <c r="E577" s="34">
        <v>25</v>
      </c>
      <c r="F577" s="34" t="s">
        <v>57</v>
      </c>
      <c r="G577" s="97">
        <v>0.58572689689694712</v>
      </c>
      <c r="H577" s="34">
        <f t="shared" si="19"/>
        <v>3</v>
      </c>
      <c r="I577" s="75">
        <f t="shared" si="20"/>
        <v>4</v>
      </c>
    </row>
    <row r="578" spans="1:9" x14ac:dyDescent="0.3">
      <c r="A578" s="34">
        <v>577</v>
      </c>
      <c r="B578" s="34">
        <v>41</v>
      </c>
      <c r="C578" s="34">
        <v>30</v>
      </c>
      <c r="D578" s="34">
        <v>2333</v>
      </c>
      <c r="E578" s="34">
        <v>30</v>
      </c>
      <c r="F578" s="34" t="s">
        <v>54</v>
      </c>
      <c r="G578" s="97">
        <v>0.58718336929697978</v>
      </c>
      <c r="H578" s="34">
        <f t="shared" ref="H578:H641" si="21">MATCH(E578,$O$3:$O$27,1)</f>
        <v>5</v>
      </c>
      <c r="I578" s="75">
        <f t="shared" ref="I578:I641" si="22">MATCH(E578,$U$3:$U$28,1)</f>
        <v>9</v>
      </c>
    </row>
    <row r="579" spans="1:9" x14ac:dyDescent="0.3">
      <c r="A579" s="34">
        <v>578</v>
      </c>
      <c r="B579" s="34">
        <v>190</v>
      </c>
      <c r="C579" s="34">
        <v>18</v>
      </c>
      <c r="D579" s="34">
        <v>3244</v>
      </c>
      <c r="E579" s="34">
        <v>33</v>
      </c>
      <c r="F579" s="34" t="s">
        <v>56</v>
      </c>
      <c r="G579" s="97">
        <v>0.58834031195758119</v>
      </c>
      <c r="H579" s="34">
        <f t="shared" si="21"/>
        <v>7</v>
      </c>
      <c r="I579" s="75">
        <f t="shared" si="22"/>
        <v>11</v>
      </c>
    </row>
    <row r="580" spans="1:9" x14ac:dyDescent="0.3">
      <c r="A580" s="34">
        <v>579</v>
      </c>
      <c r="B580" s="34">
        <v>153</v>
      </c>
      <c r="C580" s="34">
        <v>36</v>
      </c>
      <c r="D580" s="34">
        <v>5848</v>
      </c>
      <c r="E580" s="34">
        <v>24</v>
      </c>
      <c r="F580" s="34" t="s">
        <v>54</v>
      </c>
      <c r="G580" s="97">
        <v>0.58867787610588029</v>
      </c>
      <c r="H580" s="34">
        <f t="shared" si="21"/>
        <v>3</v>
      </c>
      <c r="I580" s="75">
        <f t="shared" si="22"/>
        <v>3</v>
      </c>
    </row>
    <row r="581" spans="1:9" x14ac:dyDescent="0.3">
      <c r="A581" s="34">
        <v>580</v>
      </c>
      <c r="B581" s="34">
        <v>953</v>
      </c>
      <c r="C581" s="34">
        <v>24</v>
      </c>
      <c r="D581" s="34">
        <v>4113</v>
      </c>
      <c r="E581" s="34">
        <v>28</v>
      </c>
      <c r="F581" s="34" t="s">
        <v>57</v>
      </c>
      <c r="G581" s="97">
        <v>0.58928204214282343</v>
      </c>
      <c r="H581" s="34">
        <f t="shared" si="21"/>
        <v>5</v>
      </c>
      <c r="I581" s="75">
        <f t="shared" si="22"/>
        <v>7</v>
      </c>
    </row>
    <row r="582" spans="1:9" x14ac:dyDescent="0.3">
      <c r="A582" s="34">
        <v>581</v>
      </c>
      <c r="B582" s="34">
        <v>219</v>
      </c>
      <c r="C582" s="34">
        <v>24</v>
      </c>
      <c r="D582" s="34">
        <v>3021</v>
      </c>
      <c r="E582" s="34">
        <v>24</v>
      </c>
      <c r="F582" s="34" t="s">
        <v>54</v>
      </c>
      <c r="G582" s="97">
        <v>0.59243662102210393</v>
      </c>
      <c r="H582" s="34">
        <f t="shared" si="21"/>
        <v>3</v>
      </c>
      <c r="I582" s="75">
        <f t="shared" si="22"/>
        <v>3</v>
      </c>
    </row>
    <row r="583" spans="1:9" x14ac:dyDescent="0.3">
      <c r="A583" s="34">
        <v>582</v>
      </c>
      <c r="B583" s="34">
        <v>840</v>
      </c>
      <c r="C583" s="34">
        <v>24</v>
      </c>
      <c r="D583" s="34">
        <v>2611</v>
      </c>
      <c r="E583" s="34">
        <v>46</v>
      </c>
      <c r="F583" s="34" t="s">
        <v>54</v>
      </c>
      <c r="G583" s="97">
        <v>0.59268370924420022</v>
      </c>
      <c r="H583" s="34">
        <f t="shared" si="21"/>
        <v>13</v>
      </c>
      <c r="I583" s="75">
        <f t="shared" si="22"/>
        <v>18</v>
      </c>
    </row>
    <row r="584" spans="1:9" x14ac:dyDescent="0.3">
      <c r="A584" s="34">
        <v>583</v>
      </c>
      <c r="B584" s="34">
        <v>672</v>
      </c>
      <c r="C584" s="34">
        <v>36</v>
      </c>
      <c r="D584" s="34">
        <v>5742</v>
      </c>
      <c r="E584" s="34">
        <v>31</v>
      </c>
      <c r="F584" s="34" t="s">
        <v>54</v>
      </c>
      <c r="G584" s="97">
        <v>0.59368444256833297</v>
      </c>
      <c r="H584" s="34">
        <f t="shared" si="21"/>
        <v>6</v>
      </c>
      <c r="I584" s="75">
        <f t="shared" si="22"/>
        <v>10</v>
      </c>
    </row>
    <row r="585" spans="1:9" x14ac:dyDescent="0.3">
      <c r="A585" s="34">
        <v>584</v>
      </c>
      <c r="B585" s="34">
        <v>668</v>
      </c>
      <c r="C585" s="34">
        <v>48</v>
      </c>
      <c r="D585" s="34">
        <v>3609</v>
      </c>
      <c r="E585" s="34">
        <v>27</v>
      </c>
      <c r="F585" s="34" t="s">
        <v>56</v>
      </c>
      <c r="G585" s="97">
        <v>0.59400969929816794</v>
      </c>
      <c r="H585" s="34">
        <f t="shared" si="21"/>
        <v>4</v>
      </c>
      <c r="I585" s="75">
        <f t="shared" si="22"/>
        <v>6</v>
      </c>
    </row>
    <row r="586" spans="1:9" x14ac:dyDescent="0.3">
      <c r="A586" s="34">
        <v>585</v>
      </c>
      <c r="B586" s="34">
        <v>43</v>
      </c>
      <c r="C586" s="34">
        <v>18</v>
      </c>
      <c r="D586" s="34">
        <v>6204</v>
      </c>
      <c r="E586" s="34">
        <v>44</v>
      </c>
      <c r="F586" s="34" t="s">
        <v>54</v>
      </c>
      <c r="G586" s="97">
        <v>0.59468221811741662</v>
      </c>
      <c r="H586" s="34">
        <f t="shared" si="21"/>
        <v>12</v>
      </c>
      <c r="I586" s="75">
        <f t="shared" si="22"/>
        <v>17</v>
      </c>
    </row>
    <row r="587" spans="1:9" x14ac:dyDescent="0.3">
      <c r="A587" s="34">
        <v>586</v>
      </c>
      <c r="B587" s="34">
        <v>216</v>
      </c>
      <c r="C587" s="34">
        <v>6</v>
      </c>
      <c r="D587" s="34">
        <v>932</v>
      </c>
      <c r="E587" s="34">
        <v>39</v>
      </c>
      <c r="F587" s="34" t="s">
        <v>56</v>
      </c>
      <c r="G587" s="97">
        <v>0.59487063326069878</v>
      </c>
      <c r="H587" s="34">
        <f t="shared" si="21"/>
        <v>9</v>
      </c>
      <c r="I587" s="75">
        <f t="shared" si="22"/>
        <v>14</v>
      </c>
    </row>
    <row r="588" spans="1:9" x14ac:dyDescent="0.3">
      <c r="A588" s="34">
        <v>587</v>
      </c>
      <c r="B588" s="34">
        <v>952</v>
      </c>
      <c r="C588" s="34">
        <v>36</v>
      </c>
      <c r="D588" s="34">
        <v>2145</v>
      </c>
      <c r="E588" s="34">
        <v>24</v>
      </c>
      <c r="F588" s="34" t="s">
        <v>55</v>
      </c>
      <c r="G588" s="97">
        <v>0.59544230029853373</v>
      </c>
      <c r="H588" s="34">
        <f t="shared" si="21"/>
        <v>3</v>
      </c>
      <c r="I588" s="75">
        <f t="shared" si="22"/>
        <v>3</v>
      </c>
    </row>
    <row r="589" spans="1:9" x14ac:dyDescent="0.3">
      <c r="A589" s="34">
        <v>588</v>
      </c>
      <c r="B589" s="34">
        <v>963</v>
      </c>
      <c r="C589" s="34">
        <v>15</v>
      </c>
      <c r="D589" s="34">
        <v>3556</v>
      </c>
      <c r="E589" s="34">
        <v>29</v>
      </c>
      <c r="F589" s="34" t="s">
        <v>54</v>
      </c>
      <c r="G589" s="97">
        <v>0.59636119465458348</v>
      </c>
      <c r="H589" s="34">
        <f t="shared" si="21"/>
        <v>5</v>
      </c>
      <c r="I589" s="75">
        <f t="shared" si="22"/>
        <v>8</v>
      </c>
    </row>
    <row r="590" spans="1:9" x14ac:dyDescent="0.3">
      <c r="A590" s="34">
        <v>589</v>
      </c>
      <c r="B590" s="34">
        <v>461</v>
      </c>
      <c r="C590" s="34">
        <v>36</v>
      </c>
      <c r="D590" s="34">
        <v>3620</v>
      </c>
      <c r="E590" s="34">
        <v>37</v>
      </c>
      <c r="F590" s="34" t="s">
        <v>54</v>
      </c>
      <c r="G590" s="97">
        <v>0.59648882353872634</v>
      </c>
      <c r="H590" s="34">
        <f t="shared" si="21"/>
        <v>9</v>
      </c>
      <c r="I590" s="75">
        <f t="shared" si="22"/>
        <v>14</v>
      </c>
    </row>
    <row r="591" spans="1:9" x14ac:dyDescent="0.3">
      <c r="A591" s="34">
        <v>590</v>
      </c>
      <c r="B591" s="34">
        <v>779</v>
      </c>
      <c r="C591" s="34">
        <v>36</v>
      </c>
      <c r="D591" s="34">
        <v>5711</v>
      </c>
      <c r="E591" s="34">
        <v>38</v>
      </c>
      <c r="F591" s="34" t="s">
        <v>54</v>
      </c>
      <c r="G591" s="97">
        <v>0.59696215082131998</v>
      </c>
      <c r="H591" s="34">
        <f t="shared" si="21"/>
        <v>9</v>
      </c>
      <c r="I591" s="75">
        <f t="shared" si="22"/>
        <v>14</v>
      </c>
    </row>
    <row r="592" spans="1:9" x14ac:dyDescent="0.3">
      <c r="A592" s="34">
        <v>591</v>
      </c>
      <c r="B592" s="34">
        <v>352</v>
      </c>
      <c r="C592" s="34">
        <v>9</v>
      </c>
      <c r="D592" s="34">
        <v>959</v>
      </c>
      <c r="E592" s="34">
        <v>29</v>
      </c>
      <c r="F592" s="34" t="s">
        <v>57</v>
      </c>
      <c r="G592" s="97">
        <v>0.59821059763590911</v>
      </c>
      <c r="H592" s="34">
        <f t="shared" si="21"/>
        <v>5</v>
      </c>
      <c r="I592" s="75">
        <f t="shared" si="22"/>
        <v>8</v>
      </c>
    </row>
    <row r="593" spans="1:9" x14ac:dyDescent="0.3">
      <c r="A593" s="34">
        <v>592</v>
      </c>
      <c r="B593" s="34">
        <v>954</v>
      </c>
      <c r="C593" s="34">
        <v>36</v>
      </c>
      <c r="D593" s="34">
        <v>10974</v>
      </c>
      <c r="E593" s="34">
        <v>26</v>
      </c>
      <c r="F593" s="34" t="s">
        <v>57</v>
      </c>
      <c r="G593" s="97">
        <v>0.5993573379038144</v>
      </c>
      <c r="H593" s="34">
        <f t="shared" si="21"/>
        <v>4</v>
      </c>
      <c r="I593" s="75">
        <f t="shared" si="22"/>
        <v>5</v>
      </c>
    </row>
    <row r="594" spans="1:9" x14ac:dyDescent="0.3">
      <c r="A594" s="34">
        <v>593</v>
      </c>
      <c r="B594" s="34">
        <v>975</v>
      </c>
      <c r="C594" s="34">
        <v>30</v>
      </c>
      <c r="D594" s="34">
        <v>2831</v>
      </c>
      <c r="E594" s="34">
        <v>33</v>
      </c>
      <c r="F594" s="34" t="s">
        <v>56</v>
      </c>
      <c r="G594" s="97">
        <v>0.59988280629922808</v>
      </c>
      <c r="H594" s="34">
        <f t="shared" si="21"/>
        <v>7</v>
      </c>
      <c r="I594" s="75">
        <f t="shared" si="22"/>
        <v>11</v>
      </c>
    </row>
    <row r="595" spans="1:9" x14ac:dyDescent="0.3">
      <c r="A595" s="34">
        <v>594</v>
      </c>
      <c r="B595" s="34">
        <v>156</v>
      </c>
      <c r="C595" s="34">
        <v>12</v>
      </c>
      <c r="D595" s="34">
        <v>1282</v>
      </c>
      <c r="E595" s="34">
        <v>20</v>
      </c>
      <c r="F595" s="34" t="s">
        <v>57</v>
      </c>
      <c r="G595" s="97">
        <v>0.60027098313845273</v>
      </c>
      <c r="H595" s="34">
        <f t="shared" si="21"/>
        <v>1</v>
      </c>
      <c r="I595" s="75">
        <f t="shared" si="22"/>
        <v>1</v>
      </c>
    </row>
    <row r="596" spans="1:9" x14ac:dyDescent="0.3">
      <c r="A596" s="34">
        <v>595</v>
      </c>
      <c r="B596" s="34">
        <v>341</v>
      </c>
      <c r="C596" s="34">
        <v>24</v>
      </c>
      <c r="D596" s="34">
        <v>5743</v>
      </c>
      <c r="E596" s="34">
        <v>24</v>
      </c>
      <c r="F596" s="34" t="s">
        <v>56</v>
      </c>
      <c r="G596" s="97">
        <v>0.60032867119671462</v>
      </c>
      <c r="H596" s="34">
        <f t="shared" si="21"/>
        <v>3</v>
      </c>
      <c r="I596" s="75">
        <f t="shared" si="22"/>
        <v>3</v>
      </c>
    </row>
    <row r="597" spans="1:9" x14ac:dyDescent="0.3">
      <c r="A597" s="34">
        <v>596</v>
      </c>
      <c r="B597" s="34">
        <v>215</v>
      </c>
      <c r="C597" s="34">
        <v>36</v>
      </c>
      <c r="D597" s="34">
        <v>3342</v>
      </c>
      <c r="E597" s="34">
        <v>51</v>
      </c>
      <c r="F597" s="34" t="s">
        <v>54</v>
      </c>
      <c r="G597" s="97">
        <v>0.60052281695701237</v>
      </c>
      <c r="H597" s="34">
        <f t="shared" si="21"/>
        <v>15</v>
      </c>
      <c r="I597" s="75">
        <f t="shared" si="22"/>
        <v>20</v>
      </c>
    </row>
    <row r="598" spans="1:9" x14ac:dyDescent="0.3">
      <c r="A598" s="34">
        <v>597</v>
      </c>
      <c r="B598" s="34">
        <v>270</v>
      </c>
      <c r="C598" s="34">
        <v>24</v>
      </c>
      <c r="D598" s="34">
        <v>999</v>
      </c>
      <c r="E598" s="34">
        <v>25</v>
      </c>
      <c r="F598" s="34" t="s">
        <v>54</v>
      </c>
      <c r="G598" s="97">
        <v>0.60117040859844895</v>
      </c>
      <c r="H598" s="34">
        <f t="shared" si="21"/>
        <v>3</v>
      </c>
      <c r="I598" s="75">
        <f t="shared" si="22"/>
        <v>4</v>
      </c>
    </row>
    <row r="599" spans="1:9" x14ac:dyDescent="0.3">
      <c r="A599" s="34">
        <v>598</v>
      </c>
      <c r="B599" s="34">
        <v>55</v>
      </c>
      <c r="C599" s="34">
        <v>36</v>
      </c>
      <c r="D599" s="34">
        <v>2225</v>
      </c>
      <c r="E599" s="34">
        <v>57</v>
      </c>
      <c r="F599" s="34" t="s">
        <v>55</v>
      </c>
      <c r="G599" s="97">
        <v>0.60228916363026375</v>
      </c>
      <c r="H599" s="34">
        <f t="shared" si="21"/>
        <v>17</v>
      </c>
      <c r="I599" s="75">
        <f t="shared" si="22"/>
        <v>22</v>
      </c>
    </row>
    <row r="600" spans="1:9" x14ac:dyDescent="0.3">
      <c r="A600" s="34">
        <v>599</v>
      </c>
      <c r="B600" s="34">
        <v>971</v>
      </c>
      <c r="C600" s="34">
        <v>15</v>
      </c>
      <c r="D600" s="34">
        <v>1514</v>
      </c>
      <c r="E600" s="34">
        <v>22</v>
      </c>
      <c r="F600" s="34" t="s">
        <v>54</v>
      </c>
      <c r="G600" s="97">
        <v>0.60314215475596866</v>
      </c>
      <c r="H600" s="34">
        <f t="shared" si="21"/>
        <v>2</v>
      </c>
      <c r="I600" s="75">
        <f t="shared" si="22"/>
        <v>2</v>
      </c>
    </row>
    <row r="601" spans="1:9" x14ac:dyDescent="0.3">
      <c r="A601" s="34">
        <v>600</v>
      </c>
      <c r="B601" s="34">
        <v>551</v>
      </c>
      <c r="C601" s="34">
        <v>12</v>
      </c>
      <c r="D601" s="34">
        <v>996</v>
      </c>
      <c r="E601" s="34">
        <v>23</v>
      </c>
      <c r="F601" s="34" t="s">
        <v>56</v>
      </c>
      <c r="G601" s="97">
        <v>0.60423067314312706</v>
      </c>
      <c r="H601" s="34">
        <f t="shared" si="21"/>
        <v>2</v>
      </c>
      <c r="I601" s="75">
        <f t="shared" si="22"/>
        <v>2</v>
      </c>
    </row>
    <row r="602" spans="1:9" x14ac:dyDescent="0.3">
      <c r="A602" s="34">
        <v>601</v>
      </c>
      <c r="B602" s="34">
        <v>177</v>
      </c>
      <c r="C602" s="34">
        <v>12</v>
      </c>
      <c r="D602" s="34">
        <v>2577</v>
      </c>
      <c r="E602" s="34">
        <v>42</v>
      </c>
      <c r="F602" s="34" t="s">
        <v>54</v>
      </c>
      <c r="G602" s="97">
        <v>0.60449742492480896</v>
      </c>
      <c r="H602" s="34">
        <f t="shared" si="21"/>
        <v>11</v>
      </c>
      <c r="I602" s="75">
        <f t="shared" si="22"/>
        <v>16</v>
      </c>
    </row>
    <row r="603" spans="1:9" x14ac:dyDescent="0.3">
      <c r="A603" s="34">
        <v>602</v>
      </c>
      <c r="B603" s="34">
        <v>456</v>
      </c>
      <c r="C603" s="34">
        <v>24</v>
      </c>
      <c r="D603" s="34">
        <v>2679</v>
      </c>
      <c r="E603" s="34">
        <v>29</v>
      </c>
      <c r="F603" s="34" t="s">
        <v>56</v>
      </c>
      <c r="G603" s="97">
        <v>0.60451214373385265</v>
      </c>
      <c r="H603" s="34">
        <f t="shared" si="21"/>
        <v>5</v>
      </c>
      <c r="I603" s="75">
        <f t="shared" si="22"/>
        <v>8</v>
      </c>
    </row>
    <row r="604" spans="1:9" x14ac:dyDescent="0.3">
      <c r="A604" s="34">
        <v>603</v>
      </c>
      <c r="B604" s="34">
        <v>335</v>
      </c>
      <c r="C604" s="34">
        <v>24</v>
      </c>
      <c r="D604" s="34">
        <v>4110</v>
      </c>
      <c r="E604" s="34">
        <v>23</v>
      </c>
      <c r="F604" s="34" t="s">
        <v>55</v>
      </c>
      <c r="G604" s="97">
        <v>0.60635316967050901</v>
      </c>
      <c r="H604" s="34">
        <f t="shared" si="21"/>
        <v>2</v>
      </c>
      <c r="I604" s="75">
        <f t="shared" si="22"/>
        <v>2</v>
      </c>
    </row>
    <row r="605" spans="1:9" x14ac:dyDescent="0.3">
      <c r="A605" s="34">
        <v>604</v>
      </c>
      <c r="B605" s="34">
        <v>643</v>
      </c>
      <c r="C605" s="34">
        <v>15</v>
      </c>
      <c r="D605" s="34">
        <v>4623</v>
      </c>
      <c r="E605" s="34">
        <v>40</v>
      </c>
      <c r="F605" s="34" t="s">
        <v>55</v>
      </c>
      <c r="G605" s="97">
        <v>0.60768690230291944</v>
      </c>
      <c r="H605" s="34">
        <f t="shared" si="21"/>
        <v>10</v>
      </c>
      <c r="I605" s="75">
        <f t="shared" si="22"/>
        <v>15</v>
      </c>
    </row>
    <row r="606" spans="1:9" x14ac:dyDescent="0.3">
      <c r="A606" s="34">
        <v>605</v>
      </c>
      <c r="B606" s="34">
        <v>355</v>
      </c>
      <c r="C606" s="34">
        <v>10</v>
      </c>
      <c r="D606" s="34">
        <v>727</v>
      </c>
      <c r="E606" s="34">
        <v>46</v>
      </c>
      <c r="F606" s="34" t="s">
        <v>54</v>
      </c>
      <c r="G606" s="97">
        <v>0.6077550516661715</v>
      </c>
      <c r="H606" s="34">
        <f t="shared" si="21"/>
        <v>13</v>
      </c>
      <c r="I606" s="75">
        <f t="shared" si="22"/>
        <v>18</v>
      </c>
    </row>
    <row r="607" spans="1:9" x14ac:dyDescent="0.3">
      <c r="A607" s="34">
        <v>606</v>
      </c>
      <c r="B607" s="34">
        <v>223</v>
      </c>
      <c r="C607" s="34">
        <v>12</v>
      </c>
      <c r="D607" s="34">
        <v>707</v>
      </c>
      <c r="E607" s="34">
        <v>30</v>
      </c>
      <c r="F607" s="34" t="s">
        <v>54</v>
      </c>
      <c r="G607" s="97">
        <v>0.60843058792824967</v>
      </c>
      <c r="H607" s="34">
        <f t="shared" si="21"/>
        <v>5</v>
      </c>
      <c r="I607" s="75">
        <f t="shared" si="22"/>
        <v>9</v>
      </c>
    </row>
    <row r="608" spans="1:9" x14ac:dyDescent="0.3">
      <c r="A608" s="34">
        <v>607</v>
      </c>
      <c r="B608" s="34">
        <v>783</v>
      </c>
      <c r="C608" s="34">
        <v>12</v>
      </c>
      <c r="D608" s="34">
        <v>1410</v>
      </c>
      <c r="E608" s="34">
        <v>31</v>
      </c>
      <c r="F608" s="34" t="s">
        <v>54</v>
      </c>
      <c r="G608" s="97">
        <v>0.61035568688696007</v>
      </c>
      <c r="H608" s="34">
        <f t="shared" si="21"/>
        <v>6</v>
      </c>
      <c r="I608" s="75">
        <f t="shared" si="22"/>
        <v>10</v>
      </c>
    </row>
    <row r="609" spans="1:9" x14ac:dyDescent="0.3">
      <c r="A609" s="34">
        <v>608</v>
      </c>
      <c r="B609" s="34">
        <v>628</v>
      </c>
      <c r="C609" s="34">
        <v>9</v>
      </c>
      <c r="D609" s="34">
        <v>1437</v>
      </c>
      <c r="E609" s="34">
        <v>29</v>
      </c>
      <c r="F609" s="34" t="s">
        <v>55</v>
      </c>
      <c r="G609" s="97">
        <v>0.61047239198102021</v>
      </c>
      <c r="H609" s="34">
        <f t="shared" si="21"/>
        <v>5</v>
      </c>
      <c r="I609" s="75">
        <f t="shared" si="22"/>
        <v>8</v>
      </c>
    </row>
    <row r="610" spans="1:9" x14ac:dyDescent="0.3">
      <c r="A610" s="34">
        <v>609</v>
      </c>
      <c r="B610" s="34">
        <v>692</v>
      </c>
      <c r="C610" s="34">
        <v>15</v>
      </c>
      <c r="D610" s="34">
        <v>2631</v>
      </c>
      <c r="E610" s="34">
        <v>25</v>
      </c>
      <c r="F610" s="34" t="s">
        <v>56</v>
      </c>
      <c r="G610" s="97">
        <v>0.61140452661730349</v>
      </c>
      <c r="H610" s="34">
        <f t="shared" si="21"/>
        <v>3</v>
      </c>
      <c r="I610" s="75">
        <f t="shared" si="22"/>
        <v>4</v>
      </c>
    </row>
    <row r="611" spans="1:9" x14ac:dyDescent="0.3">
      <c r="A611" s="34">
        <v>610</v>
      </c>
      <c r="B611" s="34">
        <v>616</v>
      </c>
      <c r="C611" s="34">
        <v>48</v>
      </c>
      <c r="D611" s="34">
        <v>12204</v>
      </c>
      <c r="E611" s="34">
        <v>48</v>
      </c>
      <c r="F611" s="34" t="s">
        <v>54</v>
      </c>
      <c r="G611" s="97">
        <v>0.61239436248912005</v>
      </c>
      <c r="H611" s="34">
        <f t="shared" si="21"/>
        <v>13</v>
      </c>
      <c r="I611" s="75">
        <f t="shared" si="22"/>
        <v>18</v>
      </c>
    </row>
    <row r="612" spans="1:9" x14ac:dyDescent="0.3">
      <c r="A612" s="34">
        <v>611</v>
      </c>
      <c r="B612" s="34">
        <v>824</v>
      </c>
      <c r="C612" s="34">
        <v>8</v>
      </c>
      <c r="D612" s="34">
        <v>731</v>
      </c>
      <c r="E612" s="34">
        <v>47</v>
      </c>
      <c r="F612" s="34" t="s">
        <v>54</v>
      </c>
      <c r="G612" s="97">
        <v>0.61252947705337146</v>
      </c>
      <c r="H612" s="34">
        <f t="shared" si="21"/>
        <v>13</v>
      </c>
      <c r="I612" s="75">
        <f t="shared" si="22"/>
        <v>18</v>
      </c>
    </row>
    <row r="613" spans="1:9" x14ac:dyDescent="0.3">
      <c r="A613" s="34">
        <v>612</v>
      </c>
      <c r="B613" s="34">
        <v>738</v>
      </c>
      <c r="C613" s="34">
        <v>18</v>
      </c>
      <c r="D613" s="34">
        <v>4380</v>
      </c>
      <c r="E613" s="34">
        <v>35</v>
      </c>
      <c r="F613" s="34" t="s">
        <v>54</v>
      </c>
      <c r="G613" s="97">
        <v>0.61292181750339203</v>
      </c>
      <c r="H613" s="34">
        <f t="shared" si="21"/>
        <v>8</v>
      </c>
      <c r="I613" s="75">
        <f t="shared" si="22"/>
        <v>12</v>
      </c>
    </row>
    <row r="614" spans="1:9" x14ac:dyDescent="0.3">
      <c r="A614" s="34">
        <v>613</v>
      </c>
      <c r="B614" s="34">
        <v>545</v>
      </c>
      <c r="C614" s="34">
        <v>12</v>
      </c>
      <c r="D614" s="34">
        <v>1255</v>
      </c>
      <c r="E614" s="34">
        <v>61</v>
      </c>
      <c r="F614" s="34" t="s">
        <v>54</v>
      </c>
      <c r="G614" s="97">
        <v>0.61317596118648354</v>
      </c>
      <c r="H614" s="34">
        <f t="shared" si="21"/>
        <v>19</v>
      </c>
      <c r="I614" s="75">
        <f t="shared" si="22"/>
        <v>23</v>
      </c>
    </row>
    <row r="615" spans="1:9" x14ac:dyDescent="0.3">
      <c r="A615" s="34">
        <v>614</v>
      </c>
      <c r="B615" s="34">
        <v>104</v>
      </c>
      <c r="C615" s="34">
        <v>9</v>
      </c>
      <c r="D615" s="34">
        <v>1919</v>
      </c>
      <c r="E615" s="34">
        <v>35</v>
      </c>
      <c r="F615" s="34" t="s">
        <v>54</v>
      </c>
      <c r="G615" s="97">
        <v>0.61344551919376755</v>
      </c>
      <c r="H615" s="34">
        <f t="shared" si="21"/>
        <v>8</v>
      </c>
      <c r="I615" s="75">
        <f t="shared" si="22"/>
        <v>12</v>
      </c>
    </row>
    <row r="616" spans="1:9" x14ac:dyDescent="0.3">
      <c r="A616" s="34">
        <v>615</v>
      </c>
      <c r="B616" s="34">
        <v>929</v>
      </c>
      <c r="C616" s="34">
        <v>30</v>
      </c>
      <c r="D616" s="34">
        <v>1867</v>
      </c>
      <c r="E616" s="34">
        <v>58</v>
      </c>
      <c r="F616" s="34" t="s">
        <v>54</v>
      </c>
      <c r="G616" s="97">
        <v>0.61405514890283341</v>
      </c>
      <c r="H616" s="34">
        <f t="shared" si="21"/>
        <v>18</v>
      </c>
      <c r="I616" s="75">
        <f t="shared" si="22"/>
        <v>23</v>
      </c>
    </row>
    <row r="617" spans="1:9" x14ac:dyDescent="0.3">
      <c r="A617" s="34">
        <v>616</v>
      </c>
      <c r="B617" s="34">
        <v>89</v>
      </c>
      <c r="C617" s="34">
        <v>18</v>
      </c>
      <c r="D617" s="34">
        <v>2249</v>
      </c>
      <c r="E617" s="34">
        <v>30</v>
      </c>
      <c r="F617" s="34" t="s">
        <v>54</v>
      </c>
      <c r="G617" s="97">
        <v>0.61410924626269559</v>
      </c>
      <c r="H617" s="34">
        <f t="shared" si="21"/>
        <v>5</v>
      </c>
      <c r="I617" s="75">
        <f t="shared" si="22"/>
        <v>9</v>
      </c>
    </row>
    <row r="618" spans="1:9" x14ac:dyDescent="0.3">
      <c r="A618" s="34">
        <v>617</v>
      </c>
      <c r="B618" s="34">
        <v>575</v>
      </c>
      <c r="C618" s="34">
        <v>9</v>
      </c>
      <c r="D618" s="34">
        <v>1082</v>
      </c>
      <c r="E618" s="34">
        <v>27</v>
      </c>
      <c r="F618" s="34" t="s">
        <v>54</v>
      </c>
      <c r="G618" s="97">
        <v>0.61452101176342877</v>
      </c>
      <c r="H618" s="34">
        <f t="shared" si="21"/>
        <v>4</v>
      </c>
      <c r="I618" s="75">
        <f t="shared" si="22"/>
        <v>6</v>
      </c>
    </row>
    <row r="619" spans="1:9" x14ac:dyDescent="0.3">
      <c r="A619" s="34">
        <v>618</v>
      </c>
      <c r="B619" s="34">
        <v>554</v>
      </c>
      <c r="C619" s="34">
        <v>12</v>
      </c>
      <c r="D619" s="34">
        <v>1995</v>
      </c>
      <c r="E619" s="34">
        <v>27</v>
      </c>
      <c r="F619" s="34" t="s">
        <v>54</v>
      </c>
      <c r="G619" s="97">
        <v>0.61707420439440064</v>
      </c>
      <c r="H619" s="34">
        <f t="shared" si="21"/>
        <v>4</v>
      </c>
      <c r="I619" s="75">
        <f t="shared" si="22"/>
        <v>6</v>
      </c>
    </row>
    <row r="620" spans="1:9" x14ac:dyDescent="0.3">
      <c r="A620" s="34">
        <v>619</v>
      </c>
      <c r="B620" s="34">
        <v>877</v>
      </c>
      <c r="C620" s="34">
        <v>18</v>
      </c>
      <c r="D620" s="34">
        <v>1940</v>
      </c>
      <c r="E620" s="34">
        <v>36</v>
      </c>
      <c r="F620" s="34" t="s">
        <v>54</v>
      </c>
      <c r="G620" s="97">
        <v>0.61993702141375362</v>
      </c>
      <c r="H620" s="34">
        <f t="shared" si="21"/>
        <v>8</v>
      </c>
      <c r="I620" s="75">
        <f t="shared" si="22"/>
        <v>13</v>
      </c>
    </row>
    <row r="621" spans="1:9" x14ac:dyDescent="0.3">
      <c r="A621" s="34">
        <v>620</v>
      </c>
      <c r="B621" s="34">
        <v>907</v>
      </c>
      <c r="C621" s="34">
        <v>21</v>
      </c>
      <c r="D621" s="34">
        <v>3763</v>
      </c>
      <c r="E621" s="34">
        <v>24</v>
      </c>
      <c r="F621" s="34" t="s">
        <v>54</v>
      </c>
      <c r="G621" s="97">
        <v>0.6203314894276063</v>
      </c>
      <c r="H621" s="34">
        <f t="shared" si="21"/>
        <v>3</v>
      </c>
      <c r="I621" s="75">
        <f t="shared" si="22"/>
        <v>3</v>
      </c>
    </row>
    <row r="622" spans="1:9" x14ac:dyDescent="0.3">
      <c r="A622" s="34">
        <v>621</v>
      </c>
      <c r="B622" s="34">
        <v>210</v>
      </c>
      <c r="C622" s="34">
        <v>12</v>
      </c>
      <c r="D622" s="34">
        <v>1413</v>
      </c>
      <c r="E622" s="34">
        <v>55</v>
      </c>
      <c r="F622" s="34" t="s">
        <v>54</v>
      </c>
      <c r="G622" s="97">
        <v>0.62141564367738145</v>
      </c>
      <c r="H622" s="34">
        <f t="shared" si="21"/>
        <v>17</v>
      </c>
      <c r="I622" s="75">
        <f t="shared" si="22"/>
        <v>22</v>
      </c>
    </row>
    <row r="623" spans="1:9" x14ac:dyDescent="0.3">
      <c r="A623" s="34">
        <v>622</v>
      </c>
      <c r="B623" s="34">
        <v>401</v>
      </c>
      <c r="C623" s="34">
        <v>18</v>
      </c>
      <c r="D623" s="34">
        <v>1473</v>
      </c>
      <c r="E623" s="34">
        <v>39</v>
      </c>
      <c r="F623" s="34" t="s">
        <v>54</v>
      </c>
      <c r="G623" s="97">
        <v>0.6217271549732426</v>
      </c>
      <c r="H623" s="34">
        <f t="shared" si="21"/>
        <v>9</v>
      </c>
      <c r="I623" s="75">
        <f t="shared" si="22"/>
        <v>14</v>
      </c>
    </row>
    <row r="624" spans="1:9" x14ac:dyDescent="0.3">
      <c r="A624" s="34">
        <v>623</v>
      </c>
      <c r="B624" s="34">
        <v>754</v>
      </c>
      <c r="C624" s="34">
        <v>30</v>
      </c>
      <c r="D624" s="34">
        <v>5771</v>
      </c>
      <c r="E624" s="34">
        <v>25</v>
      </c>
      <c r="F624" s="34" t="s">
        <v>56</v>
      </c>
      <c r="G624" s="97">
        <v>0.62265765498340442</v>
      </c>
      <c r="H624" s="34">
        <f t="shared" si="21"/>
        <v>3</v>
      </c>
      <c r="I624" s="75">
        <f t="shared" si="22"/>
        <v>4</v>
      </c>
    </row>
    <row r="625" spans="1:9" x14ac:dyDescent="0.3">
      <c r="A625" s="34">
        <v>624</v>
      </c>
      <c r="B625" s="34">
        <v>923</v>
      </c>
      <c r="C625" s="34">
        <v>9</v>
      </c>
      <c r="D625" s="34">
        <v>1366</v>
      </c>
      <c r="E625" s="34">
        <v>22</v>
      </c>
      <c r="F625" s="34" t="s">
        <v>57</v>
      </c>
      <c r="G625" s="97">
        <v>0.62267515621851532</v>
      </c>
      <c r="H625" s="34">
        <f t="shared" si="21"/>
        <v>2</v>
      </c>
      <c r="I625" s="75">
        <f t="shared" si="22"/>
        <v>2</v>
      </c>
    </row>
    <row r="626" spans="1:9" x14ac:dyDescent="0.3">
      <c r="A626" s="34">
        <v>625</v>
      </c>
      <c r="B626" s="34">
        <v>420</v>
      </c>
      <c r="C626" s="34">
        <v>18</v>
      </c>
      <c r="D626" s="34">
        <v>1042</v>
      </c>
      <c r="E626" s="34">
        <v>33</v>
      </c>
      <c r="F626" s="34" t="s">
        <v>57</v>
      </c>
      <c r="G626" s="97">
        <v>0.62329544489626154</v>
      </c>
      <c r="H626" s="34">
        <f t="shared" si="21"/>
        <v>7</v>
      </c>
      <c r="I626" s="75">
        <f t="shared" si="22"/>
        <v>11</v>
      </c>
    </row>
    <row r="627" spans="1:9" x14ac:dyDescent="0.3">
      <c r="A627" s="34">
        <v>626</v>
      </c>
      <c r="B627" s="34">
        <v>610</v>
      </c>
      <c r="C627" s="34">
        <v>15</v>
      </c>
      <c r="D627" s="34">
        <v>1300</v>
      </c>
      <c r="E627" s="34">
        <v>45</v>
      </c>
      <c r="F627" s="34" t="s">
        <v>54</v>
      </c>
      <c r="G627" s="97">
        <v>0.62357240765158561</v>
      </c>
      <c r="H627" s="34">
        <f t="shared" si="21"/>
        <v>12</v>
      </c>
      <c r="I627" s="75">
        <f t="shared" si="22"/>
        <v>17</v>
      </c>
    </row>
    <row r="628" spans="1:9" x14ac:dyDescent="0.3">
      <c r="A628" s="34">
        <v>627</v>
      </c>
      <c r="B628" s="34">
        <v>817</v>
      </c>
      <c r="C628" s="34">
        <v>6</v>
      </c>
      <c r="D628" s="34">
        <v>1338</v>
      </c>
      <c r="E628" s="34">
        <v>62</v>
      </c>
      <c r="F628" s="34" t="s">
        <v>54</v>
      </c>
      <c r="G628" s="97">
        <v>0.62784865611131924</v>
      </c>
      <c r="H628" s="34">
        <f t="shared" si="21"/>
        <v>20</v>
      </c>
      <c r="I628" s="75">
        <f t="shared" si="22"/>
        <v>24</v>
      </c>
    </row>
    <row r="629" spans="1:9" x14ac:dyDescent="0.3">
      <c r="A629" s="34">
        <v>628</v>
      </c>
      <c r="B629" s="34">
        <v>109</v>
      </c>
      <c r="C629" s="34">
        <v>24</v>
      </c>
      <c r="D629" s="34">
        <v>7721</v>
      </c>
      <c r="E629" s="34">
        <v>30</v>
      </c>
      <c r="F629" s="34" t="s">
        <v>56</v>
      </c>
      <c r="G629" s="97">
        <v>0.62877231025984404</v>
      </c>
      <c r="H629" s="34">
        <f t="shared" si="21"/>
        <v>5</v>
      </c>
      <c r="I629" s="75">
        <f t="shared" si="22"/>
        <v>9</v>
      </c>
    </row>
    <row r="630" spans="1:9" x14ac:dyDescent="0.3">
      <c r="A630" s="34">
        <v>629</v>
      </c>
      <c r="B630" s="34">
        <v>483</v>
      </c>
      <c r="C630" s="34">
        <v>30</v>
      </c>
      <c r="D630" s="34">
        <v>3622</v>
      </c>
      <c r="E630" s="34">
        <v>57</v>
      </c>
      <c r="F630" s="34" t="s">
        <v>56</v>
      </c>
      <c r="G630" s="97">
        <v>0.62963600756987825</v>
      </c>
      <c r="H630" s="34">
        <f t="shared" si="21"/>
        <v>17</v>
      </c>
      <c r="I630" s="75">
        <f t="shared" si="22"/>
        <v>22</v>
      </c>
    </row>
    <row r="631" spans="1:9" x14ac:dyDescent="0.3">
      <c r="A631" s="34">
        <v>630</v>
      </c>
      <c r="B631" s="34">
        <v>770</v>
      </c>
      <c r="C631" s="34">
        <v>12</v>
      </c>
      <c r="D631" s="34">
        <v>1655</v>
      </c>
      <c r="E631" s="34">
        <v>63</v>
      </c>
      <c r="F631" s="34" t="s">
        <v>54</v>
      </c>
      <c r="G631" s="97">
        <v>0.63038962924784803</v>
      </c>
      <c r="H631" s="34">
        <f t="shared" si="21"/>
        <v>20</v>
      </c>
      <c r="I631" s="75">
        <f t="shared" si="22"/>
        <v>24</v>
      </c>
    </row>
    <row r="632" spans="1:9" x14ac:dyDescent="0.3">
      <c r="A632" s="34">
        <v>631</v>
      </c>
      <c r="B632" s="34">
        <v>781</v>
      </c>
      <c r="C632" s="34">
        <v>39</v>
      </c>
      <c r="D632" s="34">
        <v>4933</v>
      </c>
      <c r="E632" s="34">
        <v>25</v>
      </c>
      <c r="F632" s="34" t="s">
        <v>55</v>
      </c>
      <c r="G632" s="97">
        <v>0.63059511949787728</v>
      </c>
      <c r="H632" s="34">
        <f t="shared" si="21"/>
        <v>3</v>
      </c>
      <c r="I632" s="75">
        <f t="shared" si="22"/>
        <v>4</v>
      </c>
    </row>
    <row r="633" spans="1:9" x14ac:dyDescent="0.3">
      <c r="A633" s="34">
        <v>632</v>
      </c>
      <c r="B633" s="34">
        <v>39</v>
      </c>
      <c r="C633" s="34">
        <v>10</v>
      </c>
      <c r="D633" s="34">
        <v>1225</v>
      </c>
      <c r="E633" s="34">
        <v>37</v>
      </c>
      <c r="F633" s="34" t="s">
        <v>54</v>
      </c>
      <c r="G633" s="97">
        <v>0.63333194438561258</v>
      </c>
      <c r="H633" s="34">
        <f t="shared" si="21"/>
        <v>9</v>
      </c>
      <c r="I633" s="75">
        <f t="shared" si="22"/>
        <v>14</v>
      </c>
    </row>
    <row r="634" spans="1:9" x14ac:dyDescent="0.3">
      <c r="A634" s="34">
        <v>633</v>
      </c>
      <c r="B634" s="34">
        <v>622</v>
      </c>
      <c r="C634" s="34">
        <v>18</v>
      </c>
      <c r="D634" s="34">
        <v>1530</v>
      </c>
      <c r="E634" s="34">
        <v>32</v>
      </c>
      <c r="F634" s="34" t="s">
        <v>55</v>
      </c>
      <c r="G634" s="97">
        <v>0.63375953263405749</v>
      </c>
      <c r="H634" s="34">
        <f t="shared" si="21"/>
        <v>6</v>
      </c>
      <c r="I634" s="75">
        <f t="shared" si="22"/>
        <v>10</v>
      </c>
    </row>
    <row r="635" spans="1:9" x14ac:dyDescent="0.3">
      <c r="A635" s="34">
        <v>634</v>
      </c>
      <c r="B635" s="34">
        <v>427</v>
      </c>
      <c r="C635" s="34">
        <v>28</v>
      </c>
      <c r="D635" s="34">
        <v>2743</v>
      </c>
      <c r="E635" s="34">
        <v>29</v>
      </c>
      <c r="F635" s="34" t="s">
        <v>54</v>
      </c>
      <c r="G635" s="97">
        <v>0.63666331962124478</v>
      </c>
      <c r="H635" s="34">
        <f t="shared" si="21"/>
        <v>5</v>
      </c>
      <c r="I635" s="75">
        <f t="shared" si="22"/>
        <v>8</v>
      </c>
    </row>
    <row r="636" spans="1:9" x14ac:dyDescent="0.3">
      <c r="A636" s="34">
        <v>635</v>
      </c>
      <c r="B636" s="34">
        <v>729</v>
      </c>
      <c r="C636" s="34">
        <v>48</v>
      </c>
      <c r="D636" s="34">
        <v>6416</v>
      </c>
      <c r="E636" s="34">
        <v>59</v>
      </c>
      <c r="F636" s="34" t="s">
        <v>57</v>
      </c>
      <c r="G636" s="97">
        <v>0.63688692659354162</v>
      </c>
      <c r="H636" s="34">
        <f t="shared" si="21"/>
        <v>18</v>
      </c>
      <c r="I636" s="75">
        <f t="shared" si="22"/>
        <v>23</v>
      </c>
    </row>
    <row r="637" spans="1:9" x14ac:dyDescent="0.3">
      <c r="A637" s="34">
        <v>636</v>
      </c>
      <c r="B637" s="34">
        <v>363</v>
      </c>
      <c r="C637" s="34">
        <v>12</v>
      </c>
      <c r="D637" s="34">
        <v>2247</v>
      </c>
      <c r="E637" s="34">
        <v>36</v>
      </c>
      <c r="F637" s="34" t="s">
        <v>56</v>
      </c>
      <c r="G637" s="97">
        <v>0.63932941794810882</v>
      </c>
      <c r="H637" s="34">
        <f t="shared" si="21"/>
        <v>8</v>
      </c>
      <c r="I637" s="75">
        <f t="shared" si="22"/>
        <v>13</v>
      </c>
    </row>
    <row r="638" spans="1:9" x14ac:dyDescent="0.3">
      <c r="A638" s="34">
        <v>637</v>
      </c>
      <c r="B638" s="34">
        <v>44</v>
      </c>
      <c r="C638" s="34">
        <v>30</v>
      </c>
      <c r="D638" s="34">
        <v>6187</v>
      </c>
      <c r="E638" s="34">
        <v>24</v>
      </c>
      <c r="F638" s="34" t="s">
        <v>54</v>
      </c>
      <c r="G638" s="97">
        <v>0.64079842341551319</v>
      </c>
      <c r="H638" s="34">
        <f t="shared" si="21"/>
        <v>3</v>
      </c>
      <c r="I638" s="75">
        <f t="shared" si="22"/>
        <v>3</v>
      </c>
    </row>
    <row r="639" spans="1:9" x14ac:dyDescent="0.3">
      <c r="A639" s="34">
        <v>638</v>
      </c>
      <c r="B639" s="34">
        <v>357</v>
      </c>
      <c r="C639" s="34">
        <v>12</v>
      </c>
      <c r="D639" s="34">
        <v>2331</v>
      </c>
      <c r="E639" s="34">
        <v>49</v>
      </c>
      <c r="F639" s="34" t="s">
        <v>54</v>
      </c>
      <c r="G639" s="97">
        <v>0.64114503736716777</v>
      </c>
      <c r="H639" s="34">
        <f t="shared" si="21"/>
        <v>14</v>
      </c>
      <c r="I639" s="75">
        <f t="shared" si="22"/>
        <v>19</v>
      </c>
    </row>
    <row r="640" spans="1:9" x14ac:dyDescent="0.3">
      <c r="A640" s="34">
        <v>639</v>
      </c>
      <c r="B640" s="34">
        <v>71</v>
      </c>
      <c r="C640" s="34">
        <v>36</v>
      </c>
      <c r="D640" s="34">
        <v>8133</v>
      </c>
      <c r="E640" s="34">
        <v>30</v>
      </c>
      <c r="F640" s="34" t="s">
        <v>56</v>
      </c>
      <c r="G640" s="97">
        <v>0.64203318451657443</v>
      </c>
      <c r="H640" s="34">
        <f t="shared" si="21"/>
        <v>5</v>
      </c>
      <c r="I640" s="75">
        <f t="shared" si="22"/>
        <v>9</v>
      </c>
    </row>
    <row r="641" spans="1:9" x14ac:dyDescent="0.3">
      <c r="A641" s="34">
        <v>640</v>
      </c>
      <c r="B641" s="34">
        <v>657</v>
      </c>
      <c r="C641" s="34">
        <v>12</v>
      </c>
      <c r="D641" s="34">
        <v>888</v>
      </c>
      <c r="E641" s="34">
        <v>41</v>
      </c>
      <c r="F641" s="34" t="s">
        <v>55</v>
      </c>
      <c r="G641" s="97">
        <v>0.64268354764527091</v>
      </c>
      <c r="H641" s="34">
        <f t="shared" si="21"/>
        <v>10</v>
      </c>
      <c r="I641" s="75">
        <f t="shared" si="22"/>
        <v>15</v>
      </c>
    </row>
    <row r="642" spans="1:9" x14ac:dyDescent="0.3">
      <c r="A642" s="34">
        <v>641</v>
      </c>
      <c r="B642" s="34">
        <v>791</v>
      </c>
      <c r="C642" s="34">
        <v>21</v>
      </c>
      <c r="D642" s="34">
        <v>1188</v>
      </c>
      <c r="E642" s="34">
        <v>39</v>
      </c>
      <c r="F642" s="34" t="s">
        <v>57</v>
      </c>
      <c r="G642" s="97">
        <v>0.6428406701075059</v>
      </c>
      <c r="H642" s="34">
        <f t="shared" ref="H642:H705" si="23">MATCH(E642,$O$3:$O$27,1)</f>
        <v>9</v>
      </c>
      <c r="I642" s="75">
        <f t="shared" ref="I642:I705" si="24">MATCH(E642,$U$3:$U$28,1)</f>
        <v>14</v>
      </c>
    </row>
    <row r="643" spans="1:9" x14ac:dyDescent="0.3">
      <c r="A643" s="34">
        <v>642</v>
      </c>
      <c r="B643" s="34">
        <v>25</v>
      </c>
      <c r="C643" s="34">
        <v>10</v>
      </c>
      <c r="D643" s="34">
        <v>2069</v>
      </c>
      <c r="E643" s="34">
        <v>26</v>
      </c>
      <c r="F643" s="34" t="s">
        <v>54</v>
      </c>
      <c r="G643" s="97">
        <v>0.64319712557214348</v>
      </c>
      <c r="H643" s="34">
        <f t="shared" si="23"/>
        <v>4</v>
      </c>
      <c r="I643" s="75">
        <f t="shared" si="24"/>
        <v>5</v>
      </c>
    </row>
    <row r="644" spans="1:9" x14ac:dyDescent="0.3">
      <c r="A644" s="34">
        <v>643</v>
      </c>
      <c r="B644" s="34">
        <v>512</v>
      </c>
      <c r="C644" s="34">
        <v>36</v>
      </c>
      <c r="D644" s="34">
        <v>4686</v>
      </c>
      <c r="E644" s="34">
        <v>32</v>
      </c>
      <c r="F644" s="34" t="s">
        <v>54</v>
      </c>
      <c r="G644" s="97">
        <v>0.64445345417376787</v>
      </c>
      <c r="H644" s="34">
        <f t="shared" si="23"/>
        <v>6</v>
      </c>
      <c r="I644" s="75">
        <f t="shared" si="24"/>
        <v>10</v>
      </c>
    </row>
    <row r="645" spans="1:9" x14ac:dyDescent="0.3">
      <c r="A645" s="34">
        <v>644</v>
      </c>
      <c r="B645" s="34">
        <v>342</v>
      </c>
      <c r="C645" s="34">
        <v>21</v>
      </c>
      <c r="D645" s="34">
        <v>3599</v>
      </c>
      <c r="E645" s="34">
        <v>26</v>
      </c>
      <c r="F645" s="34" t="s">
        <v>56</v>
      </c>
      <c r="G645" s="97">
        <v>0.64619646305963152</v>
      </c>
      <c r="H645" s="34">
        <f t="shared" si="23"/>
        <v>4</v>
      </c>
      <c r="I645" s="75">
        <f t="shared" si="24"/>
        <v>5</v>
      </c>
    </row>
    <row r="646" spans="1:9" x14ac:dyDescent="0.3">
      <c r="A646" s="34">
        <v>645</v>
      </c>
      <c r="B646" s="34">
        <v>324</v>
      </c>
      <c r="C646" s="34">
        <v>18</v>
      </c>
      <c r="D646" s="34">
        <v>2659</v>
      </c>
      <c r="E646" s="34">
        <v>28</v>
      </c>
      <c r="F646" s="34" t="s">
        <v>54</v>
      </c>
      <c r="G646" s="97">
        <v>0.64801091458129334</v>
      </c>
      <c r="H646" s="34">
        <f t="shared" si="23"/>
        <v>5</v>
      </c>
      <c r="I646" s="75">
        <f t="shared" si="24"/>
        <v>7</v>
      </c>
    </row>
    <row r="647" spans="1:9" x14ac:dyDescent="0.3">
      <c r="A647" s="34">
        <v>646</v>
      </c>
      <c r="B647" s="34">
        <v>759</v>
      </c>
      <c r="C647" s="34">
        <v>24</v>
      </c>
      <c r="D647" s="34">
        <v>1393</v>
      </c>
      <c r="E647" s="34">
        <v>31</v>
      </c>
      <c r="F647" s="34" t="s">
        <v>54</v>
      </c>
      <c r="G647" s="97">
        <v>0.64866661363940381</v>
      </c>
      <c r="H647" s="34">
        <f t="shared" si="23"/>
        <v>6</v>
      </c>
      <c r="I647" s="75">
        <f t="shared" si="24"/>
        <v>10</v>
      </c>
    </row>
    <row r="648" spans="1:9" x14ac:dyDescent="0.3">
      <c r="A648" s="34">
        <v>647</v>
      </c>
      <c r="B648" s="34">
        <v>218</v>
      </c>
      <c r="C648" s="34">
        <v>36</v>
      </c>
      <c r="D648" s="34">
        <v>3913</v>
      </c>
      <c r="E648" s="34">
        <v>23</v>
      </c>
      <c r="F648" s="34" t="s">
        <v>54</v>
      </c>
      <c r="G648" s="97">
        <v>0.64985426622881803</v>
      </c>
      <c r="H648" s="34">
        <f t="shared" si="23"/>
        <v>2</v>
      </c>
      <c r="I648" s="75">
        <f t="shared" si="24"/>
        <v>2</v>
      </c>
    </row>
    <row r="649" spans="1:9" x14ac:dyDescent="0.3">
      <c r="A649" s="34">
        <v>648</v>
      </c>
      <c r="B649" s="34">
        <v>495</v>
      </c>
      <c r="C649" s="34">
        <v>12</v>
      </c>
      <c r="D649" s="34">
        <v>2122</v>
      </c>
      <c r="E649" s="34">
        <v>39</v>
      </c>
      <c r="F649" s="34" t="s">
        <v>54</v>
      </c>
      <c r="G649" s="97">
        <v>0.65032672581028161</v>
      </c>
      <c r="H649" s="34">
        <f t="shared" si="23"/>
        <v>9</v>
      </c>
      <c r="I649" s="75">
        <f t="shared" si="24"/>
        <v>14</v>
      </c>
    </row>
    <row r="650" spans="1:9" x14ac:dyDescent="0.3">
      <c r="A650" s="34">
        <v>649</v>
      </c>
      <c r="B650" s="34">
        <v>709</v>
      </c>
      <c r="C650" s="34">
        <v>9</v>
      </c>
      <c r="D650" s="34">
        <v>1206</v>
      </c>
      <c r="E650" s="34">
        <v>25</v>
      </c>
      <c r="F650" s="34" t="s">
        <v>56</v>
      </c>
      <c r="G650" s="97">
        <v>0.65039209134155207</v>
      </c>
      <c r="H650" s="34">
        <f t="shared" si="23"/>
        <v>3</v>
      </c>
      <c r="I650" s="75">
        <f t="shared" si="24"/>
        <v>4</v>
      </c>
    </row>
    <row r="651" spans="1:9" x14ac:dyDescent="0.3">
      <c r="A651" s="34">
        <v>650</v>
      </c>
      <c r="B651" s="34">
        <v>100</v>
      </c>
      <c r="C651" s="34">
        <v>20</v>
      </c>
      <c r="D651" s="34">
        <v>7057</v>
      </c>
      <c r="E651" s="34">
        <v>36</v>
      </c>
      <c r="F651" s="34" t="s">
        <v>54</v>
      </c>
      <c r="G651" s="97">
        <v>0.65089708599889828</v>
      </c>
      <c r="H651" s="34">
        <f t="shared" si="23"/>
        <v>8</v>
      </c>
      <c r="I651" s="75">
        <f t="shared" si="24"/>
        <v>13</v>
      </c>
    </row>
    <row r="652" spans="1:9" x14ac:dyDescent="0.3">
      <c r="A652" s="34">
        <v>651</v>
      </c>
      <c r="B652" s="34">
        <v>450</v>
      </c>
      <c r="C652" s="34">
        <v>15</v>
      </c>
      <c r="D652" s="34">
        <v>1512</v>
      </c>
      <c r="E652" s="34">
        <v>61</v>
      </c>
      <c r="F652" s="34" t="s">
        <v>55</v>
      </c>
      <c r="G652" s="97">
        <v>0.65109164711238876</v>
      </c>
      <c r="H652" s="34">
        <f t="shared" si="23"/>
        <v>19</v>
      </c>
      <c r="I652" s="75">
        <f t="shared" si="24"/>
        <v>23</v>
      </c>
    </row>
    <row r="653" spans="1:9" x14ac:dyDescent="0.3">
      <c r="A653" s="34">
        <v>652</v>
      </c>
      <c r="B653" s="34">
        <v>849</v>
      </c>
      <c r="C653" s="34">
        <v>9</v>
      </c>
      <c r="D653" s="34">
        <v>1364</v>
      </c>
      <c r="E653" s="34">
        <v>59</v>
      </c>
      <c r="F653" s="34" t="s">
        <v>54</v>
      </c>
      <c r="G653" s="97">
        <v>0.6523141723098721</v>
      </c>
      <c r="H653" s="34">
        <f t="shared" si="23"/>
        <v>18</v>
      </c>
      <c r="I653" s="75">
        <f t="shared" si="24"/>
        <v>23</v>
      </c>
    </row>
    <row r="654" spans="1:9" x14ac:dyDescent="0.3">
      <c r="A654" s="34">
        <v>653</v>
      </c>
      <c r="B654" s="34">
        <v>302</v>
      </c>
      <c r="C654" s="34">
        <v>36</v>
      </c>
      <c r="D654" s="34">
        <v>3804</v>
      </c>
      <c r="E654" s="34">
        <v>42</v>
      </c>
      <c r="F654" s="34" t="s">
        <v>57</v>
      </c>
      <c r="G654" s="97">
        <v>0.65236768736392303</v>
      </c>
      <c r="H654" s="34">
        <f t="shared" si="23"/>
        <v>11</v>
      </c>
      <c r="I654" s="75">
        <f t="shared" si="24"/>
        <v>16</v>
      </c>
    </row>
    <row r="655" spans="1:9" x14ac:dyDescent="0.3">
      <c r="A655" s="34">
        <v>654</v>
      </c>
      <c r="B655" s="34">
        <v>858</v>
      </c>
      <c r="C655" s="34">
        <v>15</v>
      </c>
      <c r="D655" s="34">
        <v>3343</v>
      </c>
      <c r="E655" s="34">
        <v>28</v>
      </c>
      <c r="F655" s="34" t="s">
        <v>54</v>
      </c>
      <c r="G655" s="97">
        <v>0.65365096779091347</v>
      </c>
      <c r="H655" s="34">
        <f t="shared" si="23"/>
        <v>5</v>
      </c>
      <c r="I655" s="75">
        <f t="shared" si="24"/>
        <v>7</v>
      </c>
    </row>
    <row r="656" spans="1:9" x14ac:dyDescent="0.3">
      <c r="A656" s="34">
        <v>655</v>
      </c>
      <c r="B656" s="34">
        <v>449</v>
      </c>
      <c r="C656" s="34">
        <v>12</v>
      </c>
      <c r="D656" s="34">
        <v>1424</v>
      </c>
      <c r="E656" s="34">
        <v>55</v>
      </c>
      <c r="F656" s="34" t="s">
        <v>56</v>
      </c>
      <c r="G656" s="97">
        <v>0.65396812193631781</v>
      </c>
      <c r="H656" s="34">
        <f t="shared" si="23"/>
        <v>17</v>
      </c>
      <c r="I656" s="75">
        <f t="shared" si="24"/>
        <v>22</v>
      </c>
    </row>
    <row r="657" spans="1:9" x14ac:dyDescent="0.3">
      <c r="A657" s="34">
        <v>656</v>
      </c>
      <c r="B657" s="34">
        <v>266</v>
      </c>
      <c r="C657" s="34">
        <v>15</v>
      </c>
      <c r="D657" s="34">
        <v>802</v>
      </c>
      <c r="E657" s="34">
        <v>37</v>
      </c>
      <c r="F657" s="34" t="s">
        <v>55</v>
      </c>
      <c r="G657" s="97">
        <v>0.65484106763090744</v>
      </c>
      <c r="H657" s="34">
        <f t="shared" si="23"/>
        <v>9</v>
      </c>
      <c r="I657" s="75">
        <f t="shared" si="24"/>
        <v>14</v>
      </c>
    </row>
    <row r="658" spans="1:9" x14ac:dyDescent="0.3">
      <c r="A658" s="34">
        <v>657</v>
      </c>
      <c r="B658" s="34">
        <v>234</v>
      </c>
      <c r="C658" s="34">
        <v>18</v>
      </c>
      <c r="D658" s="34">
        <v>866</v>
      </c>
      <c r="E658" s="34">
        <v>25</v>
      </c>
      <c r="F658" s="34" t="s">
        <v>54</v>
      </c>
      <c r="G658" s="97">
        <v>0.65527432353415183</v>
      </c>
      <c r="H658" s="34">
        <f t="shared" si="23"/>
        <v>3</v>
      </c>
      <c r="I658" s="75">
        <f t="shared" si="24"/>
        <v>4</v>
      </c>
    </row>
    <row r="659" spans="1:9" x14ac:dyDescent="0.3">
      <c r="A659" s="34">
        <v>658</v>
      </c>
      <c r="B659" s="34">
        <v>386</v>
      </c>
      <c r="C659" s="34">
        <v>18</v>
      </c>
      <c r="D659" s="34">
        <v>2238</v>
      </c>
      <c r="E659" s="34">
        <v>25</v>
      </c>
      <c r="F659" s="34" t="s">
        <v>56</v>
      </c>
      <c r="G659" s="97">
        <v>0.65665226348230732</v>
      </c>
      <c r="H659" s="34">
        <f t="shared" si="23"/>
        <v>3</v>
      </c>
      <c r="I659" s="75">
        <f t="shared" si="24"/>
        <v>4</v>
      </c>
    </row>
    <row r="660" spans="1:9" x14ac:dyDescent="0.3">
      <c r="A660" s="34">
        <v>659</v>
      </c>
      <c r="B660" s="34">
        <v>15</v>
      </c>
      <c r="C660" s="34">
        <v>15</v>
      </c>
      <c r="D660" s="34">
        <v>1403</v>
      </c>
      <c r="E660" s="34">
        <v>28</v>
      </c>
      <c r="F660" s="34" t="s">
        <v>56</v>
      </c>
      <c r="G660" s="97">
        <v>0.65754300264066745</v>
      </c>
      <c r="H660" s="34">
        <f t="shared" si="23"/>
        <v>5</v>
      </c>
      <c r="I660" s="75">
        <f t="shared" si="24"/>
        <v>7</v>
      </c>
    </row>
    <row r="661" spans="1:9" x14ac:dyDescent="0.3">
      <c r="A661" s="34">
        <v>660</v>
      </c>
      <c r="B661" s="34">
        <v>202</v>
      </c>
      <c r="C661" s="34">
        <v>12</v>
      </c>
      <c r="D661" s="34">
        <v>1168</v>
      </c>
      <c r="E661" s="34">
        <v>27</v>
      </c>
      <c r="F661" s="34" t="s">
        <v>54</v>
      </c>
      <c r="G661" s="97">
        <v>0.65862206506356658</v>
      </c>
      <c r="H661" s="34">
        <f t="shared" si="23"/>
        <v>4</v>
      </c>
      <c r="I661" s="75">
        <f t="shared" si="24"/>
        <v>6</v>
      </c>
    </row>
    <row r="662" spans="1:9" x14ac:dyDescent="0.3">
      <c r="A662" s="34">
        <v>661</v>
      </c>
      <c r="B662" s="34">
        <v>222</v>
      </c>
      <c r="C662" s="34">
        <v>12</v>
      </c>
      <c r="D662" s="34">
        <v>1200</v>
      </c>
      <c r="E662" s="34">
        <v>23</v>
      </c>
      <c r="F662" s="34" t="s">
        <v>56</v>
      </c>
      <c r="G662" s="97">
        <v>0.65892461191212703</v>
      </c>
      <c r="H662" s="34">
        <f t="shared" si="23"/>
        <v>2</v>
      </c>
      <c r="I662" s="75">
        <f t="shared" si="24"/>
        <v>2</v>
      </c>
    </row>
    <row r="663" spans="1:9" x14ac:dyDescent="0.3">
      <c r="A663" s="34">
        <v>662</v>
      </c>
      <c r="B663" s="34">
        <v>454</v>
      </c>
      <c r="C663" s="34">
        <v>24</v>
      </c>
      <c r="D663" s="34">
        <v>2670</v>
      </c>
      <c r="E663" s="34">
        <v>35</v>
      </c>
      <c r="F663" s="34" t="s">
        <v>54</v>
      </c>
      <c r="G663" s="97">
        <v>0.65937843973855181</v>
      </c>
      <c r="H663" s="34">
        <f t="shared" si="23"/>
        <v>8</v>
      </c>
      <c r="I663" s="75">
        <f t="shared" si="24"/>
        <v>12</v>
      </c>
    </row>
    <row r="664" spans="1:9" x14ac:dyDescent="0.3">
      <c r="A664" s="34">
        <v>663</v>
      </c>
      <c r="B664" s="34">
        <v>713</v>
      </c>
      <c r="C664" s="34">
        <v>21</v>
      </c>
      <c r="D664" s="34">
        <v>2476</v>
      </c>
      <c r="E664" s="34">
        <v>46</v>
      </c>
      <c r="F664" s="34" t="s">
        <v>54</v>
      </c>
      <c r="G664" s="97">
        <v>0.66035951868949527</v>
      </c>
      <c r="H664" s="34">
        <f t="shared" si="23"/>
        <v>13</v>
      </c>
      <c r="I664" s="75">
        <f t="shared" si="24"/>
        <v>18</v>
      </c>
    </row>
    <row r="665" spans="1:9" x14ac:dyDescent="0.3">
      <c r="A665" s="34">
        <v>664</v>
      </c>
      <c r="B665" s="34">
        <v>677</v>
      </c>
      <c r="C665" s="34">
        <v>24</v>
      </c>
      <c r="D665" s="34">
        <v>5150</v>
      </c>
      <c r="E665" s="34">
        <v>33</v>
      </c>
      <c r="F665" s="34" t="s">
        <v>54</v>
      </c>
      <c r="G665" s="97">
        <v>0.66055283094797601</v>
      </c>
      <c r="H665" s="34">
        <f t="shared" si="23"/>
        <v>7</v>
      </c>
      <c r="I665" s="75">
        <f t="shared" si="24"/>
        <v>11</v>
      </c>
    </row>
    <row r="666" spans="1:9" x14ac:dyDescent="0.3">
      <c r="A666" s="34">
        <v>665</v>
      </c>
      <c r="B666" s="34">
        <v>580</v>
      </c>
      <c r="C666" s="34">
        <v>24</v>
      </c>
      <c r="D666" s="34">
        <v>937</v>
      </c>
      <c r="E666" s="34">
        <v>27</v>
      </c>
      <c r="F666" s="34" t="s">
        <v>54</v>
      </c>
      <c r="G666" s="97">
        <v>0.66075706863787032</v>
      </c>
      <c r="H666" s="34">
        <f t="shared" si="23"/>
        <v>4</v>
      </c>
      <c r="I666" s="75">
        <f t="shared" si="24"/>
        <v>6</v>
      </c>
    </row>
    <row r="667" spans="1:9" x14ac:dyDescent="0.3">
      <c r="A667" s="34">
        <v>666</v>
      </c>
      <c r="B667" s="34">
        <v>192</v>
      </c>
      <c r="C667" s="34">
        <v>48</v>
      </c>
      <c r="D667" s="34">
        <v>3844</v>
      </c>
      <c r="E667" s="34">
        <v>34</v>
      </c>
      <c r="F667" s="34" t="s">
        <v>55</v>
      </c>
      <c r="G667" s="97">
        <v>0.66130491819301052</v>
      </c>
      <c r="H667" s="34">
        <f t="shared" si="23"/>
        <v>7</v>
      </c>
      <c r="I667" s="75">
        <f t="shared" si="24"/>
        <v>11</v>
      </c>
    </row>
    <row r="668" spans="1:9" x14ac:dyDescent="0.3">
      <c r="A668" s="34">
        <v>667</v>
      </c>
      <c r="B668" s="34">
        <v>238</v>
      </c>
      <c r="C668" s="34">
        <v>21</v>
      </c>
      <c r="D668" s="34">
        <v>2767</v>
      </c>
      <c r="E668" s="34">
        <v>61</v>
      </c>
      <c r="F668" s="34" t="s">
        <v>55</v>
      </c>
      <c r="G668" s="97">
        <v>0.66215113460617026</v>
      </c>
      <c r="H668" s="34">
        <f t="shared" si="23"/>
        <v>19</v>
      </c>
      <c r="I668" s="75">
        <f t="shared" si="24"/>
        <v>23</v>
      </c>
    </row>
    <row r="669" spans="1:9" x14ac:dyDescent="0.3">
      <c r="A669" s="34">
        <v>668</v>
      </c>
      <c r="B669" s="34">
        <v>316</v>
      </c>
      <c r="C669" s="34">
        <v>36</v>
      </c>
      <c r="D669" s="34">
        <v>2746</v>
      </c>
      <c r="E669" s="34">
        <v>31</v>
      </c>
      <c r="F669" s="34" t="s">
        <v>55</v>
      </c>
      <c r="G669" s="97">
        <v>0.66265293684048787</v>
      </c>
      <c r="H669" s="34">
        <f t="shared" si="23"/>
        <v>6</v>
      </c>
      <c r="I669" s="75">
        <f t="shared" si="24"/>
        <v>10</v>
      </c>
    </row>
    <row r="670" spans="1:9" x14ac:dyDescent="0.3">
      <c r="A670" s="34">
        <v>669</v>
      </c>
      <c r="B670" s="34">
        <v>417</v>
      </c>
      <c r="C670" s="34">
        <v>12</v>
      </c>
      <c r="D670" s="34">
        <v>2579</v>
      </c>
      <c r="E670" s="34">
        <v>33</v>
      </c>
      <c r="F670" s="34" t="s">
        <v>55</v>
      </c>
      <c r="G670" s="97">
        <v>0.66306388910785441</v>
      </c>
      <c r="H670" s="34">
        <f t="shared" si="23"/>
        <v>7</v>
      </c>
      <c r="I670" s="75">
        <f t="shared" si="24"/>
        <v>11</v>
      </c>
    </row>
    <row r="671" spans="1:9" x14ac:dyDescent="0.3">
      <c r="A671" s="34">
        <v>670</v>
      </c>
      <c r="B671" s="34">
        <v>291</v>
      </c>
      <c r="C671" s="34">
        <v>12</v>
      </c>
      <c r="D671" s="34">
        <v>1076</v>
      </c>
      <c r="E671" s="34">
        <v>26</v>
      </c>
      <c r="F671" s="34" t="s">
        <v>54</v>
      </c>
      <c r="G671" s="97">
        <v>0.66373733412222646</v>
      </c>
      <c r="H671" s="34">
        <f t="shared" si="23"/>
        <v>4</v>
      </c>
      <c r="I671" s="75">
        <f t="shared" si="24"/>
        <v>5</v>
      </c>
    </row>
    <row r="672" spans="1:9" x14ac:dyDescent="0.3">
      <c r="A672" s="34">
        <v>671</v>
      </c>
      <c r="B672" s="34">
        <v>652</v>
      </c>
      <c r="C672" s="34">
        <v>12</v>
      </c>
      <c r="D672" s="34">
        <v>1922</v>
      </c>
      <c r="E672" s="34">
        <v>37</v>
      </c>
      <c r="F672" s="34" t="s">
        <v>55</v>
      </c>
      <c r="G672" s="97">
        <v>0.66655725501039675</v>
      </c>
      <c r="H672" s="34">
        <f t="shared" si="23"/>
        <v>9</v>
      </c>
      <c r="I672" s="75">
        <f t="shared" si="24"/>
        <v>14</v>
      </c>
    </row>
    <row r="673" spans="1:9" x14ac:dyDescent="0.3">
      <c r="A673" s="34">
        <v>672</v>
      </c>
      <c r="B673" s="34">
        <v>941</v>
      </c>
      <c r="C673" s="34">
        <v>12</v>
      </c>
      <c r="D673" s="34">
        <v>3527</v>
      </c>
      <c r="E673" s="34">
        <v>45</v>
      </c>
      <c r="F673" s="34" t="s">
        <v>54</v>
      </c>
      <c r="G673" s="97">
        <v>0.66748671756023148</v>
      </c>
      <c r="H673" s="34">
        <f t="shared" si="23"/>
        <v>12</v>
      </c>
      <c r="I673" s="75">
        <f t="shared" si="24"/>
        <v>17</v>
      </c>
    </row>
    <row r="674" spans="1:9" x14ac:dyDescent="0.3">
      <c r="A674" s="34">
        <v>673</v>
      </c>
      <c r="B674" s="34">
        <v>253</v>
      </c>
      <c r="C674" s="34">
        <v>30</v>
      </c>
      <c r="D674" s="34">
        <v>2150</v>
      </c>
      <c r="E674" s="34">
        <v>24</v>
      </c>
      <c r="F674" s="34" t="s">
        <v>57</v>
      </c>
      <c r="G674" s="97">
        <v>0.66821585516116322</v>
      </c>
      <c r="H674" s="34">
        <f t="shared" si="23"/>
        <v>3</v>
      </c>
      <c r="I674" s="75">
        <f t="shared" si="24"/>
        <v>3</v>
      </c>
    </row>
    <row r="675" spans="1:9" x14ac:dyDescent="0.3">
      <c r="A675" s="34">
        <v>674</v>
      </c>
      <c r="B675" s="34">
        <v>582</v>
      </c>
      <c r="C675" s="34">
        <v>12</v>
      </c>
      <c r="D675" s="34">
        <v>3124</v>
      </c>
      <c r="E675" s="34">
        <v>49</v>
      </c>
      <c r="F675" s="34" t="s">
        <v>54</v>
      </c>
      <c r="G675" s="97">
        <v>0.66885435605564136</v>
      </c>
      <c r="H675" s="34">
        <f t="shared" si="23"/>
        <v>14</v>
      </c>
      <c r="I675" s="75">
        <f t="shared" si="24"/>
        <v>19</v>
      </c>
    </row>
    <row r="676" spans="1:9" x14ac:dyDescent="0.3">
      <c r="A676" s="34">
        <v>675</v>
      </c>
      <c r="B676" s="34">
        <v>263</v>
      </c>
      <c r="C676" s="34">
        <v>18</v>
      </c>
      <c r="D676" s="34">
        <v>5302</v>
      </c>
      <c r="E676" s="34">
        <v>36</v>
      </c>
      <c r="F676" s="34" t="s">
        <v>54</v>
      </c>
      <c r="G676" s="97">
        <v>0.66886196040383472</v>
      </c>
      <c r="H676" s="34">
        <f t="shared" si="23"/>
        <v>8</v>
      </c>
      <c r="I676" s="75">
        <f t="shared" si="24"/>
        <v>13</v>
      </c>
    </row>
    <row r="677" spans="1:9" x14ac:dyDescent="0.3">
      <c r="A677" s="34">
        <v>676</v>
      </c>
      <c r="B677" s="34">
        <v>851</v>
      </c>
      <c r="C677" s="34">
        <v>20</v>
      </c>
      <c r="D677" s="34">
        <v>2235</v>
      </c>
      <c r="E677" s="34">
        <v>33</v>
      </c>
      <c r="F677" s="34" t="s">
        <v>55</v>
      </c>
      <c r="G677" s="97">
        <v>0.67033095251857377</v>
      </c>
      <c r="H677" s="34">
        <f t="shared" si="23"/>
        <v>7</v>
      </c>
      <c r="I677" s="75">
        <f t="shared" si="24"/>
        <v>11</v>
      </c>
    </row>
    <row r="678" spans="1:9" x14ac:dyDescent="0.3">
      <c r="A678" s="34">
        <v>677</v>
      </c>
      <c r="B678" s="34">
        <v>90</v>
      </c>
      <c r="C678" s="34">
        <v>12</v>
      </c>
      <c r="D678" s="34">
        <v>1108</v>
      </c>
      <c r="E678" s="34">
        <v>28</v>
      </c>
      <c r="F678" s="34" t="s">
        <v>55</v>
      </c>
      <c r="G678" s="97">
        <v>0.67292423187850881</v>
      </c>
      <c r="H678" s="34">
        <f t="shared" si="23"/>
        <v>5</v>
      </c>
      <c r="I678" s="75">
        <f t="shared" si="24"/>
        <v>7</v>
      </c>
    </row>
    <row r="679" spans="1:9" x14ac:dyDescent="0.3">
      <c r="A679" s="34">
        <v>678</v>
      </c>
      <c r="B679" s="34">
        <v>798</v>
      </c>
      <c r="C679" s="34">
        <v>12</v>
      </c>
      <c r="D679" s="34">
        <v>1258</v>
      </c>
      <c r="E679" s="34">
        <v>22</v>
      </c>
      <c r="F679" s="34" t="s">
        <v>56</v>
      </c>
      <c r="G679" s="97">
        <v>0.67439261148488416</v>
      </c>
      <c r="H679" s="34">
        <f t="shared" si="23"/>
        <v>2</v>
      </c>
      <c r="I679" s="75">
        <f t="shared" si="24"/>
        <v>2</v>
      </c>
    </row>
    <row r="680" spans="1:9" x14ac:dyDescent="0.3">
      <c r="A680" s="34">
        <v>679</v>
      </c>
      <c r="B680" s="34">
        <v>165</v>
      </c>
      <c r="C680" s="34">
        <v>36</v>
      </c>
      <c r="D680" s="34">
        <v>909</v>
      </c>
      <c r="E680" s="34">
        <v>36</v>
      </c>
      <c r="F680" s="34" t="s">
        <v>54</v>
      </c>
      <c r="G680" s="97">
        <v>0.67535150717849957</v>
      </c>
      <c r="H680" s="34">
        <f t="shared" si="23"/>
        <v>8</v>
      </c>
      <c r="I680" s="75">
        <f t="shared" si="24"/>
        <v>13</v>
      </c>
    </row>
    <row r="681" spans="1:9" x14ac:dyDescent="0.3">
      <c r="A681" s="34">
        <v>680</v>
      </c>
      <c r="B681" s="34">
        <v>209</v>
      </c>
      <c r="C681" s="34">
        <v>24</v>
      </c>
      <c r="D681" s="34">
        <v>6568</v>
      </c>
      <c r="E681" s="34">
        <v>21</v>
      </c>
      <c r="F681" s="34" t="s">
        <v>54</v>
      </c>
      <c r="G681" s="97">
        <v>0.67538862957729495</v>
      </c>
      <c r="H681" s="34">
        <f t="shared" si="23"/>
        <v>1</v>
      </c>
      <c r="I681" s="75">
        <f t="shared" si="24"/>
        <v>1</v>
      </c>
    </row>
    <row r="682" spans="1:9" x14ac:dyDescent="0.3">
      <c r="A682" s="34">
        <v>681</v>
      </c>
      <c r="B682" s="34">
        <v>9</v>
      </c>
      <c r="C682" s="34">
        <v>12</v>
      </c>
      <c r="D682" s="34">
        <v>3059</v>
      </c>
      <c r="E682" s="34">
        <v>61</v>
      </c>
      <c r="F682" s="34" t="s">
        <v>54</v>
      </c>
      <c r="G682" s="97">
        <v>0.67694950346269156</v>
      </c>
      <c r="H682" s="34">
        <f t="shared" si="23"/>
        <v>19</v>
      </c>
      <c r="I682" s="75">
        <f t="shared" si="24"/>
        <v>23</v>
      </c>
    </row>
    <row r="683" spans="1:9" x14ac:dyDescent="0.3">
      <c r="A683" s="34">
        <v>682</v>
      </c>
      <c r="B683" s="34">
        <v>986</v>
      </c>
      <c r="C683" s="34">
        <v>15</v>
      </c>
      <c r="D683" s="34">
        <v>1433</v>
      </c>
      <c r="E683" s="34">
        <v>25</v>
      </c>
      <c r="F683" s="34" t="s">
        <v>56</v>
      </c>
      <c r="G683" s="97">
        <v>0.68018394834333162</v>
      </c>
      <c r="H683" s="34">
        <f t="shared" si="23"/>
        <v>3</v>
      </c>
      <c r="I683" s="75">
        <f t="shared" si="24"/>
        <v>4</v>
      </c>
    </row>
    <row r="684" spans="1:9" x14ac:dyDescent="0.3">
      <c r="A684" s="34">
        <v>683</v>
      </c>
      <c r="B684" s="34">
        <v>267</v>
      </c>
      <c r="C684" s="34">
        <v>36</v>
      </c>
      <c r="D684" s="34">
        <v>6304</v>
      </c>
      <c r="E684" s="34">
        <v>36</v>
      </c>
      <c r="F684" s="34" t="s">
        <v>54</v>
      </c>
      <c r="G684" s="97">
        <v>0.6807237476769491</v>
      </c>
      <c r="H684" s="34">
        <f t="shared" si="23"/>
        <v>8</v>
      </c>
      <c r="I684" s="75">
        <f t="shared" si="24"/>
        <v>13</v>
      </c>
    </row>
    <row r="685" spans="1:9" x14ac:dyDescent="0.3">
      <c r="A685" s="34">
        <v>684</v>
      </c>
      <c r="B685" s="34">
        <v>259</v>
      </c>
      <c r="C685" s="34">
        <v>15</v>
      </c>
      <c r="D685" s="34">
        <v>3812</v>
      </c>
      <c r="E685" s="34">
        <v>23</v>
      </c>
      <c r="F685" s="34" t="s">
        <v>56</v>
      </c>
      <c r="G685" s="97">
        <v>0.68189739876992006</v>
      </c>
      <c r="H685" s="34">
        <f t="shared" si="23"/>
        <v>2</v>
      </c>
      <c r="I685" s="75">
        <f t="shared" si="24"/>
        <v>2</v>
      </c>
    </row>
    <row r="686" spans="1:9" x14ac:dyDescent="0.3">
      <c r="A686" s="34">
        <v>685</v>
      </c>
      <c r="B686" s="34">
        <v>546</v>
      </c>
      <c r="C686" s="34">
        <v>24</v>
      </c>
      <c r="D686" s="34">
        <v>1333</v>
      </c>
      <c r="E686" s="34">
        <v>43</v>
      </c>
      <c r="F686" s="34" t="s">
        <v>55</v>
      </c>
      <c r="G686" s="97">
        <v>0.68217046363238232</v>
      </c>
      <c r="H686" s="34">
        <f t="shared" si="23"/>
        <v>11</v>
      </c>
      <c r="I686" s="75">
        <f t="shared" si="24"/>
        <v>16</v>
      </c>
    </row>
    <row r="687" spans="1:9" x14ac:dyDescent="0.3">
      <c r="A687" s="34">
        <v>686</v>
      </c>
      <c r="B687" s="34">
        <v>338</v>
      </c>
      <c r="C687" s="34">
        <v>15</v>
      </c>
      <c r="D687" s="34">
        <v>1275</v>
      </c>
      <c r="E687" s="34">
        <v>24</v>
      </c>
      <c r="F687" s="34" t="s">
        <v>57</v>
      </c>
      <c r="G687" s="97">
        <v>0.68233491173773031</v>
      </c>
      <c r="H687" s="34">
        <f t="shared" si="23"/>
        <v>3</v>
      </c>
      <c r="I687" s="75">
        <f t="shared" si="24"/>
        <v>3</v>
      </c>
    </row>
    <row r="688" spans="1:9" x14ac:dyDescent="0.3">
      <c r="A688" s="34">
        <v>687</v>
      </c>
      <c r="B688" s="34">
        <v>1000</v>
      </c>
      <c r="C688" s="34">
        <v>45</v>
      </c>
      <c r="D688" s="34">
        <v>4576</v>
      </c>
      <c r="E688" s="34">
        <v>27</v>
      </c>
      <c r="F688" s="34" t="s">
        <v>54</v>
      </c>
      <c r="G688" s="97">
        <v>0.68307886667064166</v>
      </c>
      <c r="H688" s="34">
        <f t="shared" si="23"/>
        <v>4</v>
      </c>
      <c r="I688" s="75">
        <f t="shared" si="24"/>
        <v>6</v>
      </c>
    </row>
    <row r="689" spans="1:9" x14ac:dyDescent="0.3">
      <c r="A689" s="34">
        <v>688</v>
      </c>
      <c r="B689" s="34">
        <v>166</v>
      </c>
      <c r="C689" s="34">
        <v>6</v>
      </c>
      <c r="D689" s="34">
        <v>2978</v>
      </c>
      <c r="E689" s="34">
        <v>32</v>
      </c>
      <c r="F689" s="34" t="s">
        <v>54</v>
      </c>
      <c r="G689" s="97">
        <v>0.68309335474577026</v>
      </c>
      <c r="H689" s="34">
        <f t="shared" si="23"/>
        <v>6</v>
      </c>
      <c r="I689" s="75">
        <f t="shared" si="24"/>
        <v>10</v>
      </c>
    </row>
    <row r="690" spans="1:9" x14ac:dyDescent="0.3">
      <c r="A690" s="34">
        <v>689</v>
      </c>
      <c r="B690" s="34">
        <v>415</v>
      </c>
      <c r="C690" s="34">
        <v>24</v>
      </c>
      <c r="D690" s="34">
        <v>1381</v>
      </c>
      <c r="E690" s="34">
        <v>35</v>
      </c>
      <c r="F690" s="34" t="s">
        <v>57</v>
      </c>
      <c r="G690" s="97">
        <v>0.68393482656732973</v>
      </c>
      <c r="H690" s="34">
        <f t="shared" si="23"/>
        <v>8</v>
      </c>
      <c r="I690" s="75">
        <f t="shared" si="24"/>
        <v>12</v>
      </c>
    </row>
    <row r="691" spans="1:9" x14ac:dyDescent="0.3">
      <c r="A691" s="34">
        <v>690</v>
      </c>
      <c r="B691" s="34">
        <v>457</v>
      </c>
      <c r="C691" s="34">
        <v>11</v>
      </c>
      <c r="D691" s="34">
        <v>3905</v>
      </c>
      <c r="E691" s="34">
        <v>36</v>
      </c>
      <c r="F691" s="34" t="s">
        <v>54</v>
      </c>
      <c r="G691" s="97">
        <v>0.68419529664257506</v>
      </c>
      <c r="H691" s="34">
        <f t="shared" si="23"/>
        <v>8</v>
      </c>
      <c r="I691" s="75">
        <f t="shared" si="24"/>
        <v>13</v>
      </c>
    </row>
    <row r="692" spans="1:9" x14ac:dyDescent="0.3">
      <c r="A692" s="34">
        <v>691</v>
      </c>
      <c r="B692" s="34">
        <v>398</v>
      </c>
      <c r="C692" s="34">
        <v>36</v>
      </c>
      <c r="D692" s="34">
        <v>2348</v>
      </c>
      <c r="E692" s="34">
        <v>46</v>
      </c>
      <c r="F692" s="34" t="s">
        <v>54</v>
      </c>
      <c r="G692" s="97">
        <v>0.68449426540388902</v>
      </c>
      <c r="H692" s="34">
        <f t="shared" si="23"/>
        <v>13</v>
      </c>
      <c r="I692" s="75">
        <f t="shared" si="24"/>
        <v>18</v>
      </c>
    </row>
    <row r="693" spans="1:9" x14ac:dyDescent="0.3">
      <c r="A693" s="34">
        <v>692</v>
      </c>
      <c r="B693" s="34">
        <v>936</v>
      </c>
      <c r="C693" s="34">
        <v>30</v>
      </c>
      <c r="D693" s="34">
        <v>1919</v>
      </c>
      <c r="E693" s="34">
        <v>30</v>
      </c>
      <c r="F693" s="34" t="s">
        <v>55</v>
      </c>
      <c r="G693" s="97">
        <v>0.68524423998824191</v>
      </c>
      <c r="H693" s="34">
        <f t="shared" si="23"/>
        <v>5</v>
      </c>
      <c r="I693" s="75">
        <f t="shared" si="24"/>
        <v>9</v>
      </c>
    </row>
    <row r="694" spans="1:9" x14ac:dyDescent="0.3">
      <c r="A694" s="34">
        <v>693</v>
      </c>
      <c r="B694" s="34">
        <v>392</v>
      </c>
      <c r="C694" s="34">
        <v>12</v>
      </c>
      <c r="D694" s="34">
        <v>983</v>
      </c>
      <c r="E694" s="34">
        <v>19</v>
      </c>
      <c r="F694" s="34" t="s">
        <v>56</v>
      </c>
      <c r="G694" s="97">
        <v>0.68678900531325748</v>
      </c>
      <c r="H694" s="34">
        <f t="shared" si="23"/>
        <v>1</v>
      </c>
      <c r="I694" s="75">
        <f t="shared" si="24"/>
        <v>1</v>
      </c>
    </row>
    <row r="695" spans="1:9" x14ac:dyDescent="0.3">
      <c r="A695" s="34">
        <v>694</v>
      </c>
      <c r="B695" s="34">
        <v>725</v>
      </c>
      <c r="C695" s="34">
        <v>27</v>
      </c>
      <c r="D695" s="34">
        <v>2570</v>
      </c>
      <c r="E695" s="34">
        <v>21</v>
      </c>
      <c r="F695" s="34" t="s">
        <v>57</v>
      </c>
      <c r="G695" s="97">
        <v>0.68850715909157778</v>
      </c>
      <c r="H695" s="34">
        <f t="shared" si="23"/>
        <v>1</v>
      </c>
      <c r="I695" s="75">
        <f t="shared" si="24"/>
        <v>1</v>
      </c>
    </row>
    <row r="696" spans="1:9" x14ac:dyDescent="0.3">
      <c r="A696" s="34">
        <v>695</v>
      </c>
      <c r="B696" s="34">
        <v>904</v>
      </c>
      <c r="C696" s="34">
        <v>15</v>
      </c>
      <c r="D696" s="34">
        <v>1386</v>
      </c>
      <c r="E696" s="34">
        <v>40</v>
      </c>
      <c r="F696" s="34" t="s">
        <v>54</v>
      </c>
      <c r="G696" s="97">
        <v>0.68907688017629487</v>
      </c>
      <c r="H696" s="34">
        <f t="shared" si="23"/>
        <v>10</v>
      </c>
      <c r="I696" s="75">
        <f t="shared" si="24"/>
        <v>15</v>
      </c>
    </row>
    <row r="697" spans="1:9" x14ac:dyDescent="0.3">
      <c r="A697" s="34">
        <v>696</v>
      </c>
      <c r="B697" s="34">
        <v>925</v>
      </c>
      <c r="C697" s="34">
        <v>24</v>
      </c>
      <c r="D697" s="34">
        <v>6872</v>
      </c>
      <c r="E697" s="34">
        <v>55</v>
      </c>
      <c r="F697" s="34" t="s">
        <v>55</v>
      </c>
      <c r="G697" s="97">
        <v>0.68954527941439092</v>
      </c>
      <c r="H697" s="34">
        <f t="shared" si="23"/>
        <v>17</v>
      </c>
      <c r="I697" s="75">
        <f t="shared" si="24"/>
        <v>22</v>
      </c>
    </row>
    <row r="698" spans="1:9" x14ac:dyDescent="0.3">
      <c r="A698" s="34">
        <v>697</v>
      </c>
      <c r="B698" s="34">
        <v>800</v>
      </c>
      <c r="C698" s="34">
        <v>9</v>
      </c>
      <c r="D698" s="34">
        <v>1549</v>
      </c>
      <c r="E698" s="34">
        <v>35</v>
      </c>
      <c r="F698" s="34" t="s">
        <v>54</v>
      </c>
      <c r="G698" s="97">
        <v>0.69103787306790232</v>
      </c>
      <c r="H698" s="34">
        <f t="shared" si="23"/>
        <v>8</v>
      </c>
      <c r="I698" s="75">
        <f t="shared" si="24"/>
        <v>12</v>
      </c>
    </row>
    <row r="699" spans="1:9" x14ac:dyDescent="0.3">
      <c r="A699" s="34">
        <v>698</v>
      </c>
      <c r="B699" s="34">
        <v>479</v>
      </c>
      <c r="C699" s="34">
        <v>12</v>
      </c>
      <c r="D699" s="34">
        <v>1037</v>
      </c>
      <c r="E699" s="34">
        <v>39</v>
      </c>
      <c r="F699" s="34" t="s">
        <v>54</v>
      </c>
      <c r="G699" s="97">
        <v>0.69115563597786001</v>
      </c>
      <c r="H699" s="34">
        <f t="shared" si="23"/>
        <v>9</v>
      </c>
      <c r="I699" s="75">
        <f t="shared" si="24"/>
        <v>14</v>
      </c>
    </row>
    <row r="700" spans="1:9" x14ac:dyDescent="0.3">
      <c r="A700" s="34">
        <v>699</v>
      </c>
      <c r="B700" s="34">
        <v>784</v>
      </c>
      <c r="C700" s="34">
        <v>12</v>
      </c>
      <c r="D700" s="34">
        <v>836</v>
      </c>
      <c r="E700" s="34">
        <v>23</v>
      </c>
      <c r="F700" s="34" t="s">
        <v>57</v>
      </c>
      <c r="G700" s="97">
        <v>0.69169287690426118</v>
      </c>
      <c r="H700" s="34">
        <f t="shared" si="23"/>
        <v>2</v>
      </c>
      <c r="I700" s="75">
        <f t="shared" si="24"/>
        <v>2</v>
      </c>
    </row>
    <row r="701" spans="1:9" x14ac:dyDescent="0.3">
      <c r="A701" s="34">
        <v>700</v>
      </c>
      <c r="B701" s="34">
        <v>140</v>
      </c>
      <c r="C701" s="34">
        <v>12</v>
      </c>
      <c r="D701" s="34">
        <v>1881</v>
      </c>
      <c r="E701" s="34">
        <v>44</v>
      </c>
      <c r="F701" s="34" t="s">
        <v>56</v>
      </c>
      <c r="G701" s="97">
        <v>0.69226344279662499</v>
      </c>
      <c r="H701" s="34">
        <f t="shared" si="23"/>
        <v>12</v>
      </c>
      <c r="I701" s="75">
        <f t="shared" si="24"/>
        <v>17</v>
      </c>
    </row>
    <row r="702" spans="1:9" x14ac:dyDescent="0.3">
      <c r="A702" s="34">
        <v>701</v>
      </c>
      <c r="B702" s="34">
        <v>694</v>
      </c>
      <c r="C702" s="34">
        <v>6</v>
      </c>
      <c r="D702" s="34">
        <v>4716</v>
      </c>
      <c r="E702" s="34">
        <v>44</v>
      </c>
      <c r="F702" s="34" t="s">
        <v>54</v>
      </c>
      <c r="G702" s="97">
        <v>0.69456573462605664</v>
      </c>
      <c r="H702" s="34">
        <f t="shared" si="23"/>
        <v>12</v>
      </c>
      <c r="I702" s="75">
        <f t="shared" si="24"/>
        <v>17</v>
      </c>
    </row>
    <row r="703" spans="1:9" x14ac:dyDescent="0.3">
      <c r="A703" s="34">
        <v>702</v>
      </c>
      <c r="B703" s="34">
        <v>905</v>
      </c>
      <c r="C703" s="34">
        <v>24</v>
      </c>
      <c r="D703" s="34">
        <v>1278</v>
      </c>
      <c r="E703" s="34">
        <v>36</v>
      </c>
      <c r="F703" s="34" t="s">
        <v>54</v>
      </c>
      <c r="G703" s="97">
        <v>0.6945756684375769</v>
      </c>
      <c r="H703" s="34">
        <f t="shared" si="23"/>
        <v>8</v>
      </c>
      <c r="I703" s="75">
        <f t="shared" si="24"/>
        <v>13</v>
      </c>
    </row>
    <row r="704" spans="1:9" x14ac:dyDescent="0.3">
      <c r="A704" s="34">
        <v>703</v>
      </c>
      <c r="B704" s="34">
        <v>23</v>
      </c>
      <c r="C704" s="34">
        <v>10</v>
      </c>
      <c r="D704" s="34">
        <v>2241</v>
      </c>
      <c r="E704" s="34">
        <v>48</v>
      </c>
      <c r="F704" s="34" t="s">
        <v>54</v>
      </c>
      <c r="G704" s="97">
        <v>0.69639981108124427</v>
      </c>
      <c r="H704" s="34">
        <f t="shared" si="23"/>
        <v>13</v>
      </c>
      <c r="I704" s="75">
        <f t="shared" si="24"/>
        <v>18</v>
      </c>
    </row>
    <row r="705" spans="1:9" x14ac:dyDescent="0.3">
      <c r="A705" s="34">
        <v>704</v>
      </c>
      <c r="B705" s="34">
        <v>651</v>
      </c>
      <c r="C705" s="34">
        <v>48</v>
      </c>
      <c r="D705" s="34">
        <v>7476</v>
      </c>
      <c r="E705" s="34">
        <v>50</v>
      </c>
      <c r="F705" s="34" t="s">
        <v>54</v>
      </c>
      <c r="G705" s="97">
        <v>0.6974168541391903</v>
      </c>
      <c r="H705" s="34">
        <f t="shared" si="23"/>
        <v>14</v>
      </c>
      <c r="I705" s="75">
        <f t="shared" si="24"/>
        <v>19</v>
      </c>
    </row>
    <row r="706" spans="1:9" x14ac:dyDescent="0.3">
      <c r="A706" s="34">
        <v>705</v>
      </c>
      <c r="B706" s="34">
        <v>797</v>
      </c>
      <c r="C706" s="34">
        <v>18</v>
      </c>
      <c r="D706" s="34">
        <v>7511</v>
      </c>
      <c r="E706" s="34">
        <v>51</v>
      </c>
      <c r="F706" s="34" t="s">
        <v>55</v>
      </c>
      <c r="G706" s="97">
        <v>0.69829958398682423</v>
      </c>
      <c r="H706" s="34">
        <f t="shared" ref="H706:H769" si="25">MATCH(E706,$O$3:$O$27,1)</f>
        <v>15</v>
      </c>
      <c r="I706" s="75">
        <f t="shared" ref="I706:I769" si="26">MATCH(E706,$U$3:$U$28,1)</f>
        <v>20</v>
      </c>
    </row>
    <row r="707" spans="1:9" x14ac:dyDescent="0.3">
      <c r="A707" s="34">
        <v>706</v>
      </c>
      <c r="B707" s="34">
        <v>757</v>
      </c>
      <c r="C707" s="34">
        <v>6</v>
      </c>
      <c r="D707" s="34">
        <v>1299</v>
      </c>
      <c r="E707" s="34">
        <v>74</v>
      </c>
      <c r="F707" s="34" t="s">
        <v>54</v>
      </c>
      <c r="G707" s="97">
        <v>0.70165447991696961</v>
      </c>
      <c r="H707" s="34">
        <f t="shared" si="25"/>
        <v>25</v>
      </c>
      <c r="I707" s="75">
        <f t="shared" si="26"/>
        <v>25</v>
      </c>
    </row>
    <row r="708" spans="1:9" x14ac:dyDescent="0.3">
      <c r="A708" s="34">
        <v>707</v>
      </c>
      <c r="B708" s="34">
        <v>446</v>
      </c>
      <c r="C708" s="34">
        <v>9</v>
      </c>
      <c r="D708" s="34">
        <v>1244</v>
      </c>
      <c r="E708" s="34">
        <v>41</v>
      </c>
      <c r="F708" s="34" t="s">
        <v>56</v>
      </c>
      <c r="G708" s="97">
        <v>0.70236130575518396</v>
      </c>
      <c r="H708" s="34">
        <f t="shared" si="25"/>
        <v>10</v>
      </c>
      <c r="I708" s="75">
        <f t="shared" si="26"/>
        <v>15</v>
      </c>
    </row>
    <row r="709" spans="1:9" x14ac:dyDescent="0.3">
      <c r="A709" s="34">
        <v>708</v>
      </c>
      <c r="B709" s="34">
        <v>887</v>
      </c>
      <c r="C709" s="34">
        <v>24</v>
      </c>
      <c r="D709" s="34">
        <v>2825</v>
      </c>
      <c r="E709" s="34">
        <v>34</v>
      </c>
      <c r="F709" s="34" t="s">
        <v>54</v>
      </c>
      <c r="G709" s="97">
        <v>0.7025352436518898</v>
      </c>
      <c r="H709" s="34">
        <f t="shared" si="25"/>
        <v>7</v>
      </c>
      <c r="I709" s="75">
        <f t="shared" si="26"/>
        <v>11</v>
      </c>
    </row>
    <row r="710" spans="1:9" x14ac:dyDescent="0.3">
      <c r="A710" s="34">
        <v>709</v>
      </c>
      <c r="B710" s="34">
        <v>311</v>
      </c>
      <c r="C710" s="34">
        <v>48</v>
      </c>
      <c r="D710" s="34">
        <v>5381</v>
      </c>
      <c r="E710" s="34">
        <v>40</v>
      </c>
      <c r="F710" s="34" t="s">
        <v>54</v>
      </c>
      <c r="G710" s="97">
        <v>0.7043860833074953</v>
      </c>
      <c r="H710" s="34">
        <f t="shared" si="25"/>
        <v>10</v>
      </c>
      <c r="I710" s="75">
        <f t="shared" si="26"/>
        <v>15</v>
      </c>
    </row>
    <row r="711" spans="1:9" x14ac:dyDescent="0.3">
      <c r="A711" s="34">
        <v>710</v>
      </c>
      <c r="B711" s="34">
        <v>833</v>
      </c>
      <c r="C711" s="34">
        <v>45</v>
      </c>
      <c r="D711" s="34">
        <v>11816</v>
      </c>
      <c r="E711" s="34">
        <v>29</v>
      </c>
      <c r="F711" s="34" t="s">
        <v>55</v>
      </c>
      <c r="G711" s="97">
        <v>0.70516087881199263</v>
      </c>
      <c r="H711" s="34">
        <f t="shared" si="25"/>
        <v>5</v>
      </c>
      <c r="I711" s="75">
        <f t="shared" si="26"/>
        <v>8</v>
      </c>
    </row>
    <row r="712" spans="1:9" x14ac:dyDescent="0.3">
      <c r="A712" s="34">
        <v>711</v>
      </c>
      <c r="B712" s="34">
        <v>88</v>
      </c>
      <c r="C712" s="34">
        <v>36</v>
      </c>
      <c r="D712" s="34">
        <v>12612</v>
      </c>
      <c r="E712" s="34">
        <v>47</v>
      </c>
      <c r="F712" s="34" t="s">
        <v>55</v>
      </c>
      <c r="G712" s="97">
        <v>0.7052479970601172</v>
      </c>
      <c r="H712" s="34">
        <f t="shared" si="25"/>
        <v>13</v>
      </c>
      <c r="I712" s="75">
        <f t="shared" si="26"/>
        <v>18</v>
      </c>
    </row>
    <row r="713" spans="1:9" x14ac:dyDescent="0.3">
      <c r="A713" s="34">
        <v>712</v>
      </c>
      <c r="B713" s="34">
        <v>142</v>
      </c>
      <c r="C713" s="34">
        <v>36</v>
      </c>
      <c r="D713" s="34">
        <v>4795</v>
      </c>
      <c r="E713" s="34">
        <v>30</v>
      </c>
      <c r="F713" s="34" t="s">
        <v>56</v>
      </c>
      <c r="G713" s="97">
        <v>0.70537586918108219</v>
      </c>
      <c r="H713" s="34">
        <f t="shared" si="25"/>
        <v>5</v>
      </c>
      <c r="I713" s="75">
        <f t="shared" si="26"/>
        <v>9</v>
      </c>
    </row>
    <row r="714" spans="1:9" x14ac:dyDescent="0.3">
      <c r="A714" s="34">
        <v>713</v>
      </c>
      <c r="B714" s="34">
        <v>103</v>
      </c>
      <c r="C714" s="34">
        <v>6</v>
      </c>
      <c r="D714" s="34">
        <v>932</v>
      </c>
      <c r="E714" s="34">
        <v>24</v>
      </c>
      <c r="F714" s="34" t="s">
        <v>56</v>
      </c>
      <c r="G714" s="97">
        <v>0.70883714215659033</v>
      </c>
      <c r="H714" s="34">
        <f t="shared" si="25"/>
        <v>3</v>
      </c>
      <c r="I714" s="75">
        <f t="shared" si="26"/>
        <v>3</v>
      </c>
    </row>
    <row r="715" spans="1:9" x14ac:dyDescent="0.3">
      <c r="A715" s="34">
        <v>714</v>
      </c>
      <c r="B715" s="34">
        <v>406</v>
      </c>
      <c r="C715" s="34">
        <v>24</v>
      </c>
      <c r="D715" s="34">
        <v>2039</v>
      </c>
      <c r="E715" s="34">
        <v>22</v>
      </c>
      <c r="F715" s="34" t="s">
        <v>55</v>
      </c>
      <c r="G715" s="97">
        <v>0.71097886304832947</v>
      </c>
      <c r="H715" s="34">
        <f t="shared" si="25"/>
        <v>2</v>
      </c>
      <c r="I715" s="75">
        <f t="shared" si="26"/>
        <v>2</v>
      </c>
    </row>
    <row r="716" spans="1:9" x14ac:dyDescent="0.3">
      <c r="A716" s="34">
        <v>715</v>
      </c>
      <c r="B716" s="34">
        <v>656</v>
      </c>
      <c r="C716" s="34">
        <v>14</v>
      </c>
      <c r="D716" s="34">
        <v>3973</v>
      </c>
      <c r="E716" s="34">
        <v>22</v>
      </c>
      <c r="F716" s="34" t="s">
        <v>54</v>
      </c>
      <c r="G716" s="97">
        <v>0.71418514713141368</v>
      </c>
      <c r="H716" s="34">
        <f t="shared" si="25"/>
        <v>2</v>
      </c>
      <c r="I716" s="75">
        <f t="shared" si="26"/>
        <v>2</v>
      </c>
    </row>
    <row r="717" spans="1:9" x14ac:dyDescent="0.3">
      <c r="A717" s="34">
        <v>716</v>
      </c>
      <c r="B717" s="34">
        <v>191</v>
      </c>
      <c r="C717" s="34">
        <v>24</v>
      </c>
      <c r="D717" s="34">
        <v>4591</v>
      </c>
      <c r="E717" s="34">
        <v>54</v>
      </c>
      <c r="F717" s="34" t="s">
        <v>55</v>
      </c>
      <c r="G717" s="97">
        <v>0.71464575874292013</v>
      </c>
      <c r="H717" s="34">
        <f t="shared" si="25"/>
        <v>16</v>
      </c>
      <c r="I717" s="75">
        <f t="shared" si="26"/>
        <v>21</v>
      </c>
    </row>
    <row r="718" spans="1:9" x14ac:dyDescent="0.3">
      <c r="A718" s="34">
        <v>717</v>
      </c>
      <c r="B718" s="34">
        <v>490</v>
      </c>
      <c r="C718" s="34">
        <v>6</v>
      </c>
      <c r="D718" s="34">
        <v>3518</v>
      </c>
      <c r="E718" s="34">
        <v>26</v>
      </c>
      <c r="F718" s="34" t="s">
        <v>54</v>
      </c>
      <c r="G718" s="97">
        <v>0.71516480722850739</v>
      </c>
      <c r="H718" s="34">
        <f t="shared" si="25"/>
        <v>4</v>
      </c>
      <c r="I718" s="75">
        <f t="shared" si="26"/>
        <v>5</v>
      </c>
    </row>
    <row r="719" spans="1:9" x14ac:dyDescent="0.3">
      <c r="A719" s="34">
        <v>718</v>
      </c>
      <c r="B719" s="34">
        <v>102</v>
      </c>
      <c r="C719" s="34">
        <v>36</v>
      </c>
      <c r="D719" s="34">
        <v>2323</v>
      </c>
      <c r="E719" s="34">
        <v>24</v>
      </c>
      <c r="F719" s="34" t="s">
        <v>54</v>
      </c>
      <c r="G719" s="97">
        <v>0.71523185700910485</v>
      </c>
      <c r="H719" s="34">
        <f t="shared" si="25"/>
        <v>3</v>
      </c>
      <c r="I719" s="75">
        <f t="shared" si="26"/>
        <v>3</v>
      </c>
    </row>
    <row r="720" spans="1:9" x14ac:dyDescent="0.3">
      <c r="A720" s="34">
        <v>719</v>
      </c>
      <c r="B720" s="34">
        <v>380</v>
      </c>
      <c r="C720" s="34">
        <v>6</v>
      </c>
      <c r="D720" s="34">
        <v>362</v>
      </c>
      <c r="E720" s="34">
        <v>52</v>
      </c>
      <c r="F720" s="34" t="s">
        <v>56</v>
      </c>
      <c r="G720" s="97">
        <v>0.71550827529908889</v>
      </c>
      <c r="H720" s="34">
        <f t="shared" si="25"/>
        <v>15</v>
      </c>
      <c r="I720" s="75">
        <f t="shared" si="26"/>
        <v>20</v>
      </c>
    </row>
    <row r="721" spans="1:9" x14ac:dyDescent="0.3">
      <c r="A721" s="34">
        <v>720</v>
      </c>
      <c r="B721" s="34">
        <v>231</v>
      </c>
      <c r="C721" s="34">
        <v>36</v>
      </c>
      <c r="D721" s="34">
        <v>4210</v>
      </c>
      <c r="E721" s="34">
        <v>26</v>
      </c>
      <c r="F721" s="34" t="s">
        <v>55</v>
      </c>
      <c r="G721" s="97">
        <v>0.71612678544415909</v>
      </c>
      <c r="H721" s="34">
        <f t="shared" si="25"/>
        <v>4</v>
      </c>
      <c r="I721" s="75">
        <f t="shared" si="26"/>
        <v>5</v>
      </c>
    </row>
    <row r="722" spans="1:9" x14ac:dyDescent="0.3">
      <c r="A722" s="34">
        <v>721</v>
      </c>
      <c r="B722" s="34">
        <v>69</v>
      </c>
      <c r="C722" s="34">
        <v>36</v>
      </c>
      <c r="D722" s="34">
        <v>1819</v>
      </c>
      <c r="E722" s="34">
        <v>37</v>
      </c>
      <c r="F722" s="34" t="s">
        <v>55</v>
      </c>
      <c r="G722" s="97">
        <v>0.71803242773993392</v>
      </c>
      <c r="H722" s="34">
        <f t="shared" si="25"/>
        <v>9</v>
      </c>
      <c r="I722" s="75">
        <f t="shared" si="26"/>
        <v>14</v>
      </c>
    </row>
    <row r="723" spans="1:9" x14ac:dyDescent="0.3">
      <c r="A723" s="34">
        <v>722</v>
      </c>
      <c r="B723" s="34">
        <v>788</v>
      </c>
      <c r="C723" s="34">
        <v>48</v>
      </c>
      <c r="D723" s="34">
        <v>2751</v>
      </c>
      <c r="E723" s="34">
        <v>38</v>
      </c>
      <c r="F723" s="34" t="s">
        <v>54</v>
      </c>
      <c r="G723" s="97">
        <v>0.71833543988599335</v>
      </c>
      <c r="H723" s="34">
        <f t="shared" si="25"/>
        <v>9</v>
      </c>
      <c r="I723" s="75">
        <f t="shared" si="26"/>
        <v>14</v>
      </c>
    </row>
    <row r="724" spans="1:9" x14ac:dyDescent="0.3">
      <c r="A724" s="34">
        <v>723</v>
      </c>
      <c r="B724" s="34">
        <v>262</v>
      </c>
      <c r="C724" s="34">
        <v>24</v>
      </c>
      <c r="D724" s="34">
        <v>1603</v>
      </c>
      <c r="E724" s="34">
        <v>55</v>
      </c>
      <c r="F724" s="34" t="s">
        <v>56</v>
      </c>
      <c r="G724" s="97">
        <v>0.718523990075151</v>
      </c>
      <c r="H724" s="34">
        <f t="shared" si="25"/>
        <v>17</v>
      </c>
      <c r="I724" s="75">
        <f t="shared" si="26"/>
        <v>22</v>
      </c>
    </row>
    <row r="725" spans="1:9" x14ac:dyDescent="0.3">
      <c r="A725" s="34">
        <v>724</v>
      </c>
      <c r="B725" s="34">
        <v>536</v>
      </c>
      <c r="C725" s="34">
        <v>21</v>
      </c>
      <c r="D725" s="34">
        <v>2319</v>
      </c>
      <c r="E725" s="34">
        <v>33</v>
      </c>
      <c r="F725" s="34" t="s">
        <v>55</v>
      </c>
      <c r="G725" s="97">
        <v>0.71867246690527664</v>
      </c>
      <c r="H725" s="34">
        <f t="shared" si="25"/>
        <v>7</v>
      </c>
      <c r="I725" s="75">
        <f t="shared" si="26"/>
        <v>11</v>
      </c>
    </row>
    <row r="726" spans="1:9" x14ac:dyDescent="0.3">
      <c r="A726" s="34">
        <v>725</v>
      </c>
      <c r="B726" s="34">
        <v>922</v>
      </c>
      <c r="C726" s="34">
        <v>48</v>
      </c>
      <c r="D726" s="34">
        <v>12749</v>
      </c>
      <c r="E726" s="34">
        <v>37</v>
      </c>
      <c r="F726" s="34" t="s">
        <v>54</v>
      </c>
      <c r="G726" s="97">
        <v>0.71899289833711855</v>
      </c>
      <c r="H726" s="34">
        <f t="shared" si="25"/>
        <v>9</v>
      </c>
      <c r="I726" s="75">
        <f t="shared" si="26"/>
        <v>14</v>
      </c>
    </row>
    <row r="727" spans="1:9" x14ac:dyDescent="0.3">
      <c r="A727" s="34">
        <v>726</v>
      </c>
      <c r="B727" s="34">
        <v>149</v>
      </c>
      <c r="C727" s="34">
        <v>36</v>
      </c>
      <c r="D727" s="34">
        <v>5371</v>
      </c>
      <c r="E727" s="34">
        <v>28</v>
      </c>
      <c r="F727" s="34" t="s">
        <v>54</v>
      </c>
      <c r="G727" s="97">
        <v>0.71941730672727611</v>
      </c>
      <c r="H727" s="34">
        <f t="shared" si="25"/>
        <v>5</v>
      </c>
      <c r="I727" s="75">
        <f t="shared" si="26"/>
        <v>7</v>
      </c>
    </row>
    <row r="728" spans="1:9" x14ac:dyDescent="0.3">
      <c r="A728" s="34">
        <v>727</v>
      </c>
      <c r="B728" s="34">
        <v>844</v>
      </c>
      <c r="C728" s="34">
        <v>24</v>
      </c>
      <c r="D728" s="34">
        <v>1559</v>
      </c>
      <c r="E728" s="34">
        <v>50</v>
      </c>
      <c r="F728" s="34" t="s">
        <v>54</v>
      </c>
      <c r="G728" s="97">
        <v>0.72322008528713044</v>
      </c>
      <c r="H728" s="34">
        <f t="shared" si="25"/>
        <v>14</v>
      </c>
      <c r="I728" s="75">
        <f t="shared" si="26"/>
        <v>19</v>
      </c>
    </row>
    <row r="729" spans="1:9" x14ac:dyDescent="0.3">
      <c r="A729" s="34">
        <v>728</v>
      </c>
      <c r="B729" s="34">
        <v>286</v>
      </c>
      <c r="C729" s="34">
        <v>47</v>
      </c>
      <c r="D729" s="34">
        <v>10722</v>
      </c>
      <c r="E729" s="34">
        <v>35</v>
      </c>
      <c r="F729" s="34" t="s">
        <v>56</v>
      </c>
      <c r="G729" s="97">
        <v>0.72440762536271786</v>
      </c>
      <c r="H729" s="34">
        <f t="shared" si="25"/>
        <v>8</v>
      </c>
      <c r="I729" s="75">
        <f t="shared" si="26"/>
        <v>12</v>
      </c>
    </row>
    <row r="730" spans="1:9" x14ac:dyDescent="0.3">
      <c r="A730" s="34">
        <v>729</v>
      </c>
      <c r="B730" s="34">
        <v>179</v>
      </c>
      <c r="C730" s="34">
        <v>12</v>
      </c>
      <c r="D730" s="34">
        <v>1963</v>
      </c>
      <c r="E730" s="34">
        <v>31</v>
      </c>
      <c r="F730" s="34" t="s">
        <v>54</v>
      </c>
      <c r="G730" s="97">
        <v>0.72447533652770757</v>
      </c>
      <c r="H730" s="34">
        <f t="shared" si="25"/>
        <v>6</v>
      </c>
      <c r="I730" s="75">
        <f t="shared" si="26"/>
        <v>10</v>
      </c>
    </row>
    <row r="731" spans="1:9" x14ac:dyDescent="0.3">
      <c r="A731" s="34">
        <v>730</v>
      </c>
      <c r="B731" s="34">
        <v>732</v>
      </c>
      <c r="C731" s="34">
        <v>24</v>
      </c>
      <c r="D731" s="34">
        <v>1987</v>
      </c>
      <c r="E731" s="34">
        <v>21</v>
      </c>
      <c r="F731" s="34" t="s">
        <v>55</v>
      </c>
      <c r="G731" s="97">
        <v>0.72537354668991494</v>
      </c>
      <c r="H731" s="34">
        <f t="shared" si="25"/>
        <v>1</v>
      </c>
      <c r="I731" s="75">
        <f t="shared" si="26"/>
        <v>1</v>
      </c>
    </row>
    <row r="732" spans="1:9" x14ac:dyDescent="0.3">
      <c r="A732" s="34">
        <v>731</v>
      </c>
      <c r="B732" s="34">
        <v>958</v>
      </c>
      <c r="C732" s="34">
        <v>9</v>
      </c>
      <c r="D732" s="34">
        <v>1154</v>
      </c>
      <c r="E732" s="34">
        <v>37</v>
      </c>
      <c r="F732" s="34" t="s">
        <v>54</v>
      </c>
      <c r="G732" s="97">
        <v>0.72725279899881767</v>
      </c>
      <c r="H732" s="34">
        <f t="shared" si="25"/>
        <v>9</v>
      </c>
      <c r="I732" s="75">
        <f t="shared" si="26"/>
        <v>14</v>
      </c>
    </row>
    <row r="733" spans="1:9" x14ac:dyDescent="0.3">
      <c r="A733" s="34">
        <v>732</v>
      </c>
      <c r="B733" s="34">
        <v>336</v>
      </c>
      <c r="C733" s="34">
        <v>6</v>
      </c>
      <c r="D733" s="34">
        <v>3384</v>
      </c>
      <c r="E733" s="34">
        <v>44</v>
      </c>
      <c r="F733" s="34" t="s">
        <v>55</v>
      </c>
      <c r="G733" s="97">
        <v>0.73023778810320461</v>
      </c>
      <c r="H733" s="34">
        <f t="shared" si="25"/>
        <v>12</v>
      </c>
      <c r="I733" s="75">
        <f t="shared" si="26"/>
        <v>17</v>
      </c>
    </row>
    <row r="734" spans="1:9" x14ac:dyDescent="0.3">
      <c r="A734" s="34">
        <v>733</v>
      </c>
      <c r="B734" s="34">
        <v>642</v>
      </c>
      <c r="C734" s="34">
        <v>15</v>
      </c>
      <c r="D734" s="34">
        <v>1308</v>
      </c>
      <c r="E734" s="34">
        <v>38</v>
      </c>
      <c r="F734" s="34" t="s">
        <v>54</v>
      </c>
      <c r="G734" s="97">
        <v>0.73046132089420279</v>
      </c>
      <c r="H734" s="34">
        <f t="shared" si="25"/>
        <v>9</v>
      </c>
      <c r="I734" s="75">
        <f t="shared" si="26"/>
        <v>14</v>
      </c>
    </row>
    <row r="735" spans="1:9" x14ac:dyDescent="0.3">
      <c r="A735" s="34">
        <v>734</v>
      </c>
      <c r="B735" s="34">
        <v>930</v>
      </c>
      <c r="C735" s="34">
        <v>12</v>
      </c>
      <c r="D735" s="34">
        <v>1344</v>
      </c>
      <c r="E735" s="34">
        <v>43</v>
      </c>
      <c r="F735" s="34" t="s">
        <v>54</v>
      </c>
      <c r="G735" s="97">
        <v>0.73213288363258966</v>
      </c>
      <c r="H735" s="34">
        <f t="shared" si="25"/>
        <v>11</v>
      </c>
      <c r="I735" s="75">
        <f t="shared" si="26"/>
        <v>16</v>
      </c>
    </row>
    <row r="736" spans="1:9" x14ac:dyDescent="0.3">
      <c r="A736" s="34">
        <v>735</v>
      </c>
      <c r="B736" s="34">
        <v>706</v>
      </c>
      <c r="C736" s="34">
        <v>15</v>
      </c>
      <c r="D736" s="34">
        <v>5324</v>
      </c>
      <c r="E736" s="34">
        <v>35</v>
      </c>
      <c r="F736" s="34" t="s">
        <v>56</v>
      </c>
      <c r="G736" s="97">
        <v>0.73276314722080194</v>
      </c>
      <c r="H736" s="34">
        <f t="shared" si="25"/>
        <v>8</v>
      </c>
      <c r="I736" s="75">
        <f t="shared" si="26"/>
        <v>12</v>
      </c>
    </row>
    <row r="737" spans="1:9" x14ac:dyDescent="0.3">
      <c r="A737" s="34">
        <v>736</v>
      </c>
      <c r="B737" s="34">
        <v>53</v>
      </c>
      <c r="C737" s="34">
        <v>12</v>
      </c>
      <c r="D737" s="34">
        <v>1262</v>
      </c>
      <c r="E737" s="34">
        <v>25</v>
      </c>
      <c r="F737" s="34" t="s">
        <v>54</v>
      </c>
      <c r="G737" s="97">
        <v>0.7329136122621569</v>
      </c>
      <c r="H737" s="34">
        <f t="shared" si="25"/>
        <v>3</v>
      </c>
      <c r="I737" s="75">
        <f t="shared" si="26"/>
        <v>4</v>
      </c>
    </row>
    <row r="738" spans="1:9" x14ac:dyDescent="0.3">
      <c r="A738" s="34">
        <v>737</v>
      </c>
      <c r="B738" s="34">
        <v>254</v>
      </c>
      <c r="C738" s="34">
        <v>24</v>
      </c>
      <c r="D738" s="34">
        <v>4151</v>
      </c>
      <c r="E738" s="34">
        <v>35</v>
      </c>
      <c r="F738" s="34" t="s">
        <v>54</v>
      </c>
      <c r="G738" s="97">
        <v>0.73334272951794122</v>
      </c>
      <c r="H738" s="34">
        <f t="shared" si="25"/>
        <v>8</v>
      </c>
      <c r="I738" s="75">
        <f t="shared" si="26"/>
        <v>12</v>
      </c>
    </row>
    <row r="739" spans="1:9" x14ac:dyDescent="0.3">
      <c r="A739" s="34">
        <v>738</v>
      </c>
      <c r="B739" s="34">
        <v>328</v>
      </c>
      <c r="C739" s="34">
        <v>24</v>
      </c>
      <c r="D739" s="34">
        <v>1525</v>
      </c>
      <c r="E739" s="34">
        <v>34</v>
      </c>
      <c r="F739" s="34" t="s">
        <v>56</v>
      </c>
      <c r="G739" s="97">
        <v>0.7336583140369467</v>
      </c>
      <c r="H739" s="34">
        <f t="shared" si="25"/>
        <v>7</v>
      </c>
      <c r="I739" s="75">
        <f t="shared" si="26"/>
        <v>11</v>
      </c>
    </row>
    <row r="740" spans="1:9" x14ac:dyDescent="0.3">
      <c r="A740" s="34">
        <v>739</v>
      </c>
      <c r="B740" s="34">
        <v>974</v>
      </c>
      <c r="C740" s="34">
        <v>60</v>
      </c>
      <c r="D740" s="34">
        <v>7297</v>
      </c>
      <c r="E740" s="34">
        <v>36</v>
      </c>
      <c r="F740" s="34" t="s">
        <v>55</v>
      </c>
      <c r="G740" s="97">
        <v>0.73370151867490752</v>
      </c>
      <c r="H740" s="34">
        <f t="shared" si="25"/>
        <v>8</v>
      </c>
      <c r="I740" s="75">
        <f t="shared" si="26"/>
        <v>13</v>
      </c>
    </row>
    <row r="741" spans="1:9" x14ac:dyDescent="0.3">
      <c r="A741" s="34">
        <v>740</v>
      </c>
      <c r="B741" s="34">
        <v>321</v>
      </c>
      <c r="C741" s="34">
        <v>30</v>
      </c>
      <c r="D741" s="34">
        <v>4249</v>
      </c>
      <c r="E741" s="34">
        <v>28</v>
      </c>
      <c r="F741" s="34" t="s">
        <v>55</v>
      </c>
      <c r="G741" s="97">
        <v>0.73506638835894034</v>
      </c>
      <c r="H741" s="34">
        <f t="shared" si="25"/>
        <v>5</v>
      </c>
      <c r="I741" s="75">
        <f t="shared" si="26"/>
        <v>7</v>
      </c>
    </row>
    <row r="742" spans="1:9" x14ac:dyDescent="0.3">
      <c r="A742" s="34">
        <v>741</v>
      </c>
      <c r="B742" s="34">
        <v>631</v>
      </c>
      <c r="C742" s="34">
        <v>24</v>
      </c>
      <c r="D742" s="34">
        <v>3660</v>
      </c>
      <c r="E742" s="34">
        <v>28</v>
      </c>
      <c r="F742" s="34" t="s">
        <v>56</v>
      </c>
      <c r="G742" s="97">
        <v>0.73583290791493072</v>
      </c>
      <c r="H742" s="34">
        <f t="shared" si="25"/>
        <v>5</v>
      </c>
      <c r="I742" s="75">
        <f t="shared" si="26"/>
        <v>7</v>
      </c>
    </row>
    <row r="743" spans="1:9" x14ac:dyDescent="0.3">
      <c r="A743" s="34">
        <v>742</v>
      </c>
      <c r="B743" s="34">
        <v>835</v>
      </c>
      <c r="C743" s="34">
        <v>15</v>
      </c>
      <c r="D743" s="34">
        <v>2327</v>
      </c>
      <c r="E743" s="34">
        <v>25</v>
      </c>
      <c r="F743" s="34" t="s">
        <v>57</v>
      </c>
      <c r="G743" s="97">
        <v>0.73594774216428793</v>
      </c>
      <c r="H743" s="34">
        <f t="shared" si="25"/>
        <v>3</v>
      </c>
      <c r="I743" s="75">
        <f t="shared" si="26"/>
        <v>4</v>
      </c>
    </row>
    <row r="744" spans="1:9" x14ac:dyDescent="0.3">
      <c r="A744" s="34">
        <v>743</v>
      </c>
      <c r="B744" s="34">
        <v>473</v>
      </c>
      <c r="C744" s="34">
        <v>9</v>
      </c>
      <c r="D744" s="34">
        <v>654</v>
      </c>
      <c r="E744" s="34">
        <v>28</v>
      </c>
      <c r="F744" s="34" t="s">
        <v>55</v>
      </c>
      <c r="G744" s="97">
        <v>0.73598978831795059</v>
      </c>
      <c r="H744" s="34">
        <f t="shared" si="25"/>
        <v>5</v>
      </c>
      <c r="I744" s="75">
        <f t="shared" si="26"/>
        <v>7</v>
      </c>
    </row>
    <row r="745" spans="1:9" x14ac:dyDescent="0.3">
      <c r="A745" s="34">
        <v>744</v>
      </c>
      <c r="B745" s="34">
        <v>591</v>
      </c>
      <c r="C745" s="34">
        <v>12</v>
      </c>
      <c r="D745" s="34">
        <v>385</v>
      </c>
      <c r="E745" s="34">
        <v>58</v>
      </c>
      <c r="F745" s="34" t="s">
        <v>56</v>
      </c>
      <c r="G745" s="97">
        <v>0.7373171267241575</v>
      </c>
      <c r="H745" s="34">
        <f t="shared" si="25"/>
        <v>18</v>
      </c>
      <c r="I745" s="75">
        <f t="shared" si="26"/>
        <v>23</v>
      </c>
    </row>
    <row r="746" spans="1:9" x14ac:dyDescent="0.3">
      <c r="A746" s="34">
        <v>745</v>
      </c>
      <c r="B746" s="34">
        <v>225</v>
      </c>
      <c r="C746" s="34">
        <v>15</v>
      </c>
      <c r="D746" s="34">
        <v>4657</v>
      </c>
      <c r="E746" s="34">
        <v>30</v>
      </c>
      <c r="F746" s="34" t="s">
        <v>54</v>
      </c>
      <c r="G746" s="97">
        <v>0.73747232416555075</v>
      </c>
      <c r="H746" s="34">
        <f t="shared" si="25"/>
        <v>5</v>
      </c>
      <c r="I746" s="75">
        <f t="shared" si="26"/>
        <v>9</v>
      </c>
    </row>
    <row r="747" spans="1:9" x14ac:dyDescent="0.3">
      <c r="A747" s="34">
        <v>746</v>
      </c>
      <c r="B747" s="34">
        <v>353</v>
      </c>
      <c r="C747" s="34">
        <v>18</v>
      </c>
      <c r="D747" s="34">
        <v>3229</v>
      </c>
      <c r="E747" s="34">
        <v>38</v>
      </c>
      <c r="F747" s="34" t="s">
        <v>54</v>
      </c>
      <c r="G747" s="97">
        <v>0.73921775365595688</v>
      </c>
      <c r="H747" s="34">
        <f t="shared" si="25"/>
        <v>9</v>
      </c>
      <c r="I747" s="75">
        <f t="shared" si="26"/>
        <v>14</v>
      </c>
    </row>
    <row r="748" spans="1:9" x14ac:dyDescent="0.3">
      <c r="A748" s="34">
        <v>747</v>
      </c>
      <c r="B748" s="34">
        <v>574</v>
      </c>
      <c r="C748" s="34">
        <v>15</v>
      </c>
      <c r="D748" s="34">
        <v>806</v>
      </c>
      <c r="E748" s="34">
        <v>22</v>
      </c>
      <c r="F748" s="34" t="s">
        <v>56</v>
      </c>
      <c r="G748" s="97">
        <v>0.74063857486162188</v>
      </c>
      <c r="H748" s="34">
        <f t="shared" si="25"/>
        <v>2</v>
      </c>
      <c r="I748" s="75">
        <f t="shared" si="26"/>
        <v>2</v>
      </c>
    </row>
    <row r="749" spans="1:9" x14ac:dyDescent="0.3">
      <c r="A749" s="34">
        <v>748</v>
      </c>
      <c r="B749" s="34">
        <v>697</v>
      </c>
      <c r="C749" s="34">
        <v>12</v>
      </c>
      <c r="D749" s="34">
        <v>1103</v>
      </c>
      <c r="E749" s="34">
        <v>29</v>
      </c>
      <c r="F749" s="34" t="s">
        <v>54</v>
      </c>
      <c r="G749" s="97">
        <v>0.74139078649993617</v>
      </c>
      <c r="H749" s="34">
        <f t="shared" si="25"/>
        <v>5</v>
      </c>
      <c r="I749" s="75">
        <f t="shared" si="26"/>
        <v>8</v>
      </c>
    </row>
    <row r="750" spans="1:9" x14ac:dyDescent="0.3">
      <c r="A750" s="34">
        <v>749</v>
      </c>
      <c r="B750" s="34">
        <v>959</v>
      </c>
      <c r="C750" s="34">
        <v>28</v>
      </c>
      <c r="D750" s="34">
        <v>4006</v>
      </c>
      <c r="E750" s="34">
        <v>45</v>
      </c>
      <c r="F750" s="34" t="s">
        <v>55</v>
      </c>
      <c r="G750" s="97">
        <v>0.74167452254942268</v>
      </c>
      <c r="H750" s="34">
        <f t="shared" si="25"/>
        <v>12</v>
      </c>
      <c r="I750" s="75">
        <f t="shared" si="26"/>
        <v>17</v>
      </c>
    </row>
    <row r="751" spans="1:9" x14ac:dyDescent="0.3">
      <c r="A751" s="34">
        <v>750</v>
      </c>
      <c r="B751" s="34">
        <v>828</v>
      </c>
      <c r="C751" s="34">
        <v>18</v>
      </c>
      <c r="D751" s="34">
        <v>4165</v>
      </c>
      <c r="E751" s="34">
        <v>36</v>
      </c>
      <c r="F751" s="34" t="s">
        <v>55</v>
      </c>
      <c r="G751" s="97">
        <v>0.74396284831470272</v>
      </c>
      <c r="H751" s="34">
        <f t="shared" si="25"/>
        <v>8</v>
      </c>
      <c r="I751" s="75">
        <f t="shared" si="26"/>
        <v>13</v>
      </c>
    </row>
    <row r="752" spans="1:9" x14ac:dyDescent="0.3">
      <c r="A752" s="34">
        <v>751</v>
      </c>
      <c r="B752" s="34">
        <v>540</v>
      </c>
      <c r="C752" s="34">
        <v>18</v>
      </c>
      <c r="D752" s="34">
        <v>3049</v>
      </c>
      <c r="E752" s="34">
        <v>45</v>
      </c>
      <c r="F752" s="34" t="s">
        <v>56</v>
      </c>
      <c r="G752" s="97">
        <v>0.74514709637081955</v>
      </c>
      <c r="H752" s="34">
        <f t="shared" si="25"/>
        <v>12</v>
      </c>
      <c r="I752" s="75">
        <f t="shared" si="26"/>
        <v>17</v>
      </c>
    </row>
    <row r="753" spans="1:9" x14ac:dyDescent="0.3">
      <c r="A753" s="34">
        <v>752</v>
      </c>
      <c r="B753" s="34">
        <v>38</v>
      </c>
      <c r="C753" s="34">
        <v>18</v>
      </c>
      <c r="D753" s="34">
        <v>2100</v>
      </c>
      <c r="E753" s="34">
        <v>37</v>
      </c>
      <c r="F753" s="34" t="s">
        <v>55</v>
      </c>
      <c r="G753" s="97">
        <v>0.74521729815464011</v>
      </c>
      <c r="H753" s="34">
        <f t="shared" si="25"/>
        <v>9</v>
      </c>
      <c r="I753" s="75">
        <f t="shared" si="26"/>
        <v>14</v>
      </c>
    </row>
    <row r="754" spans="1:9" x14ac:dyDescent="0.3">
      <c r="A754" s="34">
        <v>753</v>
      </c>
      <c r="B754" s="34">
        <v>995</v>
      </c>
      <c r="C754" s="34">
        <v>12</v>
      </c>
      <c r="D754" s="34">
        <v>2390</v>
      </c>
      <c r="E754" s="34">
        <v>50</v>
      </c>
      <c r="F754" s="34" t="s">
        <v>54</v>
      </c>
      <c r="G754" s="97">
        <v>0.74863548243127798</v>
      </c>
      <c r="H754" s="34">
        <f t="shared" si="25"/>
        <v>14</v>
      </c>
      <c r="I754" s="75">
        <f t="shared" si="26"/>
        <v>19</v>
      </c>
    </row>
    <row r="755" spans="1:9" x14ac:dyDescent="0.3">
      <c r="A755" s="34">
        <v>754</v>
      </c>
      <c r="B755" s="34">
        <v>737</v>
      </c>
      <c r="C755" s="34">
        <v>24</v>
      </c>
      <c r="D755" s="34">
        <v>11560</v>
      </c>
      <c r="E755" s="34">
        <v>23</v>
      </c>
      <c r="F755" s="34" t="s">
        <v>57</v>
      </c>
      <c r="G755" s="97">
        <v>0.74938126422746687</v>
      </c>
      <c r="H755" s="34">
        <f t="shared" si="25"/>
        <v>2</v>
      </c>
      <c r="I755" s="75">
        <f t="shared" si="26"/>
        <v>2</v>
      </c>
    </row>
    <row r="756" spans="1:9" x14ac:dyDescent="0.3">
      <c r="A756" s="34">
        <v>755</v>
      </c>
      <c r="B756" s="34">
        <v>45</v>
      </c>
      <c r="C756" s="34">
        <v>48</v>
      </c>
      <c r="D756" s="34">
        <v>6143</v>
      </c>
      <c r="E756" s="34">
        <v>58</v>
      </c>
      <c r="F756" s="34" t="s">
        <v>57</v>
      </c>
      <c r="G756" s="97">
        <v>0.75000744800870722</v>
      </c>
      <c r="H756" s="34">
        <f t="shared" si="25"/>
        <v>18</v>
      </c>
      <c r="I756" s="75">
        <f t="shared" si="26"/>
        <v>23</v>
      </c>
    </row>
    <row r="757" spans="1:9" x14ac:dyDescent="0.3">
      <c r="A757" s="34">
        <v>756</v>
      </c>
      <c r="B757" s="34">
        <v>699</v>
      </c>
      <c r="C757" s="34">
        <v>18</v>
      </c>
      <c r="D757" s="34">
        <v>1800</v>
      </c>
      <c r="E757" s="34">
        <v>24</v>
      </c>
      <c r="F757" s="34" t="s">
        <v>54</v>
      </c>
      <c r="G757" s="97">
        <v>0.75161531625169531</v>
      </c>
      <c r="H757" s="34">
        <f t="shared" si="25"/>
        <v>3</v>
      </c>
      <c r="I757" s="75">
        <f t="shared" si="26"/>
        <v>3</v>
      </c>
    </row>
    <row r="758" spans="1:9" x14ac:dyDescent="0.3">
      <c r="A758" s="34">
        <v>757</v>
      </c>
      <c r="B758" s="34">
        <v>544</v>
      </c>
      <c r="C758" s="34">
        <v>18</v>
      </c>
      <c r="D758" s="34">
        <v>2864</v>
      </c>
      <c r="E758" s="34">
        <v>34</v>
      </c>
      <c r="F758" s="34" t="s">
        <v>55</v>
      </c>
      <c r="G758" s="97">
        <v>0.75177722822197424</v>
      </c>
      <c r="H758" s="34">
        <f t="shared" si="25"/>
        <v>7</v>
      </c>
      <c r="I758" s="75">
        <f t="shared" si="26"/>
        <v>11</v>
      </c>
    </row>
    <row r="759" spans="1:9" x14ac:dyDescent="0.3">
      <c r="A759" s="34">
        <v>758</v>
      </c>
      <c r="B759" s="34">
        <v>244</v>
      </c>
      <c r="C759" s="34">
        <v>12</v>
      </c>
      <c r="D759" s="34">
        <v>1185</v>
      </c>
      <c r="E759" s="34">
        <v>27</v>
      </c>
      <c r="F759" s="34" t="s">
        <v>56</v>
      </c>
      <c r="G759" s="97">
        <v>0.75256870709519519</v>
      </c>
      <c r="H759" s="34">
        <f t="shared" si="25"/>
        <v>4</v>
      </c>
      <c r="I759" s="75">
        <f t="shared" si="26"/>
        <v>6</v>
      </c>
    </row>
    <row r="760" spans="1:9" x14ac:dyDescent="0.3">
      <c r="A760" s="34">
        <v>759</v>
      </c>
      <c r="B760" s="34">
        <v>287</v>
      </c>
      <c r="C760" s="34">
        <v>48</v>
      </c>
      <c r="D760" s="34">
        <v>4788</v>
      </c>
      <c r="E760" s="34">
        <v>26</v>
      </c>
      <c r="F760" s="34" t="s">
        <v>54</v>
      </c>
      <c r="G760" s="97">
        <v>0.75327156422714003</v>
      </c>
      <c r="H760" s="34">
        <f t="shared" si="25"/>
        <v>4</v>
      </c>
      <c r="I760" s="75">
        <f t="shared" si="26"/>
        <v>5</v>
      </c>
    </row>
    <row r="761" spans="1:9" x14ac:dyDescent="0.3">
      <c r="A761" s="34">
        <v>760</v>
      </c>
      <c r="B761" s="34">
        <v>674</v>
      </c>
      <c r="C761" s="34">
        <v>6</v>
      </c>
      <c r="D761" s="34">
        <v>2080</v>
      </c>
      <c r="E761" s="34">
        <v>24</v>
      </c>
      <c r="F761" s="34" t="s">
        <v>54</v>
      </c>
      <c r="G761" s="97">
        <v>0.75423518702177594</v>
      </c>
      <c r="H761" s="34">
        <f t="shared" si="25"/>
        <v>3</v>
      </c>
      <c r="I761" s="75">
        <f t="shared" si="26"/>
        <v>3</v>
      </c>
    </row>
    <row r="762" spans="1:9" x14ac:dyDescent="0.3">
      <c r="A762" s="34">
        <v>761</v>
      </c>
      <c r="B762" s="34">
        <v>917</v>
      </c>
      <c r="C762" s="34">
        <v>10</v>
      </c>
      <c r="D762" s="34">
        <v>2848</v>
      </c>
      <c r="E762" s="34">
        <v>32</v>
      </c>
      <c r="F762" s="34" t="s">
        <v>54</v>
      </c>
      <c r="G762" s="97">
        <v>0.7551603862605144</v>
      </c>
      <c r="H762" s="34">
        <f t="shared" si="25"/>
        <v>6</v>
      </c>
      <c r="I762" s="75">
        <f t="shared" si="26"/>
        <v>10</v>
      </c>
    </row>
    <row r="763" spans="1:9" x14ac:dyDescent="0.3">
      <c r="A763" s="34">
        <v>762</v>
      </c>
      <c r="B763" s="34">
        <v>620</v>
      </c>
      <c r="C763" s="34">
        <v>12</v>
      </c>
      <c r="D763" s="34">
        <v>640</v>
      </c>
      <c r="E763" s="34">
        <v>49</v>
      </c>
      <c r="F763" s="34" t="s">
        <v>54</v>
      </c>
      <c r="G763" s="97">
        <v>0.75564551659071055</v>
      </c>
      <c r="H763" s="34">
        <f t="shared" si="25"/>
        <v>14</v>
      </c>
      <c r="I763" s="75">
        <f t="shared" si="26"/>
        <v>19</v>
      </c>
    </row>
    <row r="764" spans="1:9" x14ac:dyDescent="0.3">
      <c r="A764" s="34">
        <v>763</v>
      </c>
      <c r="B764" s="34">
        <v>220</v>
      </c>
      <c r="C764" s="34">
        <v>10</v>
      </c>
      <c r="D764" s="34">
        <v>1364</v>
      </c>
      <c r="E764" s="34">
        <v>64</v>
      </c>
      <c r="F764" s="34" t="s">
        <v>56</v>
      </c>
      <c r="G764" s="97">
        <v>0.75668852991596036</v>
      </c>
      <c r="H764" s="34">
        <f t="shared" si="25"/>
        <v>21</v>
      </c>
      <c r="I764" s="75">
        <f t="shared" si="26"/>
        <v>24</v>
      </c>
    </row>
    <row r="765" spans="1:9" x14ac:dyDescent="0.3">
      <c r="A765" s="34">
        <v>764</v>
      </c>
      <c r="B765" s="34">
        <v>481</v>
      </c>
      <c r="C765" s="34">
        <v>12</v>
      </c>
      <c r="D765" s="34">
        <v>3573</v>
      </c>
      <c r="E765" s="34">
        <v>23</v>
      </c>
      <c r="F765" s="34" t="s">
        <v>56</v>
      </c>
      <c r="G765" s="97">
        <v>0.75733751039819486</v>
      </c>
      <c r="H765" s="34">
        <f t="shared" si="25"/>
        <v>2</v>
      </c>
      <c r="I765" s="75">
        <f t="shared" si="26"/>
        <v>2</v>
      </c>
    </row>
    <row r="766" spans="1:9" x14ac:dyDescent="0.3">
      <c r="A766" s="34">
        <v>765</v>
      </c>
      <c r="B766" s="34">
        <v>780</v>
      </c>
      <c r="C766" s="34">
        <v>18</v>
      </c>
      <c r="D766" s="34">
        <v>3872</v>
      </c>
      <c r="E766" s="34">
        <v>67</v>
      </c>
      <c r="F766" s="34" t="s">
        <v>56</v>
      </c>
      <c r="G766" s="97">
        <v>0.75812398297640293</v>
      </c>
      <c r="H766" s="34">
        <f t="shared" si="25"/>
        <v>22</v>
      </c>
      <c r="I766" s="75">
        <f t="shared" si="26"/>
        <v>25</v>
      </c>
    </row>
    <row r="767" spans="1:9" x14ac:dyDescent="0.3">
      <c r="A767" s="34">
        <v>766</v>
      </c>
      <c r="B767" s="34">
        <v>516</v>
      </c>
      <c r="C767" s="34">
        <v>6</v>
      </c>
      <c r="D767" s="34">
        <v>609</v>
      </c>
      <c r="E767" s="34">
        <v>37</v>
      </c>
      <c r="F767" s="34" t="s">
        <v>56</v>
      </c>
      <c r="G767" s="97">
        <v>0.76002345028258378</v>
      </c>
      <c r="H767" s="34">
        <f t="shared" si="25"/>
        <v>9</v>
      </c>
      <c r="I767" s="75">
        <f t="shared" si="26"/>
        <v>14</v>
      </c>
    </row>
    <row r="768" spans="1:9" x14ac:dyDescent="0.3">
      <c r="A768" s="34">
        <v>767</v>
      </c>
      <c r="B768" s="34">
        <v>114</v>
      </c>
      <c r="C768" s="34">
        <v>36</v>
      </c>
      <c r="D768" s="34">
        <v>7855</v>
      </c>
      <c r="E768" s="34">
        <v>25</v>
      </c>
      <c r="F768" s="34" t="s">
        <v>57</v>
      </c>
      <c r="G768" s="97">
        <v>0.76005535549750169</v>
      </c>
      <c r="H768" s="34">
        <f t="shared" si="25"/>
        <v>3</v>
      </c>
      <c r="I768" s="75">
        <f t="shared" si="26"/>
        <v>4</v>
      </c>
    </row>
    <row r="769" spans="1:9" x14ac:dyDescent="0.3">
      <c r="A769" s="34">
        <v>768</v>
      </c>
      <c r="B769" s="34">
        <v>48</v>
      </c>
      <c r="C769" s="34">
        <v>6</v>
      </c>
      <c r="D769" s="34">
        <v>1352</v>
      </c>
      <c r="E769" s="34">
        <v>23</v>
      </c>
      <c r="F769" s="34" t="s">
        <v>56</v>
      </c>
      <c r="G769" s="97">
        <v>0.7612113521612407</v>
      </c>
      <c r="H769" s="34">
        <f t="shared" si="25"/>
        <v>2</v>
      </c>
      <c r="I769" s="75">
        <f t="shared" si="26"/>
        <v>2</v>
      </c>
    </row>
    <row r="770" spans="1:9" x14ac:dyDescent="0.3">
      <c r="A770" s="34">
        <v>769</v>
      </c>
      <c r="B770" s="34">
        <v>67</v>
      </c>
      <c r="C770" s="34">
        <v>12</v>
      </c>
      <c r="D770" s="34">
        <v>2171</v>
      </c>
      <c r="E770" s="34">
        <v>29</v>
      </c>
      <c r="F770" s="34" t="s">
        <v>56</v>
      </c>
      <c r="G770" s="97">
        <v>0.76283969388663364</v>
      </c>
      <c r="H770" s="34">
        <f t="shared" ref="H770:H833" si="27">MATCH(E770,$O$3:$O$27,1)</f>
        <v>5</v>
      </c>
      <c r="I770" s="75">
        <f t="shared" ref="I770:I833" si="28">MATCH(E770,$U$3:$U$28,1)</f>
        <v>8</v>
      </c>
    </row>
    <row r="771" spans="1:9" x14ac:dyDescent="0.3">
      <c r="A771" s="34">
        <v>770</v>
      </c>
      <c r="B771" s="34">
        <v>36</v>
      </c>
      <c r="C771" s="34">
        <v>45</v>
      </c>
      <c r="D771" s="34">
        <v>4746</v>
      </c>
      <c r="E771" s="34">
        <v>25</v>
      </c>
      <c r="F771" s="34" t="s">
        <v>55</v>
      </c>
      <c r="G771" s="97">
        <v>0.76351419911911755</v>
      </c>
      <c r="H771" s="34">
        <f t="shared" si="27"/>
        <v>3</v>
      </c>
      <c r="I771" s="75">
        <f t="shared" si="28"/>
        <v>4</v>
      </c>
    </row>
    <row r="772" spans="1:9" x14ac:dyDescent="0.3">
      <c r="A772" s="34">
        <v>771</v>
      </c>
      <c r="B772" s="34">
        <v>777</v>
      </c>
      <c r="C772" s="34">
        <v>36</v>
      </c>
      <c r="D772" s="34">
        <v>3535</v>
      </c>
      <c r="E772" s="34">
        <v>37</v>
      </c>
      <c r="F772" s="34" t="s">
        <v>54</v>
      </c>
      <c r="G772" s="97">
        <v>0.76536070349880014</v>
      </c>
      <c r="H772" s="34">
        <f t="shared" si="27"/>
        <v>9</v>
      </c>
      <c r="I772" s="75">
        <f t="shared" si="28"/>
        <v>14</v>
      </c>
    </row>
    <row r="773" spans="1:9" x14ac:dyDescent="0.3">
      <c r="A773" s="34">
        <v>772</v>
      </c>
      <c r="B773" s="34">
        <v>691</v>
      </c>
      <c r="C773" s="34">
        <v>15</v>
      </c>
      <c r="D773" s="34">
        <v>975</v>
      </c>
      <c r="E773" s="34">
        <v>25</v>
      </c>
      <c r="F773" s="34" t="s">
        <v>54</v>
      </c>
      <c r="G773" s="97">
        <v>0.76563155827255414</v>
      </c>
      <c r="H773" s="34">
        <f t="shared" si="27"/>
        <v>3</v>
      </c>
      <c r="I773" s="75">
        <f t="shared" si="28"/>
        <v>4</v>
      </c>
    </row>
    <row r="774" spans="1:9" x14ac:dyDescent="0.3">
      <c r="A774" s="34">
        <v>773</v>
      </c>
      <c r="B774" s="34">
        <v>715</v>
      </c>
      <c r="C774" s="34">
        <v>60</v>
      </c>
      <c r="D774" s="34">
        <v>14027</v>
      </c>
      <c r="E774" s="34">
        <v>27</v>
      </c>
      <c r="F774" s="34" t="s">
        <v>55</v>
      </c>
      <c r="G774" s="97">
        <v>0.76614663997309318</v>
      </c>
      <c r="H774" s="34">
        <f t="shared" si="27"/>
        <v>4</v>
      </c>
      <c r="I774" s="75">
        <f t="shared" si="28"/>
        <v>6</v>
      </c>
    </row>
    <row r="775" spans="1:9" x14ac:dyDescent="0.3">
      <c r="A775" s="34">
        <v>774</v>
      </c>
      <c r="B775" s="34">
        <v>942</v>
      </c>
      <c r="C775" s="34">
        <v>10</v>
      </c>
      <c r="D775" s="34">
        <v>1546</v>
      </c>
      <c r="E775" s="34">
        <v>31</v>
      </c>
      <c r="F775" s="34" t="s">
        <v>54</v>
      </c>
      <c r="G775" s="97">
        <v>0.76984452006470738</v>
      </c>
      <c r="H775" s="34">
        <f t="shared" si="27"/>
        <v>6</v>
      </c>
      <c r="I775" s="75">
        <f t="shared" si="28"/>
        <v>10</v>
      </c>
    </row>
    <row r="776" spans="1:9" x14ac:dyDescent="0.3">
      <c r="A776" s="34">
        <v>775</v>
      </c>
      <c r="B776" s="34">
        <v>173</v>
      </c>
      <c r="C776" s="34">
        <v>24</v>
      </c>
      <c r="D776" s="34">
        <v>2064</v>
      </c>
      <c r="E776" s="34">
        <v>34</v>
      </c>
      <c r="F776" s="34" t="s">
        <v>57</v>
      </c>
      <c r="G776" s="97">
        <v>0.77513629708357989</v>
      </c>
      <c r="H776" s="34">
        <f t="shared" si="27"/>
        <v>7</v>
      </c>
      <c r="I776" s="75">
        <f t="shared" si="28"/>
        <v>11</v>
      </c>
    </row>
    <row r="777" spans="1:9" x14ac:dyDescent="0.3">
      <c r="A777" s="34">
        <v>776</v>
      </c>
      <c r="B777" s="34">
        <v>351</v>
      </c>
      <c r="C777" s="34">
        <v>9</v>
      </c>
      <c r="D777" s="34">
        <v>1236</v>
      </c>
      <c r="E777" s="34">
        <v>23</v>
      </c>
      <c r="F777" s="34" t="s">
        <v>56</v>
      </c>
      <c r="G777" s="97">
        <v>0.77535720578447576</v>
      </c>
      <c r="H777" s="34">
        <f t="shared" si="27"/>
        <v>2</v>
      </c>
      <c r="I777" s="75">
        <f t="shared" si="28"/>
        <v>2</v>
      </c>
    </row>
    <row r="778" spans="1:9" x14ac:dyDescent="0.3">
      <c r="A778" s="34">
        <v>777</v>
      </c>
      <c r="B778" s="34">
        <v>726</v>
      </c>
      <c r="C778" s="34">
        <v>6</v>
      </c>
      <c r="D778" s="34">
        <v>250</v>
      </c>
      <c r="E778" s="34">
        <v>41</v>
      </c>
      <c r="F778" s="34" t="s">
        <v>56</v>
      </c>
      <c r="G778" s="97">
        <v>0.776878136601449</v>
      </c>
      <c r="H778" s="34">
        <f t="shared" si="27"/>
        <v>10</v>
      </c>
      <c r="I778" s="75">
        <f t="shared" si="28"/>
        <v>15</v>
      </c>
    </row>
    <row r="779" spans="1:9" x14ac:dyDescent="0.3">
      <c r="A779" s="34">
        <v>778</v>
      </c>
      <c r="B779" s="34">
        <v>518</v>
      </c>
      <c r="C779" s="34">
        <v>36</v>
      </c>
      <c r="D779" s="34">
        <v>7127</v>
      </c>
      <c r="E779" s="34">
        <v>23</v>
      </c>
      <c r="F779" s="34" t="s">
        <v>57</v>
      </c>
      <c r="G779" s="97">
        <v>0.77801305496095086</v>
      </c>
      <c r="H779" s="34">
        <f t="shared" si="27"/>
        <v>2</v>
      </c>
      <c r="I779" s="75">
        <f t="shared" si="28"/>
        <v>2</v>
      </c>
    </row>
    <row r="780" spans="1:9" x14ac:dyDescent="0.3">
      <c r="A780" s="34">
        <v>779</v>
      </c>
      <c r="B780" s="34">
        <v>51</v>
      </c>
      <c r="C780" s="34">
        <v>24</v>
      </c>
      <c r="D780" s="34">
        <v>2333</v>
      </c>
      <c r="E780" s="34">
        <v>29</v>
      </c>
      <c r="F780" s="34" t="s">
        <v>54</v>
      </c>
      <c r="G780" s="97">
        <v>0.77828061504781643</v>
      </c>
      <c r="H780" s="34">
        <f t="shared" si="27"/>
        <v>5</v>
      </c>
      <c r="I780" s="75">
        <f t="shared" si="28"/>
        <v>8</v>
      </c>
    </row>
    <row r="781" spans="1:9" x14ac:dyDescent="0.3">
      <c r="A781" s="34">
        <v>780</v>
      </c>
      <c r="B781" s="34">
        <v>312</v>
      </c>
      <c r="C781" s="34">
        <v>24</v>
      </c>
      <c r="D781" s="34">
        <v>5511</v>
      </c>
      <c r="E781" s="34">
        <v>25</v>
      </c>
      <c r="F781" s="34" t="s">
        <v>54</v>
      </c>
      <c r="G781" s="97">
        <v>0.77943778310418954</v>
      </c>
      <c r="H781" s="34">
        <f t="shared" si="27"/>
        <v>3</v>
      </c>
      <c r="I781" s="75">
        <f t="shared" si="28"/>
        <v>4</v>
      </c>
    </row>
    <row r="782" spans="1:9" x14ac:dyDescent="0.3">
      <c r="A782" s="34">
        <v>781</v>
      </c>
      <c r="B782" s="34">
        <v>75</v>
      </c>
      <c r="C782" s="34">
        <v>36</v>
      </c>
      <c r="D782" s="34">
        <v>1977</v>
      </c>
      <c r="E782" s="34">
        <v>40</v>
      </c>
      <c r="F782" s="34" t="s">
        <v>55</v>
      </c>
      <c r="G782" s="97">
        <v>0.7798013084486296</v>
      </c>
      <c r="H782" s="34">
        <f t="shared" si="27"/>
        <v>10</v>
      </c>
      <c r="I782" s="75">
        <f t="shared" si="28"/>
        <v>15</v>
      </c>
    </row>
    <row r="783" spans="1:9" x14ac:dyDescent="0.3">
      <c r="A783" s="34">
        <v>782</v>
      </c>
      <c r="B783" s="34">
        <v>698</v>
      </c>
      <c r="C783" s="34">
        <v>12</v>
      </c>
      <c r="D783" s="34">
        <v>926</v>
      </c>
      <c r="E783" s="34">
        <v>38</v>
      </c>
      <c r="F783" s="34" t="s">
        <v>56</v>
      </c>
      <c r="G783" s="97">
        <v>0.78045300824147057</v>
      </c>
      <c r="H783" s="34">
        <f t="shared" si="27"/>
        <v>9</v>
      </c>
      <c r="I783" s="75">
        <f t="shared" si="28"/>
        <v>14</v>
      </c>
    </row>
    <row r="784" spans="1:9" x14ac:dyDescent="0.3">
      <c r="A784" s="34">
        <v>783</v>
      </c>
      <c r="B784" s="34">
        <v>571</v>
      </c>
      <c r="C784" s="34">
        <v>24</v>
      </c>
      <c r="D784" s="34">
        <v>3234</v>
      </c>
      <c r="E784" s="34">
        <v>23</v>
      </c>
      <c r="F784" s="34" t="s">
        <v>57</v>
      </c>
      <c r="G784" s="97">
        <v>0.78063095469298804</v>
      </c>
      <c r="H784" s="34">
        <f t="shared" si="27"/>
        <v>2</v>
      </c>
      <c r="I784" s="75">
        <f t="shared" si="28"/>
        <v>2</v>
      </c>
    </row>
    <row r="785" spans="1:9" x14ac:dyDescent="0.3">
      <c r="A785" s="34">
        <v>784</v>
      </c>
      <c r="B785" s="34">
        <v>764</v>
      </c>
      <c r="C785" s="34">
        <v>21</v>
      </c>
      <c r="D785" s="34">
        <v>12680</v>
      </c>
      <c r="E785" s="34">
        <v>30</v>
      </c>
      <c r="F785" s="34" t="s">
        <v>55</v>
      </c>
      <c r="G785" s="97">
        <v>0.78301385155738867</v>
      </c>
      <c r="H785" s="34">
        <f t="shared" si="27"/>
        <v>5</v>
      </c>
      <c r="I785" s="75">
        <f t="shared" si="28"/>
        <v>9</v>
      </c>
    </row>
    <row r="786" spans="1:9" x14ac:dyDescent="0.3">
      <c r="A786" s="34">
        <v>785</v>
      </c>
      <c r="B786" s="34">
        <v>690</v>
      </c>
      <c r="C786" s="34">
        <v>12</v>
      </c>
      <c r="D786" s="34">
        <v>3651</v>
      </c>
      <c r="E786" s="34">
        <v>31</v>
      </c>
      <c r="F786" s="34" t="s">
        <v>54</v>
      </c>
      <c r="G786" s="97">
        <v>0.78356339654131157</v>
      </c>
      <c r="H786" s="34">
        <f t="shared" si="27"/>
        <v>6</v>
      </c>
      <c r="I786" s="75">
        <f t="shared" si="28"/>
        <v>10</v>
      </c>
    </row>
    <row r="787" spans="1:9" x14ac:dyDescent="0.3">
      <c r="A787" s="34">
        <v>786</v>
      </c>
      <c r="B787" s="34">
        <v>407</v>
      </c>
      <c r="C787" s="34">
        <v>24</v>
      </c>
      <c r="D787" s="34">
        <v>2197</v>
      </c>
      <c r="E787" s="34">
        <v>43</v>
      </c>
      <c r="F787" s="34" t="s">
        <v>54</v>
      </c>
      <c r="G787" s="97">
        <v>0.78396549171949226</v>
      </c>
      <c r="H787" s="34">
        <f t="shared" si="27"/>
        <v>11</v>
      </c>
      <c r="I787" s="75">
        <f t="shared" si="28"/>
        <v>16</v>
      </c>
    </row>
    <row r="788" spans="1:9" x14ac:dyDescent="0.3">
      <c r="A788" s="34">
        <v>787</v>
      </c>
      <c r="B788" s="34">
        <v>59</v>
      </c>
      <c r="C788" s="34">
        <v>18</v>
      </c>
      <c r="D788" s="34">
        <v>1961</v>
      </c>
      <c r="E788" s="34">
        <v>23</v>
      </c>
      <c r="F788" s="34" t="s">
        <v>56</v>
      </c>
      <c r="G788" s="97">
        <v>0.78567046220100623</v>
      </c>
      <c r="H788" s="34">
        <f t="shared" si="27"/>
        <v>2</v>
      </c>
      <c r="I788" s="75">
        <f t="shared" si="28"/>
        <v>2</v>
      </c>
    </row>
    <row r="789" spans="1:9" x14ac:dyDescent="0.3">
      <c r="A789" s="34">
        <v>788</v>
      </c>
      <c r="B789" s="34">
        <v>293</v>
      </c>
      <c r="C789" s="34">
        <v>24</v>
      </c>
      <c r="D789" s="34">
        <v>6419</v>
      </c>
      <c r="E789" s="34">
        <v>44</v>
      </c>
      <c r="F789" s="34" t="s">
        <v>56</v>
      </c>
      <c r="G789" s="97">
        <v>0.78644436995464406</v>
      </c>
      <c r="H789" s="34">
        <f t="shared" si="27"/>
        <v>12</v>
      </c>
      <c r="I789" s="75">
        <f t="shared" si="28"/>
        <v>17</v>
      </c>
    </row>
    <row r="790" spans="1:9" x14ac:dyDescent="0.3">
      <c r="A790" s="34">
        <v>789</v>
      </c>
      <c r="B790" s="34">
        <v>442</v>
      </c>
      <c r="C790" s="34">
        <v>12</v>
      </c>
      <c r="D790" s="34">
        <v>1620</v>
      </c>
      <c r="E790" s="34">
        <v>30</v>
      </c>
      <c r="F790" s="34" t="s">
        <v>56</v>
      </c>
      <c r="G790" s="97">
        <v>0.78709147416920211</v>
      </c>
      <c r="H790" s="34">
        <f t="shared" si="27"/>
        <v>5</v>
      </c>
      <c r="I790" s="75">
        <f t="shared" si="28"/>
        <v>9</v>
      </c>
    </row>
    <row r="791" spans="1:9" x14ac:dyDescent="0.3">
      <c r="A791" s="34">
        <v>790</v>
      </c>
      <c r="B791" s="34">
        <v>829</v>
      </c>
      <c r="C791" s="34">
        <v>36</v>
      </c>
      <c r="D791" s="34">
        <v>8335</v>
      </c>
      <c r="E791" s="34">
        <v>47</v>
      </c>
      <c r="F791" s="34" t="s">
        <v>55</v>
      </c>
      <c r="G791" s="97">
        <v>0.78772664639591383</v>
      </c>
      <c r="H791" s="34">
        <f t="shared" si="27"/>
        <v>13</v>
      </c>
      <c r="I791" s="75">
        <f t="shared" si="28"/>
        <v>18</v>
      </c>
    </row>
    <row r="792" spans="1:9" x14ac:dyDescent="0.3">
      <c r="A792" s="34">
        <v>791</v>
      </c>
      <c r="B792" s="34">
        <v>157</v>
      </c>
      <c r="C792" s="34">
        <v>9</v>
      </c>
      <c r="D792" s="34">
        <v>1288</v>
      </c>
      <c r="E792" s="34">
        <v>48</v>
      </c>
      <c r="F792" s="34" t="s">
        <v>54</v>
      </c>
      <c r="G792" s="97">
        <v>0.78808752419290518</v>
      </c>
      <c r="H792" s="34">
        <f t="shared" si="27"/>
        <v>13</v>
      </c>
      <c r="I792" s="75">
        <f t="shared" si="28"/>
        <v>18</v>
      </c>
    </row>
    <row r="793" spans="1:9" x14ac:dyDescent="0.3">
      <c r="A793" s="34">
        <v>792</v>
      </c>
      <c r="B793" s="34">
        <v>503</v>
      </c>
      <c r="C793" s="34">
        <v>9</v>
      </c>
      <c r="D793" s="34">
        <v>1126</v>
      </c>
      <c r="E793" s="34">
        <v>49</v>
      </c>
      <c r="F793" s="34" t="s">
        <v>54</v>
      </c>
      <c r="G793" s="97">
        <v>0.78855470650328086</v>
      </c>
      <c r="H793" s="34">
        <f t="shared" si="27"/>
        <v>14</v>
      </c>
      <c r="I793" s="75">
        <f t="shared" si="28"/>
        <v>19</v>
      </c>
    </row>
    <row r="794" spans="1:9" x14ac:dyDescent="0.3">
      <c r="A794" s="34">
        <v>793</v>
      </c>
      <c r="B794" s="34">
        <v>939</v>
      </c>
      <c r="C794" s="34">
        <v>60</v>
      </c>
      <c r="D794" s="34">
        <v>6288</v>
      </c>
      <c r="E794" s="34">
        <v>42</v>
      </c>
      <c r="F794" s="34" t="s">
        <v>55</v>
      </c>
      <c r="G794" s="97">
        <v>0.78878792881415349</v>
      </c>
      <c r="H794" s="34">
        <f t="shared" si="27"/>
        <v>11</v>
      </c>
      <c r="I794" s="75">
        <f t="shared" si="28"/>
        <v>16</v>
      </c>
    </row>
    <row r="795" spans="1:9" x14ac:dyDescent="0.3">
      <c r="A795" s="34">
        <v>794</v>
      </c>
      <c r="B795" s="34">
        <v>273</v>
      </c>
      <c r="C795" s="34">
        <v>48</v>
      </c>
      <c r="D795" s="34">
        <v>12169</v>
      </c>
      <c r="E795" s="34">
        <v>36</v>
      </c>
      <c r="F795" s="34" t="s">
        <v>54</v>
      </c>
      <c r="G795" s="97">
        <v>0.7914716185823768</v>
      </c>
      <c r="H795" s="34">
        <f t="shared" si="27"/>
        <v>8</v>
      </c>
      <c r="I795" s="75">
        <f t="shared" si="28"/>
        <v>13</v>
      </c>
    </row>
    <row r="796" spans="1:9" x14ac:dyDescent="0.3">
      <c r="A796" s="34">
        <v>795</v>
      </c>
      <c r="B796" s="34">
        <v>755</v>
      </c>
      <c r="C796" s="34">
        <v>12</v>
      </c>
      <c r="D796" s="34">
        <v>1555</v>
      </c>
      <c r="E796" s="34">
        <v>55</v>
      </c>
      <c r="F796" s="34" t="s">
        <v>55</v>
      </c>
      <c r="G796" s="97">
        <v>0.79452284202408352</v>
      </c>
      <c r="H796" s="34">
        <f t="shared" si="27"/>
        <v>17</v>
      </c>
      <c r="I796" s="75">
        <f t="shared" si="28"/>
        <v>22</v>
      </c>
    </row>
    <row r="797" spans="1:9" x14ac:dyDescent="0.3">
      <c r="A797" s="34">
        <v>796</v>
      </c>
      <c r="B797" s="34">
        <v>719</v>
      </c>
      <c r="C797" s="34">
        <v>24</v>
      </c>
      <c r="D797" s="34">
        <v>3148</v>
      </c>
      <c r="E797" s="34">
        <v>31</v>
      </c>
      <c r="F797" s="34" t="s">
        <v>54</v>
      </c>
      <c r="G797" s="97">
        <v>0.79510585141706169</v>
      </c>
      <c r="H797" s="34">
        <f t="shared" si="27"/>
        <v>6</v>
      </c>
      <c r="I797" s="75">
        <f t="shared" si="28"/>
        <v>10</v>
      </c>
    </row>
    <row r="798" spans="1:9" x14ac:dyDescent="0.3">
      <c r="A798" s="34">
        <v>797</v>
      </c>
      <c r="B798" s="34">
        <v>596</v>
      </c>
      <c r="C798" s="34">
        <v>6</v>
      </c>
      <c r="D798" s="34">
        <v>931</v>
      </c>
      <c r="E798" s="34">
        <v>32</v>
      </c>
      <c r="F798" s="34" t="s">
        <v>57</v>
      </c>
      <c r="G798" s="97">
        <v>0.80023654618879503</v>
      </c>
      <c r="H798" s="34">
        <f t="shared" si="27"/>
        <v>6</v>
      </c>
      <c r="I798" s="75">
        <f t="shared" si="28"/>
        <v>10</v>
      </c>
    </row>
    <row r="799" spans="1:9" x14ac:dyDescent="0.3">
      <c r="A799" s="34">
        <v>798</v>
      </c>
      <c r="B799" s="34">
        <v>988</v>
      </c>
      <c r="C799" s="34">
        <v>13</v>
      </c>
      <c r="D799" s="34">
        <v>1409</v>
      </c>
      <c r="E799" s="34">
        <v>64</v>
      </c>
      <c r="F799" s="34" t="s">
        <v>56</v>
      </c>
      <c r="G799" s="97">
        <v>0.80081754075762213</v>
      </c>
      <c r="H799" s="34">
        <f t="shared" si="27"/>
        <v>21</v>
      </c>
      <c r="I799" s="75">
        <f t="shared" si="28"/>
        <v>24</v>
      </c>
    </row>
    <row r="800" spans="1:9" x14ac:dyDescent="0.3">
      <c r="A800" s="34">
        <v>799</v>
      </c>
      <c r="B800" s="34">
        <v>383</v>
      </c>
      <c r="C800" s="34">
        <v>22</v>
      </c>
      <c r="D800" s="34">
        <v>1283</v>
      </c>
      <c r="E800" s="34">
        <v>25</v>
      </c>
      <c r="F800" s="34" t="s">
        <v>56</v>
      </c>
      <c r="G800" s="97">
        <v>0.80344619329842459</v>
      </c>
      <c r="H800" s="34">
        <f t="shared" si="27"/>
        <v>3</v>
      </c>
      <c r="I800" s="75">
        <f t="shared" si="28"/>
        <v>4</v>
      </c>
    </row>
    <row r="801" spans="1:9" x14ac:dyDescent="0.3">
      <c r="A801" s="34">
        <v>800</v>
      </c>
      <c r="B801" s="34">
        <v>606</v>
      </c>
      <c r="C801" s="34">
        <v>24</v>
      </c>
      <c r="D801" s="34">
        <v>2828</v>
      </c>
      <c r="E801" s="34">
        <v>22</v>
      </c>
      <c r="F801" s="34" t="s">
        <v>54</v>
      </c>
      <c r="G801" s="97">
        <v>0.80415937118647429</v>
      </c>
      <c r="H801" s="34">
        <f t="shared" si="27"/>
        <v>2</v>
      </c>
      <c r="I801" s="75">
        <f t="shared" si="28"/>
        <v>2</v>
      </c>
    </row>
    <row r="802" spans="1:9" x14ac:dyDescent="0.3">
      <c r="A802" s="34">
        <v>801</v>
      </c>
      <c r="B802" s="34">
        <v>56</v>
      </c>
      <c r="C802" s="34">
        <v>6</v>
      </c>
      <c r="D802" s="34">
        <v>783</v>
      </c>
      <c r="E802" s="34">
        <v>26</v>
      </c>
      <c r="F802" s="34" t="s">
        <v>54</v>
      </c>
      <c r="G802" s="97">
        <v>0.80418322906251216</v>
      </c>
      <c r="H802" s="34">
        <f t="shared" si="27"/>
        <v>4</v>
      </c>
      <c r="I802" s="75">
        <f t="shared" si="28"/>
        <v>5</v>
      </c>
    </row>
    <row r="803" spans="1:9" x14ac:dyDescent="0.3">
      <c r="A803" s="34">
        <v>802</v>
      </c>
      <c r="B803" s="34">
        <v>990</v>
      </c>
      <c r="C803" s="34">
        <v>24</v>
      </c>
      <c r="D803" s="34">
        <v>1743</v>
      </c>
      <c r="E803" s="34">
        <v>48</v>
      </c>
      <c r="F803" s="34" t="s">
        <v>54</v>
      </c>
      <c r="G803" s="97">
        <v>0.80441233470755535</v>
      </c>
      <c r="H803" s="34">
        <f t="shared" si="27"/>
        <v>13</v>
      </c>
      <c r="I803" s="75">
        <f t="shared" si="28"/>
        <v>18</v>
      </c>
    </row>
    <row r="804" spans="1:9" x14ac:dyDescent="0.3">
      <c r="A804" s="34">
        <v>803</v>
      </c>
      <c r="B804" s="34">
        <v>626</v>
      </c>
      <c r="C804" s="34">
        <v>15</v>
      </c>
      <c r="D804" s="34">
        <v>1979</v>
      </c>
      <c r="E804" s="34">
        <v>35</v>
      </c>
      <c r="F804" s="34" t="s">
        <v>54</v>
      </c>
      <c r="G804" s="97">
        <v>0.80451051860459433</v>
      </c>
      <c r="H804" s="34">
        <f t="shared" si="27"/>
        <v>8</v>
      </c>
      <c r="I804" s="75">
        <f t="shared" si="28"/>
        <v>12</v>
      </c>
    </row>
    <row r="805" spans="1:9" x14ac:dyDescent="0.3">
      <c r="A805" s="34">
        <v>804</v>
      </c>
      <c r="B805" s="34">
        <v>641</v>
      </c>
      <c r="C805" s="34">
        <v>18</v>
      </c>
      <c r="D805" s="34">
        <v>750</v>
      </c>
      <c r="E805" s="34">
        <v>27</v>
      </c>
      <c r="F805" s="34" t="s">
        <v>57</v>
      </c>
      <c r="G805" s="97">
        <v>0.80585411430407472</v>
      </c>
      <c r="H805" s="34">
        <f t="shared" si="27"/>
        <v>4</v>
      </c>
      <c r="I805" s="75">
        <f t="shared" si="28"/>
        <v>6</v>
      </c>
    </row>
    <row r="806" spans="1:9" x14ac:dyDescent="0.3">
      <c r="A806" s="34">
        <v>805</v>
      </c>
      <c r="B806" s="34">
        <v>916</v>
      </c>
      <c r="C806" s="34">
        <v>48</v>
      </c>
      <c r="D806" s="34">
        <v>18424</v>
      </c>
      <c r="E806" s="34">
        <v>32</v>
      </c>
      <c r="F806" s="34" t="s">
        <v>57</v>
      </c>
      <c r="G806" s="97">
        <v>0.80642436922445182</v>
      </c>
      <c r="H806" s="34">
        <f t="shared" si="27"/>
        <v>6</v>
      </c>
      <c r="I806" s="75">
        <f t="shared" si="28"/>
        <v>10</v>
      </c>
    </row>
    <row r="807" spans="1:9" x14ac:dyDescent="0.3">
      <c r="A807" s="34">
        <v>806</v>
      </c>
      <c r="B807" s="34">
        <v>484</v>
      </c>
      <c r="C807" s="34">
        <v>15</v>
      </c>
      <c r="D807" s="34">
        <v>960</v>
      </c>
      <c r="E807" s="34">
        <v>30</v>
      </c>
      <c r="F807" s="34" t="s">
        <v>56</v>
      </c>
      <c r="G807" s="97">
        <v>0.80839250770713955</v>
      </c>
      <c r="H807" s="34">
        <f t="shared" si="27"/>
        <v>5</v>
      </c>
      <c r="I807" s="75">
        <f t="shared" si="28"/>
        <v>9</v>
      </c>
    </row>
    <row r="808" spans="1:9" x14ac:dyDescent="0.3">
      <c r="A808" s="34">
        <v>807</v>
      </c>
      <c r="B808" s="34">
        <v>820</v>
      </c>
      <c r="C808" s="34">
        <v>18</v>
      </c>
      <c r="D808" s="34">
        <v>1345</v>
      </c>
      <c r="E808" s="34">
        <v>26</v>
      </c>
      <c r="F808" s="34" t="s">
        <v>55</v>
      </c>
      <c r="G808" s="97">
        <v>0.80953230464516068</v>
      </c>
      <c r="H808" s="34">
        <f t="shared" si="27"/>
        <v>4</v>
      </c>
      <c r="I808" s="75">
        <f t="shared" si="28"/>
        <v>5</v>
      </c>
    </row>
    <row r="809" spans="1:9" x14ac:dyDescent="0.3">
      <c r="A809" s="34">
        <v>808</v>
      </c>
      <c r="B809" s="34">
        <v>3</v>
      </c>
      <c r="C809" s="34">
        <v>12</v>
      </c>
      <c r="D809" s="34">
        <v>2096</v>
      </c>
      <c r="E809" s="34">
        <v>49</v>
      </c>
      <c r="F809" s="34" t="s">
        <v>54</v>
      </c>
      <c r="G809" s="97">
        <v>0.8098227638627612</v>
      </c>
      <c r="H809" s="34">
        <f t="shared" si="27"/>
        <v>14</v>
      </c>
      <c r="I809" s="75">
        <f t="shared" si="28"/>
        <v>19</v>
      </c>
    </row>
    <row r="810" spans="1:9" x14ac:dyDescent="0.3">
      <c r="A810" s="34">
        <v>809</v>
      </c>
      <c r="B810" s="34">
        <v>271</v>
      </c>
      <c r="C810" s="34">
        <v>18</v>
      </c>
      <c r="D810" s="34">
        <v>2662</v>
      </c>
      <c r="E810" s="34">
        <v>32</v>
      </c>
      <c r="F810" s="34" t="s">
        <v>54</v>
      </c>
      <c r="G810" s="97">
        <v>0.80988490352452258</v>
      </c>
      <c r="H810" s="34">
        <f t="shared" si="27"/>
        <v>6</v>
      </c>
      <c r="I810" s="75">
        <f t="shared" si="28"/>
        <v>10</v>
      </c>
    </row>
    <row r="811" spans="1:9" x14ac:dyDescent="0.3">
      <c r="A811" s="34">
        <v>810</v>
      </c>
      <c r="B811" s="34">
        <v>530</v>
      </c>
      <c r="C811" s="34">
        <v>6</v>
      </c>
      <c r="D811" s="34">
        <v>662</v>
      </c>
      <c r="E811" s="34">
        <v>41</v>
      </c>
      <c r="F811" s="34" t="s">
        <v>54</v>
      </c>
      <c r="G811" s="97">
        <v>0.81048095920089469</v>
      </c>
      <c r="H811" s="34">
        <f t="shared" si="27"/>
        <v>10</v>
      </c>
      <c r="I811" s="75">
        <f t="shared" si="28"/>
        <v>15</v>
      </c>
    </row>
    <row r="812" spans="1:9" x14ac:dyDescent="0.3">
      <c r="A812" s="34">
        <v>811</v>
      </c>
      <c r="B812" s="34">
        <v>217</v>
      </c>
      <c r="C812" s="34">
        <v>18</v>
      </c>
      <c r="D812" s="34">
        <v>3104</v>
      </c>
      <c r="E812" s="34">
        <v>31</v>
      </c>
      <c r="F812" s="34" t="s">
        <v>54</v>
      </c>
      <c r="G812" s="97">
        <v>0.81127971236462082</v>
      </c>
      <c r="H812" s="34">
        <f t="shared" si="27"/>
        <v>6</v>
      </c>
      <c r="I812" s="75">
        <f t="shared" si="28"/>
        <v>10</v>
      </c>
    </row>
    <row r="813" spans="1:9" x14ac:dyDescent="0.3">
      <c r="A813" s="34">
        <v>812</v>
      </c>
      <c r="B813" s="34">
        <v>688</v>
      </c>
      <c r="C813" s="34">
        <v>36</v>
      </c>
      <c r="D813" s="34">
        <v>2862</v>
      </c>
      <c r="E813" s="34">
        <v>30</v>
      </c>
      <c r="F813" s="34" t="s">
        <v>54</v>
      </c>
      <c r="G813" s="97">
        <v>0.81217878229023943</v>
      </c>
      <c r="H813" s="34">
        <f t="shared" si="27"/>
        <v>5</v>
      </c>
      <c r="I813" s="75">
        <f t="shared" si="28"/>
        <v>9</v>
      </c>
    </row>
    <row r="814" spans="1:9" x14ac:dyDescent="0.3">
      <c r="A814" s="34">
        <v>813</v>
      </c>
      <c r="B814" s="34">
        <v>400</v>
      </c>
      <c r="C814" s="34">
        <v>24</v>
      </c>
      <c r="D814" s="34">
        <v>1516</v>
      </c>
      <c r="E814" s="34">
        <v>43</v>
      </c>
      <c r="F814" s="34" t="s">
        <v>56</v>
      </c>
      <c r="G814" s="97">
        <v>0.81539058258908259</v>
      </c>
      <c r="H814" s="34">
        <f t="shared" si="27"/>
        <v>11</v>
      </c>
      <c r="I814" s="75">
        <f t="shared" si="28"/>
        <v>16</v>
      </c>
    </row>
    <row r="815" spans="1:9" x14ac:dyDescent="0.3">
      <c r="A815" s="34">
        <v>814</v>
      </c>
      <c r="B815" s="34">
        <v>792</v>
      </c>
      <c r="C815" s="34">
        <v>24</v>
      </c>
      <c r="D815" s="34">
        <v>6313</v>
      </c>
      <c r="E815" s="34">
        <v>41</v>
      </c>
      <c r="F815" s="34" t="s">
        <v>54</v>
      </c>
      <c r="G815" s="97">
        <v>0.81540813262387624</v>
      </c>
      <c r="H815" s="34">
        <f t="shared" si="27"/>
        <v>10</v>
      </c>
      <c r="I815" s="75">
        <f t="shared" si="28"/>
        <v>15</v>
      </c>
    </row>
    <row r="816" spans="1:9" x14ac:dyDescent="0.3">
      <c r="A816" s="34">
        <v>815</v>
      </c>
      <c r="B816" s="34">
        <v>189</v>
      </c>
      <c r="C816" s="34">
        <v>12</v>
      </c>
      <c r="D816" s="34">
        <v>674</v>
      </c>
      <c r="E816" s="34">
        <v>20</v>
      </c>
      <c r="F816" s="34" t="s">
        <v>55</v>
      </c>
      <c r="G816" s="97">
        <v>0.81542595568949716</v>
      </c>
      <c r="H816" s="34">
        <f t="shared" si="27"/>
        <v>1</v>
      </c>
      <c r="I816" s="75">
        <f t="shared" si="28"/>
        <v>1</v>
      </c>
    </row>
    <row r="817" spans="1:9" x14ac:dyDescent="0.3">
      <c r="A817" s="34">
        <v>816</v>
      </c>
      <c r="B817" s="34">
        <v>467</v>
      </c>
      <c r="C817" s="34">
        <v>24</v>
      </c>
      <c r="D817" s="34">
        <v>1659</v>
      </c>
      <c r="E817" s="34">
        <v>29</v>
      </c>
      <c r="F817" s="34" t="s">
        <v>57</v>
      </c>
      <c r="G817" s="97">
        <v>0.81573172776103509</v>
      </c>
      <c r="H817" s="34">
        <f t="shared" si="27"/>
        <v>5</v>
      </c>
      <c r="I817" s="75">
        <f t="shared" si="28"/>
        <v>8</v>
      </c>
    </row>
    <row r="818" spans="1:9" x14ac:dyDescent="0.3">
      <c r="A818" s="34">
        <v>817</v>
      </c>
      <c r="B818" s="34">
        <v>734</v>
      </c>
      <c r="C818" s="34">
        <v>24</v>
      </c>
      <c r="D818" s="34">
        <v>2603</v>
      </c>
      <c r="E818" s="34">
        <v>28</v>
      </c>
      <c r="F818" s="34" t="s">
        <v>56</v>
      </c>
      <c r="G818" s="97">
        <v>0.81627269440824812</v>
      </c>
      <c r="H818" s="34">
        <f t="shared" si="27"/>
        <v>5</v>
      </c>
      <c r="I818" s="75">
        <f t="shared" si="28"/>
        <v>7</v>
      </c>
    </row>
    <row r="819" spans="1:9" x14ac:dyDescent="0.3">
      <c r="A819" s="34">
        <v>818</v>
      </c>
      <c r="B819" s="34">
        <v>61</v>
      </c>
      <c r="C819" s="34">
        <v>9</v>
      </c>
      <c r="D819" s="34">
        <v>1391</v>
      </c>
      <c r="E819" s="34">
        <v>27</v>
      </c>
      <c r="F819" s="34" t="s">
        <v>54</v>
      </c>
      <c r="G819" s="97">
        <v>0.81656093693629095</v>
      </c>
      <c r="H819" s="34">
        <f t="shared" si="27"/>
        <v>4</v>
      </c>
      <c r="I819" s="75">
        <f t="shared" si="28"/>
        <v>6</v>
      </c>
    </row>
    <row r="820" spans="1:9" x14ac:dyDescent="0.3">
      <c r="A820" s="34">
        <v>819</v>
      </c>
      <c r="B820" s="34">
        <v>561</v>
      </c>
      <c r="C820" s="34">
        <v>24</v>
      </c>
      <c r="D820" s="34">
        <v>2964</v>
      </c>
      <c r="E820" s="34">
        <v>49</v>
      </c>
      <c r="F820" s="34" t="s">
        <v>54</v>
      </c>
      <c r="G820" s="97">
        <v>0.81682521395096597</v>
      </c>
      <c r="H820" s="34">
        <f t="shared" si="27"/>
        <v>14</v>
      </c>
      <c r="I820" s="75">
        <f t="shared" si="28"/>
        <v>19</v>
      </c>
    </row>
    <row r="821" spans="1:9" x14ac:dyDescent="0.3">
      <c r="A821" s="34">
        <v>820</v>
      </c>
      <c r="B821" s="34">
        <v>611</v>
      </c>
      <c r="C821" s="34">
        <v>12</v>
      </c>
      <c r="D821" s="34">
        <v>741</v>
      </c>
      <c r="E821" s="34">
        <v>22</v>
      </c>
      <c r="F821" s="34" t="s">
        <v>57</v>
      </c>
      <c r="G821" s="97">
        <v>0.81808665061571939</v>
      </c>
      <c r="H821" s="34">
        <f t="shared" si="27"/>
        <v>2</v>
      </c>
      <c r="I821" s="75">
        <f t="shared" si="28"/>
        <v>2</v>
      </c>
    </row>
    <row r="822" spans="1:9" x14ac:dyDescent="0.3">
      <c r="A822" s="34">
        <v>821</v>
      </c>
      <c r="B822" s="34">
        <v>947</v>
      </c>
      <c r="C822" s="34">
        <v>24</v>
      </c>
      <c r="D822" s="34">
        <v>3349</v>
      </c>
      <c r="E822" s="34">
        <v>30</v>
      </c>
      <c r="F822" s="34" t="s">
        <v>55</v>
      </c>
      <c r="G822" s="97">
        <v>0.81905332547116638</v>
      </c>
      <c r="H822" s="34">
        <f t="shared" si="27"/>
        <v>5</v>
      </c>
      <c r="I822" s="75">
        <f t="shared" si="28"/>
        <v>9</v>
      </c>
    </row>
    <row r="823" spans="1:9" x14ac:dyDescent="0.3">
      <c r="A823" s="34">
        <v>822</v>
      </c>
      <c r="B823" s="34">
        <v>4</v>
      </c>
      <c r="C823" s="34">
        <v>42</v>
      </c>
      <c r="D823" s="34">
        <v>7882</v>
      </c>
      <c r="E823" s="34">
        <v>45</v>
      </c>
      <c r="F823" s="34" t="s">
        <v>54</v>
      </c>
      <c r="G823" s="97">
        <v>0.81917385008424792</v>
      </c>
      <c r="H823" s="34">
        <f t="shared" si="27"/>
        <v>12</v>
      </c>
      <c r="I823" s="75">
        <f t="shared" si="28"/>
        <v>17</v>
      </c>
    </row>
    <row r="824" spans="1:9" x14ac:dyDescent="0.3">
      <c r="A824" s="34">
        <v>823</v>
      </c>
      <c r="B824" s="34">
        <v>569</v>
      </c>
      <c r="C824" s="34">
        <v>48</v>
      </c>
      <c r="D824" s="34">
        <v>3979</v>
      </c>
      <c r="E824" s="34">
        <v>41</v>
      </c>
      <c r="F824" s="34" t="s">
        <v>54</v>
      </c>
      <c r="G824" s="97">
        <v>0.81966447574725021</v>
      </c>
      <c r="H824" s="34">
        <f t="shared" si="27"/>
        <v>10</v>
      </c>
      <c r="I824" s="75">
        <f t="shared" si="28"/>
        <v>15</v>
      </c>
    </row>
    <row r="825" spans="1:9" x14ac:dyDescent="0.3">
      <c r="A825" s="34">
        <v>824</v>
      </c>
      <c r="B825" s="34">
        <v>382</v>
      </c>
      <c r="C825" s="34">
        <v>18</v>
      </c>
      <c r="D825" s="34">
        <v>12976</v>
      </c>
      <c r="E825" s="34">
        <v>38</v>
      </c>
      <c r="F825" s="34" t="s">
        <v>57</v>
      </c>
      <c r="G825" s="97">
        <v>0.8203745254071908</v>
      </c>
      <c r="H825" s="34">
        <f t="shared" si="27"/>
        <v>9</v>
      </c>
      <c r="I825" s="75">
        <f t="shared" si="28"/>
        <v>14</v>
      </c>
    </row>
    <row r="826" spans="1:9" x14ac:dyDescent="0.3">
      <c r="A826" s="34">
        <v>825</v>
      </c>
      <c r="B826" s="34">
        <v>242</v>
      </c>
      <c r="C826" s="34">
        <v>6</v>
      </c>
      <c r="D826" s="34">
        <v>1595</v>
      </c>
      <c r="E826" s="34">
        <v>51</v>
      </c>
      <c r="F826" s="34" t="s">
        <v>54</v>
      </c>
      <c r="G826" s="97">
        <v>0.82072493975369309</v>
      </c>
      <c r="H826" s="34">
        <f t="shared" si="27"/>
        <v>15</v>
      </c>
      <c r="I826" s="75">
        <f t="shared" si="28"/>
        <v>20</v>
      </c>
    </row>
    <row r="827" spans="1:9" x14ac:dyDescent="0.3">
      <c r="A827" s="34">
        <v>826</v>
      </c>
      <c r="B827" s="34">
        <v>787</v>
      </c>
      <c r="C827" s="34">
        <v>22</v>
      </c>
      <c r="D827" s="34">
        <v>2675</v>
      </c>
      <c r="E827" s="34">
        <v>40</v>
      </c>
      <c r="F827" s="34" t="s">
        <v>54</v>
      </c>
      <c r="G827" s="97">
        <v>0.82073795313392883</v>
      </c>
      <c r="H827" s="34">
        <f t="shared" si="27"/>
        <v>10</v>
      </c>
      <c r="I827" s="75">
        <f t="shared" si="28"/>
        <v>15</v>
      </c>
    </row>
    <row r="828" spans="1:9" x14ac:dyDescent="0.3">
      <c r="A828" s="34">
        <v>827</v>
      </c>
      <c r="B828" s="34">
        <v>405</v>
      </c>
      <c r="C828" s="34">
        <v>18</v>
      </c>
      <c r="D828" s="34">
        <v>2899</v>
      </c>
      <c r="E828" s="34">
        <v>43</v>
      </c>
      <c r="F828" s="34" t="s">
        <v>54</v>
      </c>
      <c r="G828" s="97">
        <v>0.82157289756409713</v>
      </c>
      <c r="H828" s="34">
        <f t="shared" si="27"/>
        <v>11</v>
      </c>
      <c r="I828" s="75">
        <f t="shared" si="28"/>
        <v>16</v>
      </c>
    </row>
    <row r="829" spans="1:9" x14ac:dyDescent="0.3">
      <c r="A829" s="34">
        <v>828</v>
      </c>
      <c r="B829" s="34">
        <v>377</v>
      </c>
      <c r="C829" s="34">
        <v>18</v>
      </c>
      <c r="D829" s="34">
        <v>2320</v>
      </c>
      <c r="E829" s="34">
        <v>34</v>
      </c>
      <c r="F829" s="34" t="s">
        <v>54</v>
      </c>
      <c r="G829" s="97">
        <v>0.82210214230500023</v>
      </c>
      <c r="H829" s="34">
        <f t="shared" si="27"/>
        <v>7</v>
      </c>
      <c r="I829" s="75">
        <f t="shared" si="28"/>
        <v>11</v>
      </c>
    </row>
    <row r="830" spans="1:9" x14ac:dyDescent="0.3">
      <c r="A830" s="34">
        <v>829</v>
      </c>
      <c r="B830" s="34">
        <v>174</v>
      </c>
      <c r="C830" s="34">
        <v>8</v>
      </c>
      <c r="D830" s="34">
        <v>1414</v>
      </c>
      <c r="E830" s="34">
        <v>33</v>
      </c>
      <c r="F830" s="34" t="s">
        <v>54</v>
      </c>
      <c r="G830" s="97">
        <v>0.82237100923627582</v>
      </c>
      <c r="H830" s="34">
        <f t="shared" si="27"/>
        <v>7</v>
      </c>
      <c r="I830" s="75">
        <f t="shared" si="28"/>
        <v>11</v>
      </c>
    </row>
    <row r="831" spans="1:9" x14ac:dyDescent="0.3">
      <c r="A831" s="34">
        <v>830</v>
      </c>
      <c r="B831" s="34">
        <v>702</v>
      </c>
      <c r="C831" s="34">
        <v>48</v>
      </c>
      <c r="D831" s="34">
        <v>6331</v>
      </c>
      <c r="E831" s="34">
        <v>46</v>
      </c>
      <c r="F831" s="34" t="s">
        <v>55</v>
      </c>
      <c r="G831" s="97">
        <v>0.82272029652971379</v>
      </c>
      <c r="H831" s="34">
        <f t="shared" si="27"/>
        <v>13</v>
      </c>
      <c r="I831" s="75">
        <f t="shared" si="28"/>
        <v>18</v>
      </c>
    </row>
    <row r="832" spans="1:9" x14ac:dyDescent="0.3">
      <c r="A832" s="34">
        <v>831</v>
      </c>
      <c r="B832" s="34">
        <v>349</v>
      </c>
      <c r="C832" s="34">
        <v>6</v>
      </c>
      <c r="D832" s="34">
        <v>1743</v>
      </c>
      <c r="E832" s="34">
        <v>34</v>
      </c>
      <c r="F832" s="34" t="s">
        <v>54</v>
      </c>
      <c r="G832" s="97">
        <v>0.82770532025817156</v>
      </c>
      <c r="H832" s="34">
        <f t="shared" si="27"/>
        <v>7</v>
      </c>
      <c r="I832" s="75">
        <f t="shared" si="28"/>
        <v>11</v>
      </c>
    </row>
    <row r="833" spans="1:9" x14ac:dyDescent="0.3">
      <c r="A833" s="34">
        <v>832</v>
      </c>
      <c r="B833" s="34">
        <v>261</v>
      </c>
      <c r="C833" s="34">
        <v>12</v>
      </c>
      <c r="D833" s="34">
        <v>1657</v>
      </c>
      <c r="E833" s="34">
        <v>27</v>
      </c>
      <c r="F833" s="34" t="s">
        <v>54</v>
      </c>
      <c r="G833" s="97">
        <v>0.82779307451622608</v>
      </c>
      <c r="H833" s="34">
        <f t="shared" si="27"/>
        <v>4</v>
      </c>
      <c r="I833" s="75">
        <f t="shared" si="28"/>
        <v>6</v>
      </c>
    </row>
    <row r="834" spans="1:9" x14ac:dyDescent="0.3">
      <c r="A834" s="34">
        <v>833</v>
      </c>
      <c r="B834" s="34">
        <v>418</v>
      </c>
      <c r="C834" s="34">
        <v>18</v>
      </c>
      <c r="D834" s="34">
        <v>8471</v>
      </c>
      <c r="E834" s="34">
        <v>23</v>
      </c>
      <c r="F834" s="34" t="s">
        <v>56</v>
      </c>
      <c r="G834" s="97">
        <v>0.82948124215684627</v>
      </c>
      <c r="H834" s="34">
        <f t="shared" ref="H834:H897" si="29">MATCH(E834,$O$3:$O$27,1)</f>
        <v>2</v>
      </c>
      <c r="I834" s="75">
        <f t="shared" ref="I834:I897" si="30">MATCH(E834,$U$3:$U$28,1)</f>
        <v>2</v>
      </c>
    </row>
    <row r="835" spans="1:9" x14ac:dyDescent="0.3">
      <c r="A835" s="34">
        <v>834</v>
      </c>
      <c r="B835" s="34">
        <v>115</v>
      </c>
      <c r="C835" s="34">
        <v>12</v>
      </c>
      <c r="D835" s="34">
        <v>1680</v>
      </c>
      <c r="E835" s="34">
        <v>35</v>
      </c>
      <c r="F835" s="34" t="s">
        <v>54</v>
      </c>
      <c r="G835" s="97">
        <v>0.82974243609273379</v>
      </c>
      <c r="H835" s="34">
        <f t="shared" si="29"/>
        <v>8</v>
      </c>
      <c r="I835" s="75">
        <f t="shared" si="30"/>
        <v>12</v>
      </c>
    </row>
    <row r="836" spans="1:9" x14ac:dyDescent="0.3">
      <c r="A836" s="34">
        <v>835</v>
      </c>
      <c r="B836" s="34">
        <v>49</v>
      </c>
      <c r="C836" s="34">
        <v>11</v>
      </c>
      <c r="D836" s="34">
        <v>7228</v>
      </c>
      <c r="E836" s="34">
        <v>39</v>
      </c>
      <c r="F836" s="34" t="s">
        <v>54</v>
      </c>
      <c r="G836" s="97">
        <v>0.83122582794753075</v>
      </c>
      <c r="H836" s="34">
        <f t="shared" si="29"/>
        <v>9</v>
      </c>
      <c r="I836" s="75">
        <f t="shared" si="30"/>
        <v>14</v>
      </c>
    </row>
    <row r="837" spans="1:9" x14ac:dyDescent="0.3">
      <c r="A837" s="34">
        <v>836</v>
      </c>
      <c r="B837" s="34">
        <v>646</v>
      </c>
      <c r="C837" s="34">
        <v>36</v>
      </c>
      <c r="D837" s="34">
        <v>7980</v>
      </c>
      <c r="E837" s="34">
        <v>27</v>
      </c>
      <c r="F837" s="34" t="s">
        <v>55</v>
      </c>
      <c r="G837" s="97">
        <v>0.8317788183586422</v>
      </c>
      <c r="H837" s="34">
        <f t="shared" si="29"/>
        <v>4</v>
      </c>
      <c r="I837" s="75">
        <f t="shared" si="30"/>
        <v>6</v>
      </c>
    </row>
    <row r="838" spans="1:9" x14ac:dyDescent="0.3">
      <c r="A838" s="34">
        <v>837</v>
      </c>
      <c r="B838" s="34">
        <v>317</v>
      </c>
      <c r="C838" s="34">
        <v>12</v>
      </c>
      <c r="D838" s="34">
        <v>708</v>
      </c>
      <c r="E838" s="34">
        <v>38</v>
      </c>
      <c r="F838" s="34" t="s">
        <v>54</v>
      </c>
      <c r="G838" s="97">
        <v>0.83182473524212286</v>
      </c>
      <c r="H838" s="34">
        <f t="shared" si="29"/>
        <v>9</v>
      </c>
      <c r="I838" s="75">
        <f t="shared" si="30"/>
        <v>14</v>
      </c>
    </row>
    <row r="839" spans="1:9" x14ac:dyDescent="0.3">
      <c r="A839" s="34">
        <v>838</v>
      </c>
      <c r="B839" s="34">
        <v>750</v>
      </c>
      <c r="C839" s="34">
        <v>15</v>
      </c>
      <c r="D839" s="34">
        <v>3029</v>
      </c>
      <c r="E839" s="34">
        <v>33</v>
      </c>
      <c r="F839" s="34" t="s">
        <v>54</v>
      </c>
      <c r="G839" s="97">
        <v>0.83210164124388164</v>
      </c>
      <c r="H839" s="34">
        <f t="shared" si="29"/>
        <v>7</v>
      </c>
      <c r="I839" s="75">
        <f t="shared" si="30"/>
        <v>11</v>
      </c>
    </row>
    <row r="840" spans="1:9" x14ac:dyDescent="0.3">
      <c r="A840" s="34">
        <v>839</v>
      </c>
      <c r="B840" s="34">
        <v>373</v>
      </c>
      <c r="C840" s="34">
        <v>10</v>
      </c>
      <c r="D840" s="34">
        <v>2146</v>
      </c>
      <c r="E840" s="34">
        <v>23</v>
      </c>
      <c r="F840" s="34" t="s">
        <v>56</v>
      </c>
      <c r="G840" s="97">
        <v>0.83277058474877663</v>
      </c>
      <c r="H840" s="34">
        <f t="shared" si="29"/>
        <v>2</v>
      </c>
      <c r="I840" s="75">
        <f t="shared" si="30"/>
        <v>2</v>
      </c>
    </row>
    <row r="841" spans="1:9" x14ac:dyDescent="0.3">
      <c r="A841" s="34">
        <v>840</v>
      </c>
      <c r="B841" s="34">
        <v>765</v>
      </c>
      <c r="C841" s="34">
        <v>24</v>
      </c>
      <c r="D841" s="34">
        <v>2463</v>
      </c>
      <c r="E841" s="34">
        <v>27</v>
      </c>
      <c r="F841" s="34" t="s">
        <v>54</v>
      </c>
      <c r="G841" s="97">
        <v>0.83392703185912842</v>
      </c>
      <c r="H841" s="34">
        <f t="shared" si="29"/>
        <v>4</v>
      </c>
      <c r="I841" s="75">
        <f t="shared" si="30"/>
        <v>6</v>
      </c>
    </row>
    <row r="842" spans="1:9" x14ac:dyDescent="0.3">
      <c r="A842" s="34">
        <v>841</v>
      </c>
      <c r="B842" s="34">
        <v>865</v>
      </c>
      <c r="C842" s="34">
        <v>10</v>
      </c>
      <c r="D842" s="34">
        <v>2210</v>
      </c>
      <c r="E842" s="34">
        <v>25</v>
      </c>
      <c r="F842" s="34" t="s">
        <v>55</v>
      </c>
      <c r="G842" s="97">
        <v>0.83406867516131022</v>
      </c>
      <c r="H842" s="34">
        <f t="shared" si="29"/>
        <v>3</v>
      </c>
      <c r="I842" s="75">
        <f t="shared" si="30"/>
        <v>4</v>
      </c>
    </row>
    <row r="843" spans="1:9" x14ac:dyDescent="0.3">
      <c r="A843" s="34">
        <v>842</v>
      </c>
      <c r="B843" s="34">
        <v>912</v>
      </c>
      <c r="C843" s="34">
        <v>24</v>
      </c>
      <c r="D843" s="34">
        <v>4736</v>
      </c>
      <c r="E843" s="34">
        <v>25</v>
      </c>
      <c r="F843" s="34" t="s">
        <v>57</v>
      </c>
      <c r="G843" s="97">
        <v>0.8346255725633247</v>
      </c>
      <c r="H843" s="34">
        <f t="shared" si="29"/>
        <v>3</v>
      </c>
      <c r="I843" s="75">
        <f t="shared" si="30"/>
        <v>4</v>
      </c>
    </row>
    <row r="844" spans="1:9" x14ac:dyDescent="0.3">
      <c r="A844" s="34">
        <v>843</v>
      </c>
      <c r="B844" s="34">
        <v>897</v>
      </c>
      <c r="C844" s="34">
        <v>21</v>
      </c>
      <c r="D844" s="34">
        <v>2606</v>
      </c>
      <c r="E844" s="34">
        <v>28</v>
      </c>
      <c r="F844" s="34" t="s">
        <v>56</v>
      </c>
      <c r="G844" s="97">
        <v>0.8346359603448803</v>
      </c>
      <c r="H844" s="34">
        <f t="shared" si="29"/>
        <v>5</v>
      </c>
      <c r="I844" s="75">
        <f t="shared" si="30"/>
        <v>7</v>
      </c>
    </row>
    <row r="845" spans="1:9" x14ac:dyDescent="0.3">
      <c r="A845" s="34">
        <v>844</v>
      </c>
      <c r="B845" s="34">
        <v>409</v>
      </c>
      <c r="C845" s="34">
        <v>24</v>
      </c>
      <c r="D845" s="34">
        <v>3235</v>
      </c>
      <c r="E845" s="34">
        <v>26</v>
      </c>
      <c r="F845" s="34" t="s">
        <v>54</v>
      </c>
      <c r="G845" s="97">
        <v>0.83538746598201685</v>
      </c>
      <c r="H845" s="34">
        <f t="shared" si="29"/>
        <v>4</v>
      </c>
      <c r="I845" s="75">
        <f t="shared" si="30"/>
        <v>5</v>
      </c>
    </row>
    <row r="846" spans="1:9" x14ac:dyDescent="0.3">
      <c r="A846" s="34">
        <v>845</v>
      </c>
      <c r="B846" s="34">
        <v>476</v>
      </c>
      <c r="C846" s="34">
        <v>18</v>
      </c>
      <c r="D846" s="34">
        <v>3114</v>
      </c>
      <c r="E846" s="34">
        <v>26</v>
      </c>
      <c r="F846" s="34" t="s">
        <v>57</v>
      </c>
      <c r="G846" s="97">
        <v>0.835886871949718</v>
      </c>
      <c r="H846" s="34">
        <f t="shared" si="29"/>
        <v>4</v>
      </c>
      <c r="I846" s="75">
        <f t="shared" si="30"/>
        <v>5</v>
      </c>
    </row>
    <row r="847" spans="1:9" x14ac:dyDescent="0.3">
      <c r="A847" s="34">
        <v>846</v>
      </c>
      <c r="B847" s="34">
        <v>198</v>
      </c>
      <c r="C847" s="34">
        <v>12</v>
      </c>
      <c r="D847" s="34">
        <v>951</v>
      </c>
      <c r="E847" s="34">
        <v>27</v>
      </c>
      <c r="F847" s="34" t="s">
        <v>57</v>
      </c>
      <c r="G847" s="97">
        <v>0.8362593206258192</v>
      </c>
      <c r="H847" s="34">
        <f t="shared" si="29"/>
        <v>4</v>
      </c>
      <c r="I847" s="75">
        <f t="shared" si="30"/>
        <v>6</v>
      </c>
    </row>
    <row r="848" spans="1:9" x14ac:dyDescent="0.3">
      <c r="A848" s="34">
        <v>847</v>
      </c>
      <c r="B848" s="34">
        <v>437</v>
      </c>
      <c r="C848" s="34">
        <v>6</v>
      </c>
      <c r="D848" s="34">
        <v>660</v>
      </c>
      <c r="E848" s="34">
        <v>23</v>
      </c>
      <c r="F848" s="34" t="s">
        <v>54</v>
      </c>
      <c r="G848" s="97">
        <v>0.83945361721597356</v>
      </c>
      <c r="H848" s="34">
        <f t="shared" si="29"/>
        <v>2</v>
      </c>
      <c r="I848" s="75">
        <f t="shared" si="30"/>
        <v>2</v>
      </c>
    </row>
    <row r="849" spans="1:9" x14ac:dyDescent="0.3">
      <c r="A849" s="34">
        <v>848</v>
      </c>
      <c r="B849" s="34">
        <v>724</v>
      </c>
      <c r="C849" s="34">
        <v>9</v>
      </c>
      <c r="D849" s="34">
        <v>790</v>
      </c>
      <c r="E849" s="34">
        <v>66</v>
      </c>
      <c r="F849" s="34" t="s">
        <v>56</v>
      </c>
      <c r="G849" s="97">
        <v>0.84077244303395926</v>
      </c>
      <c r="H849" s="34">
        <f t="shared" si="29"/>
        <v>21</v>
      </c>
      <c r="I849" s="75">
        <f t="shared" si="30"/>
        <v>24</v>
      </c>
    </row>
    <row r="850" spans="1:9" x14ac:dyDescent="0.3">
      <c r="A850" s="34">
        <v>849</v>
      </c>
      <c r="B850" s="34">
        <v>228</v>
      </c>
      <c r="C850" s="34">
        <v>12</v>
      </c>
      <c r="D850" s="34">
        <v>7865</v>
      </c>
      <c r="E850" s="34">
        <v>53</v>
      </c>
      <c r="F850" s="34" t="s">
        <v>55</v>
      </c>
      <c r="G850" s="97">
        <v>0.84118636715219175</v>
      </c>
      <c r="H850" s="34">
        <f t="shared" si="29"/>
        <v>16</v>
      </c>
      <c r="I850" s="75">
        <f t="shared" si="30"/>
        <v>21</v>
      </c>
    </row>
    <row r="851" spans="1:9" x14ac:dyDescent="0.3">
      <c r="A851" s="34">
        <v>850</v>
      </c>
      <c r="B851" s="34">
        <v>423</v>
      </c>
      <c r="C851" s="34">
        <v>12</v>
      </c>
      <c r="D851" s="34">
        <v>958</v>
      </c>
      <c r="E851" s="34">
        <v>47</v>
      </c>
      <c r="F851" s="34" t="s">
        <v>54</v>
      </c>
      <c r="G851" s="97">
        <v>0.84250020328864894</v>
      </c>
      <c r="H851" s="34">
        <f t="shared" si="29"/>
        <v>13</v>
      </c>
      <c r="I851" s="75">
        <f t="shared" si="30"/>
        <v>18</v>
      </c>
    </row>
    <row r="852" spans="1:9" x14ac:dyDescent="0.3">
      <c r="A852" s="34">
        <v>851</v>
      </c>
      <c r="B852" s="34">
        <v>381</v>
      </c>
      <c r="C852" s="34">
        <v>20</v>
      </c>
      <c r="D852" s="34">
        <v>2212</v>
      </c>
      <c r="E852" s="34">
        <v>39</v>
      </c>
      <c r="F852" s="34" t="s">
        <v>54</v>
      </c>
      <c r="G852" s="97">
        <v>0.84540217531153983</v>
      </c>
      <c r="H852" s="34">
        <f t="shared" si="29"/>
        <v>9</v>
      </c>
      <c r="I852" s="75">
        <f t="shared" si="30"/>
        <v>14</v>
      </c>
    </row>
    <row r="853" spans="1:9" x14ac:dyDescent="0.3">
      <c r="A853" s="34">
        <v>852</v>
      </c>
      <c r="B853" s="34">
        <v>965</v>
      </c>
      <c r="C853" s="34">
        <v>6</v>
      </c>
      <c r="D853" s="34">
        <v>454</v>
      </c>
      <c r="E853" s="34">
        <v>22</v>
      </c>
      <c r="F853" s="34" t="s">
        <v>54</v>
      </c>
      <c r="G853" s="97">
        <v>0.8486307276231595</v>
      </c>
      <c r="H853" s="34">
        <f t="shared" si="29"/>
        <v>2</v>
      </c>
      <c r="I853" s="75">
        <f t="shared" si="30"/>
        <v>2</v>
      </c>
    </row>
    <row r="854" spans="1:9" x14ac:dyDescent="0.3">
      <c r="A854" s="34">
        <v>853</v>
      </c>
      <c r="B854" s="34">
        <v>350</v>
      </c>
      <c r="C854" s="34">
        <v>9</v>
      </c>
      <c r="D854" s="34">
        <v>1136</v>
      </c>
      <c r="E854" s="34">
        <v>32</v>
      </c>
      <c r="F854" s="34" t="s">
        <v>55</v>
      </c>
      <c r="G854" s="97">
        <v>0.85005407115946752</v>
      </c>
      <c r="H854" s="34">
        <f t="shared" si="29"/>
        <v>6</v>
      </c>
      <c r="I854" s="75">
        <f t="shared" si="30"/>
        <v>10</v>
      </c>
    </row>
    <row r="855" spans="1:9" x14ac:dyDescent="0.3">
      <c r="A855" s="34">
        <v>854</v>
      </c>
      <c r="B855" s="34">
        <v>372</v>
      </c>
      <c r="C855" s="34">
        <v>18</v>
      </c>
      <c r="D855" s="34">
        <v>6070</v>
      </c>
      <c r="E855" s="34">
        <v>33</v>
      </c>
      <c r="F855" s="34" t="s">
        <v>54</v>
      </c>
      <c r="G855" s="97">
        <v>0.85036501940363007</v>
      </c>
      <c r="H855" s="34">
        <f t="shared" si="29"/>
        <v>7</v>
      </c>
      <c r="I855" s="75">
        <f t="shared" si="30"/>
        <v>11</v>
      </c>
    </row>
    <row r="856" spans="1:9" x14ac:dyDescent="0.3">
      <c r="A856" s="34">
        <v>855</v>
      </c>
      <c r="B856" s="34">
        <v>926</v>
      </c>
      <c r="C856" s="34">
        <v>12</v>
      </c>
      <c r="D856" s="34">
        <v>697</v>
      </c>
      <c r="E856" s="34">
        <v>46</v>
      </c>
      <c r="F856" s="34" t="s">
        <v>55</v>
      </c>
      <c r="G856" s="97">
        <v>0.85185018881826191</v>
      </c>
      <c r="H856" s="34">
        <f t="shared" si="29"/>
        <v>13</v>
      </c>
      <c r="I856" s="75">
        <f t="shared" si="30"/>
        <v>18</v>
      </c>
    </row>
    <row r="857" spans="1:9" x14ac:dyDescent="0.3">
      <c r="A857" s="34">
        <v>856</v>
      </c>
      <c r="B857" s="34">
        <v>977</v>
      </c>
      <c r="C857" s="34">
        <v>6</v>
      </c>
      <c r="D857" s="34">
        <v>753</v>
      </c>
      <c r="E857" s="34">
        <v>64</v>
      </c>
      <c r="F857" s="34" t="s">
        <v>56</v>
      </c>
      <c r="G857" s="97">
        <v>0.85304859815344758</v>
      </c>
      <c r="H857" s="34">
        <f t="shared" si="29"/>
        <v>21</v>
      </c>
      <c r="I857" s="75">
        <f t="shared" si="30"/>
        <v>24</v>
      </c>
    </row>
    <row r="858" spans="1:9" x14ac:dyDescent="0.3">
      <c r="A858" s="34">
        <v>857</v>
      </c>
      <c r="B858" s="34">
        <v>649</v>
      </c>
      <c r="C858" s="34">
        <v>24</v>
      </c>
      <c r="D858" s="34">
        <v>947</v>
      </c>
      <c r="E858" s="34">
        <v>38</v>
      </c>
      <c r="F858" s="34" t="s">
        <v>55</v>
      </c>
      <c r="G858" s="97">
        <v>0.85404893003764404</v>
      </c>
      <c r="H858" s="34">
        <f t="shared" si="29"/>
        <v>9</v>
      </c>
      <c r="I858" s="75">
        <f t="shared" si="30"/>
        <v>14</v>
      </c>
    </row>
    <row r="859" spans="1:9" x14ac:dyDescent="0.3">
      <c r="A859" s="34">
        <v>858</v>
      </c>
      <c r="B859" s="34">
        <v>37</v>
      </c>
      <c r="C859" s="34">
        <v>48</v>
      </c>
      <c r="D859" s="34">
        <v>6110</v>
      </c>
      <c r="E859" s="34">
        <v>31</v>
      </c>
      <c r="F859" s="34" t="s">
        <v>54</v>
      </c>
      <c r="G859" s="97">
        <v>0.855910891928781</v>
      </c>
      <c r="H859" s="34">
        <f t="shared" si="29"/>
        <v>6</v>
      </c>
      <c r="I859" s="75">
        <f t="shared" si="30"/>
        <v>10</v>
      </c>
    </row>
    <row r="860" spans="1:9" x14ac:dyDescent="0.3">
      <c r="A860" s="34">
        <v>859</v>
      </c>
      <c r="B860" s="34">
        <v>82</v>
      </c>
      <c r="C860" s="34">
        <v>15</v>
      </c>
      <c r="D860" s="34">
        <v>1213</v>
      </c>
      <c r="E860" s="34">
        <v>47</v>
      </c>
      <c r="F860" s="34" t="s">
        <v>54</v>
      </c>
      <c r="G860" s="97">
        <v>0.85741290393008884</v>
      </c>
      <c r="H860" s="34">
        <f t="shared" si="29"/>
        <v>13</v>
      </c>
      <c r="I860" s="75">
        <f t="shared" si="30"/>
        <v>18</v>
      </c>
    </row>
    <row r="861" spans="1:9" x14ac:dyDescent="0.3">
      <c r="A861" s="34">
        <v>860</v>
      </c>
      <c r="B861" s="34">
        <v>150</v>
      </c>
      <c r="C861" s="34">
        <v>18</v>
      </c>
      <c r="D861" s="34">
        <v>1582</v>
      </c>
      <c r="E861" s="34">
        <v>46</v>
      </c>
      <c r="F861" s="34" t="s">
        <v>54</v>
      </c>
      <c r="G861" s="97">
        <v>0.85918539684371231</v>
      </c>
      <c r="H861" s="34">
        <f t="shared" si="29"/>
        <v>13</v>
      </c>
      <c r="I861" s="75">
        <f t="shared" si="30"/>
        <v>18</v>
      </c>
    </row>
    <row r="862" spans="1:9" x14ac:dyDescent="0.3">
      <c r="A862" s="34">
        <v>861</v>
      </c>
      <c r="B862" s="34">
        <v>197</v>
      </c>
      <c r="C862" s="34">
        <v>6</v>
      </c>
      <c r="D862" s="34">
        <v>1382</v>
      </c>
      <c r="E862" s="34">
        <v>28</v>
      </c>
      <c r="F862" s="34" t="s">
        <v>56</v>
      </c>
      <c r="G862" s="97">
        <v>0.85918551610109462</v>
      </c>
      <c r="H862" s="34">
        <f t="shared" si="29"/>
        <v>5</v>
      </c>
      <c r="I862" s="75">
        <f t="shared" si="30"/>
        <v>7</v>
      </c>
    </row>
    <row r="863" spans="1:9" x14ac:dyDescent="0.3">
      <c r="A863" s="34">
        <v>862</v>
      </c>
      <c r="B863" s="34">
        <v>134</v>
      </c>
      <c r="C863" s="34">
        <v>18</v>
      </c>
      <c r="D863" s="34">
        <v>1984</v>
      </c>
      <c r="E863" s="34">
        <v>47</v>
      </c>
      <c r="F863" s="34" t="s">
        <v>54</v>
      </c>
      <c r="G863" s="97">
        <v>0.86064769799252971</v>
      </c>
      <c r="H863" s="34">
        <f t="shared" si="29"/>
        <v>13</v>
      </c>
      <c r="I863" s="75">
        <f t="shared" si="30"/>
        <v>18</v>
      </c>
    </row>
    <row r="864" spans="1:9" x14ac:dyDescent="0.3">
      <c r="A864" s="34">
        <v>863</v>
      </c>
      <c r="B864" s="34">
        <v>131</v>
      </c>
      <c r="C864" s="34">
        <v>48</v>
      </c>
      <c r="D864" s="34">
        <v>8487</v>
      </c>
      <c r="E864" s="34">
        <v>24</v>
      </c>
      <c r="F864" s="34" t="s">
        <v>56</v>
      </c>
      <c r="G864" s="97">
        <v>0.86276091395541232</v>
      </c>
      <c r="H864" s="34">
        <f t="shared" si="29"/>
        <v>3</v>
      </c>
      <c r="I864" s="75">
        <f t="shared" si="30"/>
        <v>3</v>
      </c>
    </row>
    <row r="865" spans="1:9" x14ac:dyDescent="0.3">
      <c r="A865" s="34">
        <v>864</v>
      </c>
      <c r="B865" s="34">
        <v>434</v>
      </c>
      <c r="C865" s="34">
        <v>24</v>
      </c>
      <c r="D865" s="34">
        <v>2058</v>
      </c>
      <c r="E865" s="34">
        <v>33</v>
      </c>
      <c r="F865" s="34" t="s">
        <v>54</v>
      </c>
      <c r="G865" s="97">
        <v>0.86475970844286476</v>
      </c>
      <c r="H865" s="34">
        <f t="shared" si="29"/>
        <v>7</v>
      </c>
      <c r="I865" s="75">
        <f t="shared" si="30"/>
        <v>11</v>
      </c>
    </row>
    <row r="866" spans="1:9" x14ac:dyDescent="0.3">
      <c r="A866" s="34">
        <v>865</v>
      </c>
      <c r="B866" s="34">
        <v>122</v>
      </c>
      <c r="C866" s="34">
        <v>24</v>
      </c>
      <c r="D866" s="34">
        <v>3868</v>
      </c>
      <c r="E866" s="34">
        <v>41</v>
      </c>
      <c r="F866" s="34" t="s">
        <v>56</v>
      </c>
      <c r="G866" s="97">
        <v>0.8648728729942019</v>
      </c>
      <c r="H866" s="34">
        <f t="shared" si="29"/>
        <v>10</v>
      </c>
      <c r="I866" s="75">
        <f t="shared" si="30"/>
        <v>15</v>
      </c>
    </row>
    <row r="867" spans="1:9" x14ac:dyDescent="0.3">
      <c r="A867" s="34">
        <v>866</v>
      </c>
      <c r="B867" s="34">
        <v>535</v>
      </c>
      <c r="C867" s="34">
        <v>24</v>
      </c>
      <c r="D867" s="34">
        <v>3105</v>
      </c>
      <c r="E867" s="34">
        <v>25</v>
      </c>
      <c r="F867" s="34" t="s">
        <v>54</v>
      </c>
      <c r="G867" s="97">
        <v>0.86842961009616093</v>
      </c>
      <c r="H867" s="34">
        <f t="shared" si="29"/>
        <v>3</v>
      </c>
      <c r="I867" s="75">
        <f t="shared" si="30"/>
        <v>4</v>
      </c>
    </row>
    <row r="868" spans="1:9" x14ac:dyDescent="0.3">
      <c r="A868" s="34">
        <v>867</v>
      </c>
      <c r="B868" s="34">
        <v>438</v>
      </c>
      <c r="C868" s="34">
        <v>24</v>
      </c>
      <c r="D868" s="34">
        <v>1287</v>
      </c>
      <c r="E868" s="34">
        <v>37</v>
      </c>
      <c r="F868" s="34" t="s">
        <v>56</v>
      </c>
      <c r="G868" s="97">
        <v>0.86898078130334733</v>
      </c>
      <c r="H868" s="34">
        <f t="shared" si="29"/>
        <v>9</v>
      </c>
      <c r="I868" s="75">
        <f t="shared" si="30"/>
        <v>14</v>
      </c>
    </row>
    <row r="869" spans="1:9" x14ac:dyDescent="0.3">
      <c r="A869" s="34">
        <v>868</v>
      </c>
      <c r="B869" s="34">
        <v>444</v>
      </c>
      <c r="C869" s="34">
        <v>12</v>
      </c>
      <c r="D869" s="34">
        <v>719</v>
      </c>
      <c r="E869" s="34">
        <v>41</v>
      </c>
      <c r="F869" s="34" t="s">
        <v>55</v>
      </c>
      <c r="G869" s="97">
        <v>0.87305457432288769</v>
      </c>
      <c r="H869" s="34">
        <f t="shared" si="29"/>
        <v>10</v>
      </c>
      <c r="I869" s="75">
        <f t="shared" si="30"/>
        <v>15</v>
      </c>
    </row>
    <row r="870" spans="1:9" x14ac:dyDescent="0.3">
      <c r="A870" s="34">
        <v>869</v>
      </c>
      <c r="B870" s="34">
        <v>693</v>
      </c>
      <c r="C870" s="34">
        <v>24</v>
      </c>
      <c r="D870" s="34">
        <v>2896</v>
      </c>
      <c r="E870" s="34">
        <v>29</v>
      </c>
      <c r="F870" s="34" t="s">
        <v>54</v>
      </c>
      <c r="G870" s="97">
        <v>0.87365598831721614</v>
      </c>
      <c r="H870" s="34">
        <f t="shared" si="29"/>
        <v>5</v>
      </c>
      <c r="I870" s="75">
        <f t="shared" si="30"/>
        <v>8</v>
      </c>
    </row>
    <row r="871" spans="1:9" x14ac:dyDescent="0.3">
      <c r="A871" s="34">
        <v>870</v>
      </c>
      <c r="B871" s="34">
        <v>85</v>
      </c>
      <c r="C871" s="34">
        <v>10</v>
      </c>
      <c r="D871" s="34">
        <v>2315</v>
      </c>
      <c r="E871" s="34">
        <v>52</v>
      </c>
      <c r="F871" s="34" t="s">
        <v>54</v>
      </c>
      <c r="G871" s="97">
        <v>0.87501971253701005</v>
      </c>
      <c r="H871" s="34">
        <f t="shared" si="29"/>
        <v>15</v>
      </c>
      <c r="I871" s="75">
        <f t="shared" si="30"/>
        <v>20</v>
      </c>
    </row>
    <row r="872" spans="1:9" x14ac:dyDescent="0.3">
      <c r="A872" s="34">
        <v>871</v>
      </c>
      <c r="B872" s="34">
        <v>799</v>
      </c>
      <c r="C872" s="34">
        <v>24</v>
      </c>
      <c r="D872" s="34">
        <v>717</v>
      </c>
      <c r="E872" s="34">
        <v>54</v>
      </c>
      <c r="F872" s="34" t="s">
        <v>54</v>
      </c>
      <c r="G872" s="97">
        <v>0.8757713901428984</v>
      </c>
      <c r="H872" s="34">
        <f t="shared" si="29"/>
        <v>16</v>
      </c>
      <c r="I872" s="75">
        <f t="shared" si="30"/>
        <v>21</v>
      </c>
    </row>
    <row r="873" spans="1:9" x14ac:dyDescent="0.3">
      <c r="A873" s="34">
        <v>872</v>
      </c>
      <c r="B873" s="34">
        <v>514</v>
      </c>
      <c r="C873" s="34">
        <v>12</v>
      </c>
      <c r="D873" s="34">
        <v>585</v>
      </c>
      <c r="E873" s="34">
        <v>20</v>
      </c>
      <c r="F873" s="34" t="s">
        <v>54</v>
      </c>
      <c r="G873" s="97">
        <v>0.87667294629786263</v>
      </c>
      <c r="H873" s="34">
        <f t="shared" si="29"/>
        <v>1</v>
      </c>
      <c r="I873" s="75">
        <f t="shared" si="30"/>
        <v>1</v>
      </c>
    </row>
    <row r="874" spans="1:9" x14ac:dyDescent="0.3">
      <c r="A874" s="34">
        <v>873</v>
      </c>
      <c r="B874" s="34">
        <v>6</v>
      </c>
      <c r="C874" s="34">
        <v>36</v>
      </c>
      <c r="D874" s="34">
        <v>9055</v>
      </c>
      <c r="E874" s="34">
        <v>35</v>
      </c>
      <c r="F874" s="34" t="s">
        <v>54</v>
      </c>
      <c r="G874" s="97">
        <v>0.8768029749458901</v>
      </c>
      <c r="H874" s="34">
        <f t="shared" si="29"/>
        <v>8</v>
      </c>
      <c r="I874" s="75">
        <f t="shared" si="30"/>
        <v>12</v>
      </c>
    </row>
    <row r="875" spans="1:9" x14ac:dyDescent="0.3">
      <c r="A875" s="34">
        <v>874</v>
      </c>
      <c r="B875" s="34">
        <v>981</v>
      </c>
      <c r="C875" s="34">
        <v>30</v>
      </c>
      <c r="D875" s="34">
        <v>8386</v>
      </c>
      <c r="E875" s="34">
        <v>49</v>
      </c>
      <c r="F875" s="34" t="s">
        <v>55</v>
      </c>
      <c r="G875" s="97">
        <v>0.87884192573311204</v>
      </c>
      <c r="H875" s="34">
        <f t="shared" si="29"/>
        <v>14</v>
      </c>
      <c r="I875" s="75">
        <f t="shared" si="30"/>
        <v>19</v>
      </c>
    </row>
    <row r="876" spans="1:9" x14ac:dyDescent="0.3">
      <c r="A876" s="34">
        <v>875</v>
      </c>
      <c r="B876" s="34">
        <v>528</v>
      </c>
      <c r="C876" s="34">
        <v>4</v>
      </c>
      <c r="D876" s="34">
        <v>1503</v>
      </c>
      <c r="E876" s="34">
        <v>42</v>
      </c>
      <c r="F876" s="34" t="s">
        <v>54</v>
      </c>
      <c r="G876" s="97">
        <v>0.88068904419774208</v>
      </c>
      <c r="H876" s="34">
        <f t="shared" si="29"/>
        <v>11</v>
      </c>
      <c r="I876" s="75">
        <f t="shared" si="30"/>
        <v>16</v>
      </c>
    </row>
    <row r="877" spans="1:9" x14ac:dyDescent="0.3">
      <c r="A877" s="34">
        <v>876</v>
      </c>
      <c r="B877" s="34">
        <v>98</v>
      </c>
      <c r="C877" s="34">
        <v>18</v>
      </c>
      <c r="D877" s="34">
        <v>2622</v>
      </c>
      <c r="E877" s="34">
        <v>34</v>
      </c>
      <c r="F877" s="34" t="s">
        <v>54</v>
      </c>
      <c r="G877" s="97">
        <v>0.88088630332349582</v>
      </c>
      <c r="H877" s="34">
        <f t="shared" si="29"/>
        <v>7</v>
      </c>
      <c r="I877" s="75">
        <f t="shared" si="30"/>
        <v>11</v>
      </c>
    </row>
    <row r="878" spans="1:9" x14ac:dyDescent="0.3">
      <c r="A878" s="34">
        <v>877</v>
      </c>
      <c r="B878" s="34">
        <v>594</v>
      </c>
      <c r="C878" s="34">
        <v>24</v>
      </c>
      <c r="D878" s="34">
        <v>2718</v>
      </c>
      <c r="E878" s="34">
        <v>20</v>
      </c>
      <c r="F878" s="34" t="s">
        <v>57</v>
      </c>
      <c r="G878" s="97">
        <v>0.88131967463222893</v>
      </c>
      <c r="H878" s="34">
        <f t="shared" si="29"/>
        <v>1</v>
      </c>
      <c r="I878" s="75">
        <f t="shared" si="30"/>
        <v>1</v>
      </c>
    </row>
    <row r="879" spans="1:9" x14ac:dyDescent="0.3">
      <c r="A879" s="34">
        <v>878</v>
      </c>
      <c r="B879" s="34">
        <v>123</v>
      </c>
      <c r="C879" s="34">
        <v>12</v>
      </c>
      <c r="D879" s="34">
        <v>1768</v>
      </c>
      <c r="E879" s="34">
        <v>24</v>
      </c>
      <c r="F879" s="34" t="s">
        <v>54</v>
      </c>
      <c r="G879" s="97">
        <v>0.8816397721771414</v>
      </c>
      <c r="H879" s="34">
        <f t="shared" si="29"/>
        <v>3</v>
      </c>
      <c r="I879" s="75">
        <f t="shared" si="30"/>
        <v>3</v>
      </c>
    </row>
    <row r="880" spans="1:9" x14ac:dyDescent="0.3">
      <c r="A880" s="34">
        <v>879</v>
      </c>
      <c r="B880" s="34">
        <v>378</v>
      </c>
      <c r="C880" s="34">
        <v>7</v>
      </c>
      <c r="D880" s="34">
        <v>846</v>
      </c>
      <c r="E880" s="34">
        <v>36</v>
      </c>
      <c r="F880" s="34" t="s">
        <v>54</v>
      </c>
      <c r="G880" s="97">
        <v>0.88241718555782234</v>
      </c>
      <c r="H880" s="34">
        <f t="shared" si="29"/>
        <v>8</v>
      </c>
      <c r="I880" s="75">
        <f t="shared" si="30"/>
        <v>13</v>
      </c>
    </row>
    <row r="881" spans="1:9" x14ac:dyDescent="0.3">
      <c r="A881" s="34">
        <v>880</v>
      </c>
      <c r="B881" s="34">
        <v>181</v>
      </c>
      <c r="C881" s="34">
        <v>36</v>
      </c>
      <c r="D881" s="34">
        <v>9572</v>
      </c>
      <c r="E881" s="34">
        <v>28</v>
      </c>
      <c r="F881" s="34" t="s">
        <v>55</v>
      </c>
      <c r="G881" s="97">
        <v>0.88310571886700728</v>
      </c>
      <c r="H881" s="34">
        <f t="shared" si="29"/>
        <v>5</v>
      </c>
      <c r="I881" s="75">
        <f t="shared" si="30"/>
        <v>7</v>
      </c>
    </row>
    <row r="882" spans="1:9" x14ac:dyDescent="0.3">
      <c r="A882" s="34">
        <v>881</v>
      </c>
      <c r="B882" s="34">
        <v>915</v>
      </c>
      <c r="C882" s="34">
        <v>24</v>
      </c>
      <c r="D882" s="34">
        <v>3161</v>
      </c>
      <c r="E882" s="34">
        <v>31</v>
      </c>
      <c r="F882" s="34" t="s">
        <v>55</v>
      </c>
      <c r="G882" s="97">
        <v>0.88333666742817507</v>
      </c>
      <c r="H882" s="34">
        <f t="shared" si="29"/>
        <v>6</v>
      </c>
      <c r="I882" s="75">
        <f t="shared" si="30"/>
        <v>10</v>
      </c>
    </row>
    <row r="883" spans="1:9" x14ac:dyDescent="0.3">
      <c r="A883" s="34">
        <v>882</v>
      </c>
      <c r="B883" s="34">
        <v>42</v>
      </c>
      <c r="C883" s="34">
        <v>12</v>
      </c>
      <c r="D883" s="34">
        <v>1158</v>
      </c>
      <c r="E883" s="34">
        <v>26</v>
      </c>
      <c r="F883" s="34" t="s">
        <v>54</v>
      </c>
      <c r="G883" s="97">
        <v>0.88369886826939437</v>
      </c>
      <c r="H883" s="34">
        <f t="shared" si="29"/>
        <v>4</v>
      </c>
      <c r="I883" s="75">
        <f t="shared" si="30"/>
        <v>5</v>
      </c>
    </row>
    <row r="884" spans="1:9" x14ac:dyDescent="0.3">
      <c r="A884" s="34">
        <v>883</v>
      </c>
      <c r="B884" s="34">
        <v>555</v>
      </c>
      <c r="C884" s="34">
        <v>9</v>
      </c>
      <c r="D884" s="34">
        <v>1199</v>
      </c>
      <c r="E884" s="34">
        <v>67</v>
      </c>
      <c r="F884" s="34" t="s">
        <v>56</v>
      </c>
      <c r="G884" s="97">
        <v>0.88489829035659417</v>
      </c>
      <c r="H884" s="34">
        <f t="shared" si="29"/>
        <v>22</v>
      </c>
      <c r="I884" s="75">
        <f t="shared" si="30"/>
        <v>25</v>
      </c>
    </row>
    <row r="885" spans="1:9" x14ac:dyDescent="0.3">
      <c r="A885" s="34">
        <v>884</v>
      </c>
      <c r="B885" s="34">
        <v>979</v>
      </c>
      <c r="C885" s="34">
        <v>24</v>
      </c>
      <c r="D885" s="34">
        <v>2538</v>
      </c>
      <c r="E885" s="34">
        <v>47</v>
      </c>
      <c r="F885" s="34" t="s">
        <v>55</v>
      </c>
      <c r="G885" s="97">
        <v>0.88603291213191504</v>
      </c>
      <c r="H885" s="34">
        <f t="shared" si="29"/>
        <v>13</v>
      </c>
      <c r="I885" s="75">
        <f t="shared" si="30"/>
        <v>18</v>
      </c>
    </row>
    <row r="886" spans="1:9" x14ac:dyDescent="0.3">
      <c r="A886" s="34">
        <v>885</v>
      </c>
      <c r="B886" s="34">
        <v>772</v>
      </c>
      <c r="C886" s="34">
        <v>36</v>
      </c>
      <c r="D886" s="34">
        <v>8065</v>
      </c>
      <c r="E886" s="34">
        <v>25</v>
      </c>
      <c r="F886" s="34" t="s">
        <v>57</v>
      </c>
      <c r="G886" s="97">
        <v>0.88609819909977272</v>
      </c>
      <c r="H886" s="34">
        <f t="shared" si="29"/>
        <v>3</v>
      </c>
      <c r="I886" s="75">
        <f t="shared" si="30"/>
        <v>4</v>
      </c>
    </row>
    <row r="887" spans="1:9" x14ac:dyDescent="0.3">
      <c r="A887" s="34">
        <v>886</v>
      </c>
      <c r="B887" s="34">
        <v>686</v>
      </c>
      <c r="C887" s="34">
        <v>60</v>
      </c>
      <c r="D887" s="34">
        <v>6527</v>
      </c>
      <c r="E887" s="34">
        <v>34</v>
      </c>
      <c r="F887" s="34" t="s">
        <v>54</v>
      </c>
      <c r="G887" s="97">
        <v>0.88939776628416822</v>
      </c>
      <c r="H887" s="34">
        <f t="shared" si="29"/>
        <v>7</v>
      </c>
      <c r="I887" s="75">
        <f t="shared" si="30"/>
        <v>11</v>
      </c>
    </row>
    <row r="888" spans="1:9" x14ac:dyDescent="0.3">
      <c r="A888" s="34">
        <v>887</v>
      </c>
      <c r="B888" s="34">
        <v>553</v>
      </c>
      <c r="C888" s="34">
        <v>48</v>
      </c>
      <c r="D888" s="34">
        <v>6999</v>
      </c>
      <c r="E888" s="34">
        <v>34</v>
      </c>
      <c r="F888" s="34" t="s">
        <v>55</v>
      </c>
      <c r="G888" s="97">
        <v>0.88980121806903856</v>
      </c>
      <c r="H888" s="34">
        <f t="shared" si="29"/>
        <v>7</v>
      </c>
      <c r="I888" s="75">
        <f t="shared" si="30"/>
        <v>11</v>
      </c>
    </row>
    <row r="889" spans="1:9" x14ac:dyDescent="0.3">
      <c r="A889" s="34">
        <v>888</v>
      </c>
      <c r="B889" s="34">
        <v>284</v>
      </c>
      <c r="C889" s="34">
        <v>15</v>
      </c>
      <c r="D889" s="34">
        <v>1520</v>
      </c>
      <c r="E889" s="34">
        <v>63</v>
      </c>
      <c r="F889" s="34" t="s">
        <v>54</v>
      </c>
      <c r="G889" s="97">
        <v>0.89124525487935335</v>
      </c>
      <c r="H889" s="34">
        <f t="shared" si="29"/>
        <v>20</v>
      </c>
      <c r="I889" s="75">
        <f t="shared" si="30"/>
        <v>24</v>
      </c>
    </row>
    <row r="890" spans="1:9" x14ac:dyDescent="0.3">
      <c r="A890" s="34">
        <v>889</v>
      </c>
      <c r="B890" s="34">
        <v>462</v>
      </c>
      <c r="C890" s="34">
        <v>15</v>
      </c>
      <c r="D890" s="34">
        <v>1721</v>
      </c>
      <c r="E890" s="34">
        <v>36</v>
      </c>
      <c r="F890" s="34" t="s">
        <v>54</v>
      </c>
      <c r="G890" s="97">
        <v>0.89258393472653375</v>
      </c>
      <c r="H890" s="34">
        <f t="shared" si="29"/>
        <v>8</v>
      </c>
      <c r="I890" s="75">
        <f t="shared" si="30"/>
        <v>13</v>
      </c>
    </row>
    <row r="891" spans="1:9" x14ac:dyDescent="0.3">
      <c r="A891" s="34">
        <v>890</v>
      </c>
      <c r="B891" s="34">
        <v>592</v>
      </c>
      <c r="C891" s="34">
        <v>24</v>
      </c>
      <c r="D891" s="34">
        <v>1965</v>
      </c>
      <c r="E891" s="34">
        <v>42</v>
      </c>
      <c r="F891" s="34" t="s">
        <v>56</v>
      </c>
      <c r="G891" s="97">
        <v>0.89374878627162935</v>
      </c>
      <c r="H891" s="34">
        <f t="shared" si="29"/>
        <v>11</v>
      </c>
      <c r="I891" s="75">
        <f t="shared" si="30"/>
        <v>16</v>
      </c>
    </row>
    <row r="892" spans="1:9" x14ac:dyDescent="0.3">
      <c r="A892" s="34">
        <v>891</v>
      </c>
      <c r="B892" s="34">
        <v>94</v>
      </c>
      <c r="C892" s="34">
        <v>24</v>
      </c>
      <c r="D892" s="34">
        <v>3617</v>
      </c>
      <c r="E892" s="34">
        <v>20</v>
      </c>
      <c r="F892" s="34" t="s">
        <v>54</v>
      </c>
      <c r="G892" s="97">
        <v>0.89418151187709172</v>
      </c>
      <c r="H892" s="34">
        <f t="shared" si="29"/>
        <v>1</v>
      </c>
      <c r="I892" s="75">
        <f t="shared" si="30"/>
        <v>1</v>
      </c>
    </row>
    <row r="893" spans="1:9" x14ac:dyDescent="0.3">
      <c r="A893" s="34">
        <v>892</v>
      </c>
      <c r="B893" s="34">
        <v>982</v>
      </c>
      <c r="C893" s="34">
        <v>48</v>
      </c>
      <c r="D893" s="34">
        <v>4844</v>
      </c>
      <c r="E893" s="34">
        <v>33</v>
      </c>
      <c r="F893" s="34" t="s">
        <v>55</v>
      </c>
      <c r="G893" s="97">
        <v>0.89674528293110001</v>
      </c>
      <c r="H893" s="34">
        <f t="shared" si="29"/>
        <v>7</v>
      </c>
      <c r="I893" s="75">
        <f t="shared" si="30"/>
        <v>11</v>
      </c>
    </row>
    <row r="894" spans="1:9" x14ac:dyDescent="0.3">
      <c r="A894" s="34">
        <v>893</v>
      </c>
      <c r="B894" s="34">
        <v>885</v>
      </c>
      <c r="C894" s="34">
        <v>24</v>
      </c>
      <c r="D894" s="34">
        <v>4057</v>
      </c>
      <c r="E894" s="34">
        <v>43</v>
      </c>
      <c r="F894" s="34" t="s">
        <v>55</v>
      </c>
      <c r="G894" s="97">
        <v>0.89946905707358837</v>
      </c>
      <c r="H894" s="34">
        <f t="shared" si="29"/>
        <v>11</v>
      </c>
      <c r="I894" s="75">
        <f t="shared" si="30"/>
        <v>16</v>
      </c>
    </row>
    <row r="895" spans="1:9" x14ac:dyDescent="0.3">
      <c r="A895" s="34">
        <v>894</v>
      </c>
      <c r="B895" s="34">
        <v>663</v>
      </c>
      <c r="C895" s="34">
        <v>21</v>
      </c>
      <c r="D895" s="34">
        <v>2241</v>
      </c>
      <c r="E895" s="34">
        <v>50</v>
      </c>
      <c r="F895" s="34" t="s">
        <v>54</v>
      </c>
      <c r="G895" s="97">
        <v>0.90128535899297679</v>
      </c>
      <c r="H895" s="34">
        <f t="shared" si="29"/>
        <v>14</v>
      </c>
      <c r="I895" s="75">
        <f t="shared" si="30"/>
        <v>19</v>
      </c>
    </row>
    <row r="896" spans="1:9" x14ac:dyDescent="0.3">
      <c r="A896" s="34">
        <v>895</v>
      </c>
      <c r="B896" s="34">
        <v>414</v>
      </c>
      <c r="C896" s="34">
        <v>10</v>
      </c>
      <c r="D896" s="34">
        <v>1597</v>
      </c>
      <c r="E896" s="34">
        <v>40</v>
      </c>
      <c r="F896" s="34" t="s">
        <v>54</v>
      </c>
      <c r="G896" s="97">
        <v>0.90138787009425725</v>
      </c>
      <c r="H896" s="34">
        <f t="shared" si="29"/>
        <v>10</v>
      </c>
      <c r="I896" s="75">
        <f t="shared" si="30"/>
        <v>15</v>
      </c>
    </row>
    <row r="897" spans="1:9" x14ac:dyDescent="0.3">
      <c r="A897" s="34">
        <v>896</v>
      </c>
      <c r="B897" s="34">
        <v>497</v>
      </c>
      <c r="C897" s="34">
        <v>36</v>
      </c>
      <c r="D897" s="34">
        <v>9034</v>
      </c>
      <c r="E897" s="34">
        <v>29</v>
      </c>
      <c r="F897" s="34" t="s">
        <v>55</v>
      </c>
      <c r="G897" s="97">
        <v>0.90361983876879137</v>
      </c>
      <c r="H897" s="34">
        <f t="shared" si="29"/>
        <v>5</v>
      </c>
      <c r="I897" s="75">
        <f t="shared" si="30"/>
        <v>8</v>
      </c>
    </row>
    <row r="898" spans="1:9" x14ac:dyDescent="0.3">
      <c r="A898" s="34">
        <v>897</v>
      </c>
      <c r="B898" s="34">
        <v>576</v>
      </c>
      <c r="C898" s="34">
        <v>15</v>
      </c>
      <c r="D898" s="34">
        <v>2788</v>
      </c>
      <c r="E898" s="34">
        <v>24</v>
      </c>
      <c r="F898" s="34" t="s">
        <v>56</v>
      </c>
      <c r="G898" s="97">
        <v>0.90434635705442767</v>
      </c>
      <c r="H898" s="34">
        <f t="shared" ref="H898:H961" si="31">MATCH(E898,$O$3:$O$27,1)</f>
        <v>3</v>
      </c>
      <c r="I898" s="75">
        <f t="shared" ref="I898:I961" si="32">MATCH(E898,$U$3:$U$28,1)</f>
        <v>3</v>
      </c>
    </row>
    <row r="899" spans="1:9" x14ac:dyDescent="0.3">
      <c r="A899" s="34">
        <v>898</v>
      </c>
      <c r="B899" s="34">
        <v>617</v>
      </c>
      <c r="C899" s="34">
        <v>60</v>
      </c>
      <c r="D899" s="34">
        <v>9157</v>
      </c>
      <c r="E899" s="34">
        <v>27</v>
      </c>
      <c r="F899" s="34" t="s">
        <v>54</v>
      </c>
      <c r="G899" s="97">
        <v>0.90452151324845353</v>
      </c>
      <c r="H899" s="34">
        <f t="shared" si="31"/>
        <v>4</v>
      </c>
      <c r="I899" s="75">
        <f t="shared" si="32"/>
        <v>6</v>
      </c>
    </row>
    <row r="900" spans="1:9" x14ac:dyDescent="0.3">
      <c r="A900" s="34">
        <v>899</v>
      </c>
      <c r="B900" s="34">
        <v>292</v>
      </c>
      <c r="C900" s="34">
        <v>36</v>
      </c>
      <c r="D900" s="34">
        <v>9398</v>
      </c>
      <c r="E900" s="34">
        <v>28</v>
      </c>
      <c r="F900" s="34" t="s">
        <v>55</v>
      </c>
      <c r="G900" s="97">
        <v>0.90525875343630335</v>
      </c>
      <c r="H900" s="34">
        <f t="shared" si="31"/>
        <v>5</v>
      </c>
      <c r="I900" s="75">
        <f t="shared" si="32"/>
        <v>7</v>
      </c>
    </row>
    <row r="901" spans="1:9" x14ac:dyDescent="0.3">
      <c r="A901" s="34">
        <v>900</v>
      </c>
      <c r="B901" s="34">
        <v>588</v>
      </c>
      <c r="C901" s="34">
        <v>12</v>
      </c>
      <c r="D901" s="34">
        <v>1289</v>
      </c>
      <c r="E901" s="34">
        <v>21</v>
      </c>
      <c r="F901" s="34" t="s">
        <v>54</v>
      </c>
      <c r="G901" s="97">
        <v>0.90553547468166296</v>
      </c>
      <c r="H901" s="34">
        <f t="shared" si="31"/>
        <v>1</v>
      </c>
      <c r="I901" s="75">
        <f t="shared" si="32"/>
        <v>1</v>
      </c>
    </row>
    <row r="902" spans="1:9" x14ac:dyDescent="0.3">
      <c r="A902" s="34">
        <v>901</v>
      </c>
      <c r="B902" s="34">
        <v>466</v>
      </c>
      <c r="C902" s="34">
        <v>24</v>
      </c>
      <c r="D902" s="34">
        <v>2924</v>
      </c>
      <c r="E902" s="34">
        <v>63</v>
      </c>
      <c r="F902" s="34" t="s">
        <v>54</v>
      </c>
      <c r="G902" s="97">
        <v>0.9070927305941523</v>
      </c>
      <c r="H902" s="34">
        <f t="shared" si="31"/>
        <v>20</v>
      </c>
      <c r="I902" s="75">
        <f t="shared" si="32"/>
        <v>24</v>
      </c>
    </row>
    <row r="903" spans="1:9" x14ac:dyDescent="0.3">
      <c r="A903" s="34">
        <v>902</v>
      </c>
      <c r="B903" s="34">
        <v>124</v>
      </c>
      <c r="C903" s="34">
        <v>10</v>
      </c>
      <c r="D903" s="34">
        <v>781</v>
      </c>
      <c r="E903" s="34">
        <v>63</v>
      </c>
      <c r="F903" s="34" t="s">
        <v>54</v>
      </c>
      <c r="G903" s="97">
        <v>0.90885830767813147</v>
      </c>
      <c r="H903" s="34">
        <f t="shared" si="31"/>
        <v>20</v>
      </c>
      <c r="I903" s="75">
        <f t="shared" si="32"/>
        <v>24</v>
      </c>
    </row>
    <row r="904" spans="1:9" x14ac:dyDescent="0.3">
      <c r="A904" s="34">
        <v>903</v>
      </c>
      <c r="B904" s="34">
        <v>151</v>
      </c>
      <c r="C904" s="34">
        <v>6</v>
      </c>
      <c r="D904" s="34">
        <v>1346</v>
      </c>
      <c r="E904" s="34">
        <v>42</v>
      </c>
      <c r="F904" s="34" t="s">
        <v>54</v>
      </c>
      <c r="G904" s="97">
        <v>0.90969769915950294</v>
      </c>
      <c r="H904" s="34">
        <f t="shared" si="31"/>
        <v>11</v>
      </c>
      <c r="I904" s="75">
        <f t="shared" si="32"/>
        <v>16</v>
      </c>
    </row>
    <row r="905" spans="1:9" x14ac:dyDescent="0.3">
      <c r="A905" s="34">
        <v>904</v>
      </c>
      <c r="B905" s="34">
        <v>808</v>
      </c>
      <c r="C905" s="34">
        <v>12</v>
      </c>
      <c r="D905" s="34">
        <v>930</v>
      </c>
      <c r="E905" s="34">
        <v>65</v>
      </c>
      <c r="F905" s="34" t="s">
        <v>54</v>
      </c>
      <c r="G905" s="97">
        <v>0.91061578374907748</v>
      </c>
      <c r="H905" s="34">
        <f t="shared" si="31"/>
        <v>21</v>
      </c>
      <c r="I905" s="75">
        <f t="shared" si="32"/>
        <v>24</v>
      </c>
    </row>
    <row r="906" spans="1:9" x14ac:dyDescent="0.3">
      <c r="A906" s="34">
        <v>905</v>
      </c>
      <c r="B906" s="34">
        <v>607</v>
      </c>
      <c r="C906" s="34">
        <v>24</v>
      </c>
      <c r="D906" s="34">
        <v>4526</v>
      </c>
      <c r="E906" s="34">
        <v>74</v>
      </c>
      <c r="F906" s="34" t="s">
        <v>54</v>
      </c>
      <c r="G906" s="97">
        <v>0.91199516443571838</v>
      </c>
      <c r="H906" s="34">
        <f t="shared" si="31"/>
        <v>25</v>
      </c>
      <c r="I906" s="75">
        <f t="shared" si="32"/>
        <v>25</v>
      </c>
    </row>
    <row r="907" spans="1:9" x14ac:dyDescent="0.3">
      <c r="A907" s="34">
        <v>906</v>
      </c>
      <c r="B907" s="34">
        <v>247</v>
      </c>
      <c r="C907" s="34">
        <v>12</v>
      </c>
      <c r="D907" s="34">
        <v>717</v>
      </c>
      <c r="E907" s="34">
        <v>52</v>
      </c>
      <c r="F907" s="34" t="s">
        <v>54</v>
      </c>
      <c r="G907" s="97">
        <v>0.91468835999557541</v>
      </c>
      <c r="H907" s="34">
        <f t="shared" si="31"/>
        <v>15</v>
      </c>
      <c r="I907" s="75">
        <f t="shared" si="32"/>
        <v>20</v>
      </c>
    </row>
    <row r="908" spans="1:9" x14ac:dyDescent="0.3">
      <c r="A908" s="34">
        <v>907</v>
      </c>
      <c r="B908" s="34">
        <v>301</v>
      </c>
      <c r="C908" s="34">
        <v>6</v>
      </c>
      <c r="D908" s="34">
        <v>672</v>
      </c>
      <c r="E908" s="34">
        <v>54</v>
      </c>
      <c r="F908" s="34" t="s">
        <v>56</v>
      </c>
      <c r="G908" s="97">
        <v>0.9153845748566487</v>
      </c>
      <c r="H908" s="34">
        <f t="shared" si="31"/>
        <v>16</v>
      </c>
      <c r="I908" s="75">
        <f t="shared" si="32"/>
        <v>21</v>
      </c>
    </row>
    <row r="909" spans="1:9" x14ac:dyDescent="0.3">
      <c r="A909" s="34">
        <v>908</v>
      </c>
      <c r="B909" s="34">
        <v>111</v>
      </c>
      <c r="C909" s="34">
        <v>6</v>
      </c>
      <c r="D909" s="34">
        <v>1449</v>
      </c>
      <c r="E909" s="34">
        <v>31</v>
      </c>
      <c r="F909" s="34" t="s">
        <v>54</v>
      </c>
      <c r="G909" s="97">
        <v>0.9158290214446364</v>
      </c>
      <c r="H909" s="34">
        <f t="shared" si="31"/>
        <v>6</v>
      </c>
      <c r="I909" s="75">
        <f t="shared" si="32"/>
        <v>10</v>
      </c>
    </row>
    <row r="910" spans="1:9" x14ac:dyDescent="0.3">
      <c r="A910" s="34">
        <v>909</v>
      </c>
      <c r="B910" s="34">
        <v>125</v>
      </c>
      <c r="C910" s="34">
        <v>18</v>
      </c>
      <c r="D910" s="34">
        <v>1924</v>
      </c>
      <c r="E910" s="34">
        <v>27</v>
      </c>
      <c r="F910" s="34" t="s">
        <v>57</v>
      </c>
      <c r="G910" s="97">
        <v>0.91631032677400281</v>
      </c>
      <c r="H910" s="34">
        <f t="shared" si="31"/>
        <v>4</v>
      </c>
      <c r="I910" s="75">
        <f t="shared" si="32"/>
        <v>6</v>
      </c>
    </row>
    <row r="911" spans="1:9" x14ac:dyDescent="0.3">
      <c r="A911" s="34">
        <v>910</v>
      </c>
      <c r="B911" s="34">
        <v>159</v>
      </c>
      <c r="C911" s="34">
        <v>24</v>
      </c>
      <c r="D911" s="34">
        <v>3512</v>
      </c>
      <c r="E911" s="34">
        <v>38</v>
      </c>
      <c r="F911" s="34" t="s">
        <v>54</v>
      </c>
      <c r="G911" s="97">
        <v>0.91696913849863204</v>
      </c>
      <c r="H911" s="34">
        <f t="shared" si="31"/>
        <v>9</v>
      </c>
      <c r="I911" s="75">
        <f t="shared" si="32"/>
        <v>14</v>
      </c>
    </row>
    <row r="912" spans="1:9" x14ac:dyDescent="0.3">
      <c r="A912" s="34">
        <v>911</v>
      </c>
      <c r="B912" s="34">
        <v>10</v>
      </c>
      <c r="C912" s="34">
        <v>30</v>
      </c>
      <c r="D912" s="34">
        <v>5234</v>
      </c>
      <c r="E912" s="34">
        <v>28</v>
      </c>
      <c r="F912" s="34" t="s">
        <v>55</v>
      </c>
      <c r="G912" s="97">
        <v>0.91707588436227305</v>
      </c>
      <c r="H912" s="34">
        <f t="shared" si="31"/>
        <v>5</v>
      </c>
      <c r="I912" s="75">
        <f t="shared" si="32"/>
        <v>7</v>
      </c>
    </row>
    <row r="913" spans="1:9" x14ac:dyDescent="0.3">
      <c r="A913" s="34">
        <v>912</v>
      </c>
      <c r="B913" s="34">
        <v>723</v>
      </c>
      <c r="C913" s="34">
        <v>12</v>
      </c>
      <c r="D913" s="34">
        <v>1228</v>
      </c>
      <c r="E913" s="34">
        <v>24</v>
      </c>
      <c r="F913" s="34" t="s">
        <v>57</v>
      </c>
      <c r="G913" s="97">
        <v>0.91828152555425424</v>
      </c>
      <c r="H913" s="34">
        <f t="shared" si="31"/>
        <v>3</v>
      </c>
      <c r="I913" s="75">
        <f t="shared" si="32"/>
        <v>3</v>
      </c>
    </row>
    <row r="914" spans="1:9" x14ac:dyDescent="0.3">
      <c r="A914" s="34">
        <v>913</v>
      </c>
      <c r="B914" s="34">
        <v>431</v>
      </c>
      <c r="C914" s="34">
        <v>5</v>
      </c>
      <c r="D914" s="34">
        <v>3448</v>
      </c>
      <c r="E914" s="34">
        <v>74</v>
      </c>
      <c r="F914" s="34" t="s">
        <v>54</v>
      </c>
      <c r="G914" s="97">
        <v>0.91829489221590688</v>
      </c>
      <c r="H914" s="34">
        <f t="shared" si="31"/>
        <v>25</v>
      </c>
      <c r="I914" s="75">
        <f t="shared" si="32"/>
        <v>25</v>
      </c>
    </row>
    <row r="915" spans="1:9" x14ac:dyDescent="0.3">
      <c r="A915" s="34">
        <v>914</v>
      </c>
      <c r="B915" s="34">
        <v>863</v>
      </c>
      <c r="C915" s="34">
        <v>24</v>
      </c>
      <c r="D915" s="34">
        <v>2439</v>
      </c>
      <c r="E915" s="34">
        <v>35</v>
      </c>
      <c r="F915" s="34" t="s">
        <v>57</v>
      </c>
      <c r="G915" s="97">
        <v>0.9200936822303466</v>
      </c>
      <c r="H915" s="34">
        <f t="shared" si="31"/>
        <v>8</v>
      </c>
      <c r="I915" s="75">
        <f t="shared" si="32"/>
        <v>12</v>
      </c>
    </row>
    <row r="916" spans="1:9" x14ac:dyDescent="0.3">
      <c r="A916" s="34">
        <v>915</v>
      </c>
      <c r="B916" s="34">
        <v>711</v>
      </c>
      <c r="C916" s="34">
        <v>18</v>
      </c>
      <c r="D916" s="34">
        <v>629</v>
      </c>
      <c r="E916" s="34">
        <v>32</v>
      </c>
      <c r="F916" s="34" t="s">
        <v>54</v>
      </c>
      <c r="G916" s="97">
        <v>0.9206908267218592</v>
      </c>
      <c r="H916" s="34">
        <f t="shared" si="31"/>
        <v>6</v>
      </c>
      <c r="I916" s="75">
        <f t="shared" si="32"/>
        <v>10</v>
      </c>
    </row>
    <row r="917" spans="1:9" x14ac:dyDescent="0.3">
      <c r="A917" s="34">
        <v>916</v>
      </c>
      <c r="B917" s="34">
        <v>875</v>
      </c>
      <c r="C917" s="34">
        <v>12</v>
      </c>
      <c r="D917" s="34">
        <v>3590</v>
      </c>
      <c r="E917" s="34">
        <v>29</v>
      </c>
      <c r="F917" s="34" t="s">
        <v>54</v>
      </c>
      <c r="G917" s="97">
        <v>0.92082482252059261</v>
      </c>
      <c r="H917" s="34">
        <f t="shared" si="31"/>
        <v>5</v>
      </c>
      <c r="I917" s="75">
        <f t="shared" si="32"/>
        <v>8</v>
      </c>
    </row>
    <row r="918" spans="1:9" x14ac:dyDescent="0.3">
      <c r="A918" s="34">
        <v>917</v>
      </c>
      <c r="B918" s="34">
        <v>687</v>
      </c>
      <c r="C918" s="34">
        <v>10</v>
      </c>
      <c r="D918" s="34">
        <v>1347</v>
      </c>
      <c r="E918" s="34">
        <v>27</v>
      </c>
      <c r="F918" s="34" t="s">
        <v>54</v>
      </c>
      <c r="G918" s="97">
        <v>0.92455543195071777</v>
      </c>
      <c r="H918" s="34">
        <f t="shared" si="31"/>
        <v>4</v>
      </c>
      <c r="I918" s="75">
        <f t="shared" si="32"/>
        <v>6</v>
      </c>
    </row>
    <row r="919" spans="1:9" x14ac:dyDescent="0.3">
      <c r="A919" s="34">
        <v>918</v>
      </c>
      <c r="B919" s="34">
        <v>252</v>
      </c>
      <c r="C919" s="34">
        <v>12</v>
      </c>
      <c r="D919" s="34">
        <v>2251</v>
      </c>
      <c r="E919" s="34">
        <v>46</v>
      </c>
      <c r="F919" s="34" t="s">
        <v>56</v>
      </c>
      <c r="G919" s="97">
        <v>0.92466661531245642</v>
      </c>
      <c r="H919" s="34">
        <f t="shared" si="31"/>
        <v>13</v>
      </c>
      <c r="I919" s="75">
        <f t="shared" si="32"/>
        <v>18</v>
      </c>
    </row>
    <row r="920" spans="1:9" x14ac:dyDescent="0.3">
      <c r="A920" s="34">
        <v>919</v>
      </c>
      <c r="B920" s="34">
        <v>985</v>
      </c>
      <c r="C920" s="34">
        <v>24</v>
      </c>
      <c r="D920" s="34">
        <v>2028</v>
      </c>
      <c r="E920" s="34">
        <v>30</v>
      </c>
      <c r="F920" s="34" t="s">
        <v>54</v>
      </c>
      <c r="G920" s="97">
        <v>0.9250550216979142</v>
      </c>
      <c r="H920" s="34">
        <f t="shared" si="31"/>
        <v>5</v>
      </c>
      <c r="I920" s="75">
        <f t="shared" si="32"/>
        <v>9</v>
      </c>
    </row>
    <row r="921" spans="1:9" x14ac:dyDescent="0.3">
      <c r="A921" s="34">
        <v>920</v>
      </c>
      <c r="B921" s="34">
        <v>365</v>
      </c>
      <c r="C921" s="34">
        <v>18</v>
      </c>
      <c r="D921" s="34">
        <v>2473</v>
      </c>
      <c r="E921" s="34">
        <v>25</v>
      </c>
      <c r="F921" s="34" t="s">
        <v>55</v>
      </c>
      <c r="G921" s="97">
        <v>0.92566721772652505</v>
      </c>
      <c r="H921" s="34">
        <f t="shared" si="31"/>
        <v>3</v>
      </c>
      <c r="I921" s="75">
        <f t="shared" si="32"/>
        <v>4</v>
      </c>
    </row>
    <row r="922" spans="1:9" x14ac:dyDescent="0.3">
      <c r="A922" s="34">
        <v>921</v>
      </c>
      <c r="B922" s="34">
        <v>359</v>
      </c>
      <c r="C922" s="34">
        <v>12</v>
      </c>
      <c r="D922" s="34">
        <v>776</v>
      </c>
      <c r="E922" s="34">
        <v>28</v>
      </c>
      <c r="F922" s="34" t="s">
        <v>54</v>
      </c>
      <c r="G922" s="97">
        <v>0.92571809221058154</v>
      </c>
      <c r="H922" s="34">
        <f t="shared" si="31"/>
        <v>5</v>
      </c>
      <c r="I922" s="75">
        <f t="shared" si="32"/>
        <v>7</v>
      </c>
    </row>
    <row r="923" spans="1:9" x14ac:dyDescent="0.3">
      <c r="A923" s="34">
        <v>922</v>
      </c>
      <c r="B923" s="34">
        <v>605</v>
      </c>
      <c r="C923" s="34">
        <v>10</v>
      </c>
      <c r="D923" s="34">
        <v>1275</v>
      </c>
      <c r="E923" s="34">
        <v>23</v>
      </c>
      <c r="F923" s="34" t="s">
        <v>56</v>
      </c>
      <c r="G923" s="97">
        <v>0.92872824601343762</v>
      </c>
      <c r="H923" s="34">
        <f t="shared" si="31"/>
        <v>2</v>
      </c>
      <c r="I923" s="75">
        <f t="shared" si="32"/>
        <v>2</v>
      </c>
    </row>
    <row r="924" spans="1:9" x14ac:dyDescent="0.3">
      <c r="A924" s="34">
        <v>923</v>
      </c>
      <c r="B924" s="34">
        <v>107</v>
      </c>
      <c r="C924" s="34">
        <v>18</v>
      </c>
      <c r="D924" s="34">
        <v>6458</v>
      </c>
      <c r="E924" s="34">
        <v>39</v>
      </c>
      <c r="F924" s="34" t="s">
        <v>55</v>
      </c>
      <c r="G924" s="97">
        <v>0.93025942977907261</v>
      </c>
      <c r="H924" s="34">
        <f t="shared" si="31"/>
        <v>9</v>
      </c>
      <c r="I924" s="75">
        <f t="shared" si="32"/>
        <v>14</v>
      </c>
    </row>
    <row r="925" spans="1:9" x14ac:dyDescent="0.3">
      <c r="A925" s="34">
        <v>924</v>
      </c>
      <c r="B925" s="34">
        <v>196</v>
      </c>
      <c r="C925" s="34">
        <v>9</v>
      </c>
      <c r="D925" s="34">
        <v>1501</v>
      </c>
      <c r="E925" s="34">
        <v>34</v>
      </c>
      <c r="F925" s="34" t="s">
        <v>57</v>
      </c>
      <c r="G925" s="97">
        <v>0.93437936704915936</v>
      </c>
      <c r="H925" s="34">
        <f t="shared" si="31"/>
        <v>7</v>
      </c>
      <c r="I925" s="75">
        <f t="shared" si="32"/>
        <v>11</v>
      </c>
    </row>
    <row r="926" spans="1:9" x14ac:dyDescent="0.3">
      <c r="A926" s="34">
        <v>925</v>
      </c>
      <c r="B926" s="34">
        <v>918</v>
      </c>
      <c r="C926" s="34">
        <v>6</v>
      </c>
      <c r="D926" s="34">
        <v>14896</v>
      </c>
      <c r="E926" s="34">
        <v>68</v>
      </c>
      <c r="F926" s="34" t="s">
        <v>55</v>
      </c>
      <c r="G926" s="97">
        <v>0.93489339134188032</v>
      </c>
      <c r="H926" s="34">
        <f t="shared" si="31"/>
        <v>22</v>
      </c>
      <c r="I926" s="75">
        <f t="shared" si="32"/>
        <v>25</v>
      </c>
    </row>
    <row r="927" spans="1:9" x14ac:dyDescent="0.3">
      <c r="A927" s="34">
        <v>926</v>
      </c>
      <c r="B927" s="34">
        <v>888</v>
      </c>
      <c r="C927" s="34">
        <v>48</v>
      </c>
      <c r="D927" s="34">
        <v>15672</v>
      </c>
      <c r="E927" s="34">
        <v>23</v>
      </c>
      <c r="F927" s="34" t="s">
        <v>55</v>
      </c>
      <c r="G927" s="97">
        <v>0.93514174858650678</v>
      </c>
      <c r="H927" s="34">
        <f t="shared" si="31"/>
        <v>2</v>
      </c>
      <c r="I927" s="75">
        <f t="shared" si="32"/>
        <v>2</v>
      </c>
    </row>
    <row r="928" spans="1:9" x14ac:dyDescent="0.3">
      <c r="A928" s="34">
        <v>927</v>
      </c>
      <c r="B928" s="34">
        <v>356</v>
      </c>
      <c r="C928" s="34">
        <v>24</v>
      </c>
      <c r="D928" s="34">
        <v>1246</v>
      </c>
      <c r="E928" s="34">
        <v>23</v>
      </c>
      <c r="F928" s="34" t="s">
        <v>55</v>
      </c>
      <c r="G928" s="97">
        <v>0.93571384057950469</v>
      </c>
      <c r="H928" s="34">
        <f t="shared" si="31"/>
        <v>2</v>
      </c>
      <c r="I928" s="75">
        <f t="shared" si="32"/>
        <v>2</v>
      </c>
    </row>
    <row r="929" spans="1:9" x14ac:dyDescent="0.3">
      <c r="A929" s="34">
        <v>928</v>
      </c>
      <c r="B929" s="34">
        <v>785</v>
      </c>
      <c r="C929" s="34">
        <v>20</v>
      </c>
      <c r="D929" s="34">
        <v>6468</v>
      </c>
      <c r="E929" s="34">
        <v>60</v>
      </c>
      <c r="F929" s="34" t="s">
        <v>54</v>
      </c>
      <c r="G929" s="97">
        <v>0.9359970873679524</v>
      </c>
      <c r="H929" s="34">
        <f t="shared" si="31"/>
        <v>19</v>
      </c>
      <c r="I929" s="75">
        <f t="shared" si="32"/>
        <v>23</v>
      </c>
    </row>
    <row r="930" spans="1:9" x14ac:dyDescent="0.3">
      <c r="A930" s="34">
        <v>929</v>
      </c>
      <c r="B930" s="34">
        <v>199</v>
      </c>
      <c r="C930" s="34">
        <v>24</v>
      </c>
      <c r="D930" s="34">
        <v>2760</v>
      </c>
      <c r="E930" s="34">
        <v>36</v>
      </c>
      <c r="F930" s="34" t="s">
        <v>54</v>
      </c>
      <c r="G930" s="97">
        <v>0.93768679566160174</v>
      </c>
      <c r="H930" s="34">
        <f t="shared" si="31"/>
        <v>8</v>
      </c>
      <c r="I930" s="75">
        <f t="shared" si="32"/>
        <v>13</v>
      </c>
    </row>
    <row r="931" spans="1:9" x14ac:dyDescent="0.3">
      <c r="A931" s="34">
        <v>930</v>
      </c>
      <c r="B931" s="34">
        <v>891</v>
      </c>
      <c r="C931" s="34">
        <v>27</v>
      </c>
      <c r="D931" s="34">
        <v>2442</v>
      </c>
      <c r="E931" s="34">
        <v>43</v>
      </c>
      <c r="F931" s="34" t="s">
        <v>54</v>
      </c>
      <c r="G931" s="97">
        <v>0.93886543250174948</v>
      </c>
      <c r="H931" s="34">
        <f t="shared" si="31"/>
        <v>11</v>
      </c>
      <c r="I931" s="75">
        <f t="shared" si="32"/>
        <v>16</v>
      </c>
    </row>
    <row r="932" spans="1:9" x14ac:dyDescent="0.3">
      <c r="A932" s="34">
        <v>931</v>
      </c>
      <c r="B932" s="34">
        <v>801</v>
      </c>
      <c r="C932" s="34">
        <v>24</v>
      </c>
      <c r="D932" s="34">
        <v>1597</v>
      </c>
      <c r="E932" s="34">
        <v>54</v>
      </c>
      <c r="F932" s="34" t="s">
        <v>54</v>
      </c>
      <c r="G932" s="97">
        <v>0.94002493232807227</v>
      </c>
      <c r="H932" s="34">
        <f t="shared" si="31"/>
        <v>16</v>
      </c>
      <c r="I932" s="75">
        <f t="shared" si="32"/>
        <v>21</v>
      </c>
    </row>
    <row r="933" spans="1:9" x14ac:dyDescent="0.3">
      <c r="A933" s="34">
        <v>932</v>
      </c>
      <c r="B933" s="34">
        <v>662</v>
      </c>
      <c r="C933" s="34">
        <v>12</v>
      </c>
      <c r="D933" s="34">
        <v>900</v>
      </c>
      <c r="E933" s="34">
        <v>23</v>
      </c>
      <c r="F933" s="34" t="s">
        <v>55</v>
      </c>
      <c r="G933" s="97">
        <v>0.94082801555330187</v>
      </c>
      <c r="H933" s="34">
        <f t="shared" si="31"/>
        <v>2</v>
      </c>
      <c r="I933" s="75">
        <f t="shared" si="32"/>
        <v>2</v>
      </c>
    </row>
    <row r="934" spans="1:9" x14ac:dyDescent="0.3">
      <c r="A934" s="34">
        <v>933</v>
      </c>
      <c r="B934" s="34">
        <v>938</v>
      </c>
      <c r="C934" s="34">
        <v>6</v>
      </c>
      <c r="D934" s="34">
        <v>2063</v>
      </c>
      <c r="E934" s="34">
        <v>30</v>
      </c>
      <c r="F934" s="34" t="s">
        <v>54</v>
      </c>
      <c r="G934" s="97">
        <v>0.94188745677545305</v>
      </c>
      <c r="H934" s="34">
        <f t="shared" si="31"/>
        <v>5</v>
      </c>
      <c r="I934" s="75">
        <f t="shared" si="32"/>
        <v>9</v>
      </c>
    </row>
    <row r="935" spans="1:9" x14ac:dyDescent="0.3">
      <c r="A935" s="34">
        <v>934</v>
      </c>
      <c r="B935" s="34">
        <v>288</v>
      </c>
      <c r="C935" s="34">
        <v>48</v>
      </c>
      <c r="D935" s="34">
        <v>7582</v>
      </c>
      <c r="E935" s="34">
        <v>31</v>
      </c>
      <c r="F935" s="34" t="s">
        <v>54</v>
      </c>
      <c r="G935" s="97">
        <v>0.94305238132263713</v>
      </c>
      <c r="H935" s="34">
        <f t="shared" si="31"/>
        <v>6</v>
      </c>
      <c r="I935" s="75">
        <f t="shared" si="32"/>
        <v>10</v>
      </c>
    </row>
    <row r="936" spans="1:9" x14ac:dyDescent="0.3">
      <c r="A936" s="34">
        <v>935</v>
      </c>
      <c r="B936" s="34">
        <v>879</v>
      </c>
      <c r="C936" s="34">
        <v>9</v>
      </c>
      <c r="D936" s="34">
        <v>1422</v>
      </c>
      <c r="E936" s="34">
        <v>27</v>
      </c>
      <c r="F936" s="34" t="s">
        <v>55</v>
      </c>
      <c r="G936" s="97">
        <v>0.94390907530479939</v>
      </c>
      <c r="H936" s="34">
        <f t="shared" si="31"/>
        <v>4</v>
      </c>
      <c r="I936" s="75">
        <f t="shared" si="32"/>
        <v>6</v>
      </c>
    </row>
    <row r="937" spans="1:9" x14ac:dyDescent="0.3">
      <c r="A937" s="34">
        <v>936</v>
      </c>
      <c r="B937" s="34">
        <v>183</v>
      </c>
      <c r="C937" s="34">
        <v>21</v>
      </c>
      <c r="D937" s="34">
        <v>1647</v>
      </c>
      <c r="E937" s="34">
        <v>40</v>
      </c>
      <c r="F937" s="34" t="s">
        <v>55</v>
      </c>
      <c r="G937" s="97">
        <v>0.94454347636298586</v>
      </c>
      <c r="H937" s="34">
        <f t="shared" si="31"/>
        <v>10</v>
      </c>
      <c r="I937" s="75">
        <f t="shared" si="32"/>
        <v>15</v>
      </c>
    </row>
    <row r="938" spans="1:9" x14ac:dyDescent="0.3">
      <c r="A938" s="34">
        <v>937</v>
      </c>
      <c r="B938" s="34">
        <v>886</v>
      </c>
      <c r="C938" s="34">
        <v>12</v>
      </c>
      <c r="D938" s="34">
        <v>795</v>
      </c>
      <c r="E938" s="34">
        <v>53</v>
      </c>
      <c r="F938" s="34" t="s">
        <v>57</v>
      </c>
      <c r="G938" s="97">
        <v>0.94596116411075992</v>
      </c>
      <c r="H938" s="34">
        <f t="shared" si="31"/>
        <v>16</v>
      </c>
      <c r="I938" s="75">
        <f t="shared" si="32"/>
        <v>21</v>
      </c>
    </row>
    <row r="939" spans="1:9" x14ac:dyDescent="0.3">
      <c r="A939" s="34">
        <v>938</v>
      </c>
      <c r="B939" s="34">
        <v>807</v>
      </c>
      <c r="C939" s="34">
        <v>6</v>
      </c>
      <c r="D939" s="34">
        <v>590</v>
      </c>
      <c r="E939" s="34">
        <v>26</v>
      </c>
      <c r="F939" s="34" t="s">
        <v>54</v>
      </c>
      <c r="G939" s="97">
        <v>0.9463048388561428</v>
      </c>
      <c r="H939" s="34">
        <f t="shared" si="31"/>
        <v>4</v>
      </c>
      <c r="I939" s="75">
        <f t="shared" si="32"/>
        <v>5</v>
      </c>
    </row>
    <row r="940" spans="1:9" x14ac:dyDescent="0.3">
      <c r="A940" s="34">
        <v>939</v>
      </c>
      <c r="B940" s="34">
        <v>836</v>
      </c>
      <c r="C940" s="34">
        <v>12</v>
      </c>
      <c r="D940" s="34">
        <v>1082</v>
      </c>
      <c r="E940" s="34">
        <v>48</v>
      </c>
      <c r="F940" s="34" t="s">
        <v>55</v>
      </c>
      <c r="G940" s="97">
        <v>0.94681789874301192</v>
      </c>
      <c r="H940" s="34">
        <f t="shared" si="31"/>
        <v>13</v>
      </c>
      <c r="I940" s="75">
        <f t="shared" si="32"/>
        <v>18</v>
      </c>
    </row>
    <row r="941" spans="1:9" x14ac:dyDescent="0.3">
      <c r="A941" s="34">
        <v>940</v>
      </c>
      <c r="B941" s="34">
        <v>695</v>
      </c>
      <c r="C941" s="34">
        <v>24</v>
      </c>
      <c r="D941" s="34">
        <v>2284</v>
      </c>
      <c r="E941" s="34">
        <v>28</v>
      </c>
      <c r="F941" s="34" t="s">
        <v>54</v>
      </c>
      <c r="G941" s="97">
        <v>0.94689113997785379</v>
      </c>
      <c r="H941" s="34">
        <f t="shared" si="31"/>
        <v>5</v>
      </c>
      <c r="I941" s="75">
        <f t="shared" si="32"/>
        <v>7</v>
      </c>
    </row>
    <row r="942" spans="1:9" x14ac:dyDescent="0.3">
      <c r="A942" s="34">
        <v>941</v>
      </c>
      <c r="B942" s="34">
        <v>881</v>
      </c>
      <c r="C942" s="34">
        <v>24</v>
      </c>
      <c r="D942" s="34">
        <v>7814</v>
      </c>
      <c r="E942" s="34">
        <v>38</v>
      </c>
      <c r="F942" s="34" t="s">
        <v>54</v>
      </c>
      <c r="G942" s="97">
        <v>0.94759135884816725</v>
      </c>
      <c r="H942" s="34">
        <f t="shared" si="31"/>
        <v>9</v>
      </c>
      <c r="I942" s="75">
        <f t="shared" si="32"/>
        <v>14</v>
      </c>
    </row>
    <row r="943" spans="1:9" x14ac:dyDescent="0.3">
      <c r="A943" s="34">
        <v>942</v>
      </c>
      <c r="B943" s="34">
        <v>132</v>
      </c>
      <c r="C943" s="34">
        <v>36</v>
      </c>
      <c r="D943" s="34">
        <v>6887</v>
      </c>
      <c r="E943" s="34">
        <v>29</v>
      </c>
      <c r="F943" s="34" t="s">
        <v>55</v>
      </c>
      <c r="G943" s="97">
        <v>0.94825652814413153</v>
      </c>
      <c r="H943" s="34">
        <f t="shared" si="31"/>
        <v>5</v>
      </c>
      <c r="I943" s="75">
        <f t="shared" si="32"/>
        <v>8</v>
      </c>
    </row>
    <row r="944" spans="1:9" x14ac:dyDescent="0.3">
      <c r="A944" s="34">
        <v>943</v>
      </c>
      <c r="B944" s="34">
        <v>425</v>
      </c>
      <c r="C944" s="34">
        <v>12</v>
      </c>
      <c r="D944" s="34">
        <v>2762</v>
      </c>
      <c r="E944" s="34">
        <v>25</v>
      </c>
      <c r="F944" s="34" t="s">
        <v>57</v>
      </c>
      <c r="G944" s="97">
        <v>0.94853980103999369</v>
      </c>
      <c r="H944" s="34">
        <f t="shared" si="31"/>
        <v>3</v>
      </c>
      <c r="I944" s="75">
        <f t="shared" si="32"/>
        <v>4</v>
      </c>
    </row>
    <row r="945" spans="1:9" x14ac:dyDescent="0.3">
      <c r="A945" s="34">
        <v>944</v>
      </c>
      <c r="B945" s="34">
        <v>158</v>
      </c>
      <c r="C945" s="34">
        <v>12</v>
      </c>
      <c r="D945" s="34">
        <v>339</v>
      </c>
      <c r="E945" s="34">
        <v>45</v>
      </c>
      <c r="F945" s="34" t="s">
        <v>54</v>
      </c>
      <c r="G945" s="97">
        <v>0.94880524158473123</v>
      </c>
      <c r="H945" s="34">
        <f t="shared" si="31"/>
        <v>12</v>
      </c>
      <c r="I945" s="75">
        <f t="shared" si="32"/>
        <v>17</v>
      </c>
    </row>
    <row r="946" spans="1:9" x14ac:dyDescent="0.3">
      <c r="A946" s="34">
        <v>945</v>
      </c>
      <c r="B946" s="34">
        <v>991</v>
      </c>
      <c r="C946" s="34">
        <v>12</v>
      </c>
      <c r="D946" s="34">
        <v>3565</v>
      </c>
      <c r="E946" s="34">
        <v>37</v>
      </c>
      <c r="F946" s="34" t="s">
        <v>54</v>
      </c>
      <c r="G946" s="97">
        <v>0.94956257133684485</v>
      </c>
      <c r="H946" s="34">
        <f t="shared" si="31"/>
        <v>9</v>
      </c>
      <c r="I946" s="75">
        <f t="shared" si="32"/>
        <v>14</v>
      </c>
    </row>
    <row r="947" spans="1:9" x14ac:dyDescent="0.3">
      <c r="A947" s="34">
        <v>946</v>
      </c>
      <c r="B947" s="34">
        <v>309</v>
      </c>
      <c r="C947" s="34">
        <v>8</v>
      </c>
      <c r="D947" s="34">
        <v>1237</v>
      </c>
      <c r="E947" s="34">
        <v>24</v>
      </c>
      <c r="F947" s="34" t="s">
        <v>57</v>
      </c>
      <c r="G947" s="97">
        <v>0.94995166169926337</v>
      </c>
      <c r="H947" s="34">
        <f t="shared" si="31"/>
        <v>3</v>
      </c>
      <c r="I947" s="75">
        <f t="shared" si="32"/>
        <v>3</v>
      </c>
    </row>
    <row r="948" spans="1:9" x14ac:dyDescent="0.3">
      <c r="A948" s="34">
        <v>947</v>
      </c>
      <c r="B948" s="34">
        <v>638</v>
      </c>
      <c r="C948" s="34">
        <v>60</v>
      </c>
      <c r="D948" s="34">
        <v>15653</v>
      </c>
      <c r="E948" s="34">
        <v>21</v>
      </c>
      <c r="F948" s="34" t="s">
        <v>54</v>
      </c>
      <c r="G948" s="97">
        <v>0.95280313941521877</v>
      </c>
      <c r="H948" s="34">
        <f t="shared" si="31"/>
        <v>1</v>
      </c>
      <c r="I948" s="75">
        <f t="shared" si="32"/>
        <v>1</v>
      </c>
    </row>
    <row r="949" spans="1:9" x14ac:dyDescent="0.3">
      <c r="A949" s="34">
        <v>948</v>
      </c>
      <c r="B949" s="34">
        <v>968</v>
      </c>
      <c r="C949" s="34">
        <v>15</v>
      </c>
      <c r="D949" s="34">
        <v>3568</v>
      </c>
      <c r="E949" s="34">
        <v>54</v>
      </c>
      <c r="F949" s="34" t="s">
        <v>56</v>
      </c>
      <c r="G949" s="97">
        <v>0.95399226381266111</v>
      </c>
      <c r="H949" s="34">
        <f t="shared" si="31"/>
        <v>16</v>
      </c>
      <c r="I949" s="75">
        <f t="shared" si="32"/>
        <v>21</v>
      </c>
    </row>
    <row r="950" spans="1:9" x14ac:dyDescent="0.3">
      <c r="A950" s="34">
        <v>949</v>
      </c>
      <c r="B950" s="34">
        <v>379</v>
      </c>
      <c r="C950" s="34">
        <v>36</v>
      </c>
      <c r="D950" s="34">
        <v>14318</v>
      </c>
      <c r="E950" s="34">
        <v>57</v>
      </c>
      <c r="F950" s="34" t="s">
        <v>55</v>
      </c>
      <c r="G950" s="97">
        <v>0.95608717863551473</v>
      </c>
      <c r="H950" s="34">
        <f t="shared" si="31"/>
        <v>17</v>
      </c>
      <c r="I950" s="75">
        <f t="shared" si="32"/>
        <v>22</v>
      </c>
    </row>
    <row r="951" spans="1:9" x14ac:dyDescent="0.3">
      <c r="A951" s="34">
        <v>950</v>
      </c>
      <c r="B951" s="34">
        <v>78</v>
      </c>
      <c r="C951" s="34">
        <v>11</v>
      </c>
      <c r="D951" s="34">
        <v>4771</v>
      </c>
      <c r="E951" s="34">
        <v>51</v>
      </c>
      <c r="F951" s="34" t="s">
        <v>54</v>
      </c>
      <c r="G951" s="97">
        <v>0.95616221566330528</v>
      </c>
      <c r="H951" s="34">
        <f t="shared" si="31"/>
        <v>15</v>
      </c>
      <c r="I951" s="75">
        <f t="shared" si="32"/>
        <v>20</v>
      </c>
    </row>
    <row r="952" spans="1:9" x14ac:dyDescent="0.3">
      <c r="A952" s="34">
        <v>951</v>
      </c>
      <c r="B952" s="34">
        <v>921</v>
      </c>
      <c r="C952" s="34">
        <v>18</v>
      </c>
      <c r="D952" s="34">
        <v>1817</v>
      </c>
      <c r="E952" s="34">
        <v>28</v>
      </c>
      <c r="F952" s="34" t="s">
        <v>56</v>
      </c>
      <c r="G952" s="97">
        <v>0.95866237145043931</v>
      </c>
      <c r="H952" s="34">
        <f t="shared" si="31"/>
        <v>5</v>
      </c>
      <c r="I952" s="75">
        <f t="shared" si="32"/>
        <v>7</v>
      </c>
    </row>
    <row r="953" spans="1:9" x14ac:dyDescent="0.3">
      <c r="A953" s="34">
        <v>952</v>
      </c>
      <c r="B953" s="34">
        <v>268</v>
      </c>
      <c r="C953" s="34">
        <v>24</v>
      </c>
      <c r="D953" s="34">
        <v>1533</v>
      </c>
      <c r="E953" s="34">
        <v>38</v>
      </c>
      <c r="F953" s="34" t="s">
        <v>56</v>
      </c>
      <c r="G953" s="97">
        <v>0.95917184825829782</v>
      </c>
      <c r="H953" s="34">
        <f t="shared" si="31"/>
        <v>9</v>
      </c>
      <c r="I953" s="75">
        <f t="shared" si="32"/>
        <v>14</v>
      </c>
    </row>
    <row r="954" spans="1:9" x14ac:dyDescent="0.3">
      <c r="A954" s="34">
        <v>953</v>
      </c>
      <c r="B954" s="34">
        <v>927</v>
      </c>
      <c r="C954" s="34">
        <v>18</v>
      </c>
      <c r="D954" s="34">
        <v>1049</v>
      </c>
      <c r="E954" s="34">
        <v>21</v>
      </c>
      <c r="F954" s="34" t="s">
        <v>56</v>
      </c>
      <c r="G954" s="97">
        <v>0.96071571591526406</v>
      </c>
      <c r="H954" s="34">
        <f t="shared" si="31"/>
        <v>1</v>
      </c>
      <c r="I954" s="75">
        <f t="shared" si="32"/>
        <v>1</v>
      </c>
    </row>
    <row r="955" spans="1:9" x14ac:dyDescent="0.3">
      <c r="A955" s="34">
        <v>954</v>
      </c>
      <c r="B955" s="34">
        <v>334</v>
      </c>
      <c r="C955" s="34">
        <v>48</v>
      </c>
      <c r="D955" s="34">
        <v>11590</v>
      </c>
      <c r="E955" s="34">
        <v>24</v>
      </c>
      <c r="F955" s="34" t="s">
        <v>57</v>
      </c>
      <c r="G955" s="97">
        <v>0.96098204957332967</v>
      </c>
      <c r="H955" s="34">
        <f t="shared" si="31"/>
        <v>3</v>
      </c>
      <c r="I955" s="75">
        <f t="shared" si="32"/>
        <v>3</v>
      </c>
    </row>
    <row r="956" spans="1:9" x14ac:dyDescent="0.3">
      <c r="A956" s="34">
        <v>955</v>
      </c>
      <c r="B956" s="34">
        <v>637</v>
      </c>
      <c r="C956" s="34">
        <v>24</v>
      </c>
      <c r="D956" s="34">
        <v>1376</v>
      </c>
      <c r="E956" s="34">
        <v>28</v>
      </c>
      <c r="F956" s="34" t="s">
        <v>56</v>
      </c>
      <c r="G956" s="97">
        <v>0.96316703101618217</v>
      </c>
      <c r="H956" s="34">
        <f t="shared" si="31"/>
        <v>5</v>
      </c>
      <c r="I956" s="75">
        <f t="shared" si="32"/>
        <v>7</v>
      </c>
    </row>
    <row r="957" spans="1:9" x14ac:dyDescent="0.3">
      <c r="A957" s="34">
        <v>956</v>
      </c>
      <c r="B957" s="34">
        <v>722</v>
      </c>
      <c r="C957" s="34">
        <v>6</v>
      </c>
      <c r="D957" s="34">
        <v>433</v>
      </c>
      <c r="E957" s="34">
        <v>24</v>
      </c>
      <c r="F957" s="34" t="s">
        <v>57</v>
      </c>
      <c r="G957" s="97">
        <v>0.96365902264073688</v>
      </c>
      <c r="H957" s="34">
        <f t="shared" si="31"/>
        <v>3</v>
      </c>
      <c r="I957" s="75">
        <f t="shared" si="32"/>
        <v>3</v>
      </c>
    </row>
    <row r="958" spans="1:9" x14ac:dyDescent="0.3">
      <c r="A958" s="34">
        <v>957</v>
      </c>
      <c r="B958" s="34">
        <v>529</v>
      </c>
      <c r="C958" s="34">
        <v>36</v>
      </c>
      <c r="D958" s="34">
        <v>2302</v>
      </c>
      <c r="E958" s="34">
        <v>31</v>
      </c>
      <c r="F958" s="34" t="s">
        <v>55</v>
      </c>
      <c r="G958" s="97">
        <v>0.96405055751888846</v>
      </c>
      <c r="H958" s="34">
        <f t="shared" si="31"/>
        <v>6</v>
      </c>
      <c r="I958" s="75">
        <f t="shared" si="32"/>
        <v>10</v>
      </c>
    </row>
    <row r="959" spans="1:9" x14ac:dyDescent="0.3">
      <c r="A959" s="34">
        <v>958</v>
      </c>
      <c r="B959" s="34">
        <v>870</v>
      </c>
      <c r="C959" s="34">
        <v>12</v>
      </c>
      <c r="D959" s="34">
        <v>652</v>
      </c>
      <c r="E959" s="34">
        <v>24</v>
      </c>
      <c r="F959" s="34" t="s">
        <v>56</v>
      </c>
      <c r="G959" s="97">
        <v>0.9647780250563105</v>
      </c>
      <c r="H959" s="34">
        <f t="shared" si="31"/>
        <v>3</v>
      </c>
      <c r="I959" s="75">
        <f t="shared" si="32"/>
        <v>3</v>
      </c>
    </row>
    <row r="960" spans="1:9" x14ac:dyDescent="0.3">
      <c r="A960" s="34">
        <v>959</v>
      </c>
      <c r="B960" s="34">
        <v>168</v>
      </c>
      <c r="C960" s="34">
        <v>11</v>
      </c>
      <c r="D960" s="34">
        <v>1577</v>
      </c>
      <c r="E960" s="34">
        <v>20</v>
      </c>
      <c r="F960" s="34" t="s">
        <v>56</v>
      </c>
      <c r="G960" s="97">
        <v>0.96665145306022704</v>
      </c>
      <c r="H960" s="34">
        <f t="shared" si="31"/>
        <v>1</v>
      </c>
      <c r="I960" s="75">
        <f t="shared" si="32"/>
        <v>1</v>
      </c>
    </row>
    <row r="961" spans="1:9" x14ac:dyDescent="0.3">
      <c r="A961" s="34">
        <v>960</v>
      </c>
      <c r="B961" s="34">
        <v>774</v>
      </c>
      <c r="C961" s="34">
        <v>24</v>
      </c>
      <c r="D961" s="34">
        <v>2223</v>
      </c>
      <c r="E961" s="34">
        <v>52</v>
      </c>
      <c r="F961" s="34" t="s">
        <v>54</v>
      </c>
      <c r="G961" s="97">
        <v>0.96667453115280499</v>
      </c>
      <c r="H961" s="34">
        <f t="shared" si="31"/>
        <v>15</v>
      </c>
      <c r="I961" s="75">
        <f t="shared" si="32"/>
        <v>20</v>
      </c>
    </row>
    <row r="962" spans="1:9" x14ac:dyDescent="0.3">
      <c r="A962" s="34">
        <v>961</v>
      </c>
      <c r="B962" s="34">
        <v>387</v>
      </c>
      <c r="C962" s="34">
        <v>18</v>
      </c>
      <c r="D962" s="34">
        <v>1126</v>
      </c>
      <c r="E962" s="34">
        <v>21</v>
      </c>
      <c r="F962" s="34" t="s">
        <v>56</v>
      </c>
      <c r="G962" s="97">
        <v>0.96696443459539783</v>
      </c>
      <c r="H962" s="34">
        <f t="shared" ref="H962:H1001" si="33">MATCH(E962,$O$3:$O$27,1)</f>
        <v>1</v>
      </c>
      <c r="I962" s="75">
        <f t="shared" ref="I962:I1001" si="34">MATCH(E962,$U$3:$U$28,1)</f>
        <v>1</v>
      </c>
    </row>
    <row r="963" spans="1:9" x14ac:dyDescent="0.3">
      <c r="A963" s="34">
        <v>962</v>
      </c>
      <c r="B963" s="34">
        <v>994</v>
      </c>
      <c r="C963" s="34">
        <v>36</v>
      </c>
      <c r="D963" s="34">
        <v>3959</v>
      </c>
      <c r="E963" s="34">
        <v>30</v>
      </c>
      <c r="F963" s="34" t="s">
        <v>54</v>
      </c>
      <c r="G963" s="97">
        <v>0.9672563122354394</v>
      </c>
      <c r="H963" s="34">
        <f t="shared" si="33"/>
        <v>5</v>
      </c>
      <c r="I963" s="75">
        <f t="shared" si="34"/>
        <v>9</v>
      </c>
    </row>
    <row r="964" spans="1:9" x14ac:dyDescent="0.3">
      <c r="A964" s="34">
        <v>963</v>
      </c>
      <c r="B964" s="34">
        <v>956</v>
      </c>
      <c r="C964" s="34">
        <v>24</v>
      </c>
      <c r="D964" s="34">
        <v>1231</v>
      </c>
      <c r="E964" s="34">
        <v>57</v>
      </c>
      <c r="F964" s="34" t="s">
        <v>56</v>
      </c>
      <c r="G964" s="97">
        <v>0.96773392482957388</v>
      </c>
      <c r="H964" s="34">
        <f t="shared" si="33"/>
        <v>17</v>
      </c>
      <c r="I964" s="75">
        <f t="shared" si="34"/>
        <v>22</v>
      </c>
    </row>
    <row r="965" spans="1:9" x14ac:dyDescent="0.3">
      <c r="A965" s="34">
        <v>964</v>
      </c>
      <c r="B965" s="34">
        <v>997</v>
      </c>
      <c r="C965" s="34">
        <v>30</v>
      </c>
      <c r="D965" s="34">
        <v>3857</v>
      </c>
      <c r="E965" s="34">
        <v>40</v>
      </c>
      <c r="F965" s="34" t="s">
        <v>54</v>
      </c>
      <c r="G965" s="97">
        <v>0.96875897743426387</v>
      </c>
      <c r="H965" s="34">
        <f t="shared" si="33"/>
        <v>10</v>
      </c>
      <c r="I965" s="75">
        <f t="shared" si="34"/>
        <v>15</v>
      </c>
    </row>
    <row r="966" spans="1:9" x14ac:dyDescent="0.3">
      <c r="A966" s="34">
        <v>965</v>
      </c>
      <c r="B966" s="34">
        <v>999</v>
      </c>
      <c r="C966" s="34">
        <v>45</v>
      </c>
      <c r="D966" s="34">
        <v>1845</v>
      </c>
      <c r="E966" s="34">
        <v>23</v>
      </c>
      <c r="F966" s="34" t="s">
        <v>55</v>
      </c>
      <c r="G966" s="97">
        <v>0.96933746277855248</v>
      </c>
      <c r="H966" s="34">
        <f t="shared" si="33"/>
        <v>2</v>
      </c>
      <c r="I966" s="75">
        <f t="shared" si="34"/>
        <v>2</v>
      </c>
    </row>
    <row r="967" spans="1:9" x14ac:dyDescent="0.3">
      <c r="A967" s="34">
        <v>966</v>
      </c>
      <c r="B967" s="34">
        <v>265</v>
      </c>
      <c r="C967" s="34">
        <v>10</v>
      </c>
      <c r="D967" s="34">
        <v>1231</v>
      </c>
      <c r="E967" s="34">
        <v>32</v>
      </c>
      <c r="F967" s="34" t="s">
        <v>54</v>
      </c>
      <c r="G967" s="97">
        <v>0.97021830646934615</v>
      </c>
      <c r="H967" s="34">
        <f t="shared" si="33"/>
        <v>6</v>
      </c>
      <c r="I967" s="75">
        <f t="shared" si="34"/>
        <v>10</v>
      </c>
    </row>
    <row r="968" spans="1:9" x14ac:dyDescent="0.3">
      <c r="A968" s="34">
        <v>967</v>
      </c>
      <c r="B968" s="34">
        <v>570</v>
      </c>
      <c r="C968" s="34">
        <v>48</v>
      </c>
      <c r="D968" s="34">
        <v>6758</v>
      </c>
      <c r="E968" s="34">
        <v>31</v>
      </c>
      <c r="F968" s="34" t="s">
        <v>57</v>
      </c>
      <c r="G968" s="97">
        <v>0.97076679937568355</v>
      </c>
      <c r="H968" s="34">
        <f t="shared" si="33"/>
        <v>6</v>
      </c>
      <c r="I968" s="75">
        <f t="shared" si="34"/>
        <v>10</v>
      </c>
    </row>
    <row r="969" spans="1:9" x14ac:dyDescent="0.3">
      <c r="A969" s="34">
        <v>968</v>
      </c>
      <c r="B969" s="34">
        <v>18</v>
      </c>
      <c r="C969" s="34">
        <v>30</v>
      </c>
      <c r="D969" s="34">
        <v>8072</v>
      </c>
      <c r="E969" s="34">
        <v>25</v>
      </c>
      <c r="F969" s="34" t="s">
        <v>54</v>
      </c>
      <c r="G969" s="97">
        <v>0.97220025217558526</v>
      </c>
      <c r="H969" s="34">
        <f t="shared" si="33"/>
        <v>3</v>
      </c>
      <c r="I969" s="75">
        <f t="shared" si="34"/>
        <v>4</v>
      </c>
    </row>
    <row r="970" spans="1:9" x14ac:dyDescent="0.3">
      <c r="A970" s="34">
        <v>969</v>
      </c>
      <c r="B970" s="34">
        <v>537</v>
      </c>
      <c r="C970" s="34">
        <v>6</v>
      </c>
      <c r="D970" s="34">
        <v>1374</v>
      </c>
      <c r="E970" s="34">
        <v>75</v>
      </c>
      <c r="F970" s="34" t="s">
        <v>56</v>
      </c>
      <c r="G970" s="97">
        <v>0.97227500637240116</v>
      </c>
      <c r="H970" s="34">
        <f t="shared" si="33"/>
        <v>25</v>
      </c>
      <c r="I970" s="75">
        <f t="shared" si="34"/>
        <v>25</v>
      </c>
    </row>
    <row r="971" spans="1:9" x14ac:dyDescent="0.3">
      <c r="A971" s="34">
        <v>970</v>
      </c>
      <c r="B971" s="34">
        <v>195</v>
      </c>
      <c r="C971" s="34">
        <v>45</v>
      </c>
      <c r="D971" s="34">
        <v>3031</v>
      </c>
      <c r="E971" s="34">
        <v>21</v>
      </c>
      <c r="F971" s="34" t="s">
        <v>55</v>
      </c>
      <c r="G971" s="97">
        <v>0.97392042314183902</v>
      </c>
      <c r="H971" s="34">
        <f t="shared" si="33"/>
        <v>1</v>
      </c>
      <c r="I971" s="75">
        <f t="shared" si="34"/>
        <v>1</v>
      </c>
    </row>
    <row r="972" spans="1:9" x14ac:dyDescent="0.3">
      <c r="A972" s="34">
        <v>971</v>
      </c>
      <c r="B972" s="34">
        <v>474</v>
      </c>
      <c r="C972" s="34">
        <v>6</v>
      </c>
      <c r="D972" s="34">
        <v>1238</v>
      </c>
      <c r="E972" s="34">
        <v>36</v>
      </c>
      <c r="F972" s="34" t="s">
        <v>54</v>
      </c>
      <c r="G972" s="97">
        <v>0.97402724270997543</v>
      </c>
      <c r="H972" s="34">
        <f t="shared" si="33"/>
        <v>8</v>
      </c>
      <c r="I972" s="75">
        <f t="shared" si="34"/>
        <v>13</v>
      </c>
    </row>
    <row r="973" spans="1:9" x14ac:dyDescent="0.3">
      <c r="A973" s="34">
        <v>972</v>
      </c>
      <c r="B973" s="34">
        <v>24</v>
      </c>
      <c r="C973" s="34">
        <v>12</v>
      </c>
      <c r="D973" s="34">
        <v>1804</v>
      </c>
      <c r="E973" s="34">
        <v>44</v>
      </c>
      <c r="F973" s="34" t="s">
        <v>54</v>
      </c>
      <c r="G973" s="97">
        <v>0.97408137046544041</v>
      </c>
      <c r="H973" s="34">
        <f t="shared" si="33"/>
        <v>12</v>
      </c>
      <c r="I973" s="75">
        <f t="shared" si="34"/>
        <v>17</v>
      </c>
    </row>
    <row r="974" spans="1:9" x14ac:dyDescent="0.3">
      <c r="A974" s="34">
        <v>973</v>
      </c>
      <c r="B974" s="34">
        <v>91</v>
      </c>
      <c r="C974" s="34">
        <v>12</v>
      </c>
      <c r="D974" s="34">
        <v>618</v>
      </c>
      <c r="E974" s="34">
        <v>56</v>
      </c>
      <c r="F974" s="34" t="s">
        <v>54</v>
      </c>
      <c r="G974" s="97">
        <v>0.97551979495699948</v>
      </c>
      <c r="H974" s="34">
        <f t="shared" si="33"/>
        <v>17</v>
      </c>
      <c r="I974" s="75">
        <f t="shared" si="34"/>
        <v>22</v>
      </c>
    </row>
    <row r="975" spans="1:9" x14ac:dyDescent="0.3">
      <c r="A975" s="34">
        <v>974</v>
      </c>
      <c r="B975" s="34">
        <v>837</v>
      </c>
      <c r="C975" s="34">
        <v>12</v>
      </c>
      <c r="D975" s="34">
        <v>886</v>
      </c>
      <c r="E975" s="34">
        <v>21</v>
      </c>
      <c r="F975" s="34" t="s">
        <v>56</v>
      </c>
      <c r="G975" s="97">
        <v>0.97696590309883313</v>
      </c>
      <c r="H975" s="34">
        <f t="shared" si="33"/>
        <v>1</v>
      </c>
      <c r="I975" s="75">
        <f t="shared" si="34"/>
        <v>1</v>
      </c>
    </row>
    <row r="976" spans="1:9" x14ac:dyDescent="0.3">
      <c r="A976" s="34">
        <v>975</v>
      </c>
      <c r="B976" s="34">
        <v>623</v>
      </c>
      <c r="C976" s="34">
        <v>48</v>
      </c>
      <c r="D976" s="34">
        <v>3914</v>
      </c>
      <c r="E976" s="34">
        <v>38</v>
      </c>
      <c r="F976" s="34" t="s">
        <v>55</v>
      </c>
      <c r="G976" s="97">
        <v>0.97723862728995692</v>
      </c>
      <c r="H976" s="34">
        <f t="shared" si="33"/>
        <v>9</v>
      </c>
      <c r="I976" s="75">
        <f t="shared" si="34"/>
        <v>14</v>
      </c>
    </row>
    <row r="977" spans="1:9" x14ac:dyDescent="0.3">
      <c r="A977" s="34">
        <v>976</v>
      </c>
      <c r="B977" s="34">
        <v>667</v>
      </c>
      <c r="C977" s="34">
        <v>30</v>
      </c>
      <c r="D977" s="34">
        <v>3496</v>
      </c>
      <c r="E977" s="34">
        <v>34</v>
      </c>
      <c r="F977" s="34" t="s">
        <v>54</v>
      </c>
      <c r="G977" s="97">
        <v>0.97726802374497657</v>
      </c>
      <c r="H977" s="34">
        <f t="shared" si="33"/>
        <v>7</v>
      </c>
      <c r="I977" s="75">
        <f t="shared" si="34"/>
        <v>11</v>
      </c>
    </row>
    <row r="978" spans="1:9" x14ac:dyDescent="0.3">
      <c r="A978" s="34">
        <v>977</v>
      </c>
      <c r="B978" s="34">
        <v>839</v>
      </c>
      <c r="C978" s="34">
        <v>24</v>
      </c>
      <c r="D978" s="34">
        <v>2957</v>
      </c>
      <c r="E978" s="34">
        <v>63</v>
      </c>
      <c r="F978" s="34" t="s">
        <v>54</v>
      </c>
      <c r="G978" s="97">
        <v>0.9782786190144509</v>
      </c>
      <c r="H978" s="34">
        <f t="shared" si="33"/>
        <v>20</v>
      </c>
      <c r="I978" s="75">
        <f t="shared" si="34"/>
        <v>24</v>
      </c>
    </row>
    <row r="979" spans="1:9" x14ac:dyDescent="0.3">
      <c r="A979" s="34">
        <v>978</v>
      </c>
      <c r="B979" s="34">
        <v>524</v>
      </c>
      <c r="C979" s="34">
        <v>24</v>
      </c>
      <c r="D979" s="34">
        <v>3488</v>
      </c>
      <c r="E979" s="34">
        <v>23</v>
      </c>
      <c r="F979" s="34" t="s">
        <v>56</v>
      </c>
      <c r="G979" s="97">
        <v>0.97917358244157215</v>
      </c>
      <c r="H979" s="34">
        <f t="shared" si="33"/>
        <v>2</v>
      </c>
      <c r="I979" s="75">
        <f t="shared" si="34"/>
        <v>2</v>
      </c>
    </row>
    <row r="980" spans="1:9" x14ac:dyDescent="0.3">
      <c r="A980" s="34">
        <v>979</v>
      </c>
      <c r="B980" s="34">
        <v>160</v>
      </c>
      <c r="C980" s="34">
        <v>6</v>
      </c>
      <c r="D980" s="34">
        <v>1898</v>
      </c>
      <c r="E980" s="34">
        <v>34</v>
      </c>
      <c r="F980" s="34" t="s">
        <v>54</v>
      </c>
      <c r="G980" s="97">
        <v>0.97925917038320165</v>
      </c>
      <c r="H980" s="34">
        <f t="shared" si="33"/>
        <v>7</v>
      </c>
      <c r="I980" s="75">
        <f t="shared" si="34"/>
        <v>11</v>
      </c>
    </row>
    <row r="981" spans="1:9" x14ac:dyDescent="0.3">
      <c r="A981" s="34">
        <v>980</v>
      </c>
      <c r="B981" s="34">
        <v>796</v>
      </c>
      <c r="C981" s="34">
        <v>9</v>
      </c>
      <c r="D981" s="34">
        <v>2301</v>
      </c>
      <c r="E981" s="34">
        <v>22</v>
      </c>
      <c r="F981" s="34" t="s">
        <v>56</v>
      </c>
      <c r="G981" s="97">
        <v>0.97941838831706329</v>
      </c>
      <c r="H981" s="34">
        <f t="shared" si="33"/>
        <v>2</v>
      </c>
      <c r="I981" s="75">
        <f t="shared" si="34"/>
        <v>2</v>
      </c>
    </row>
    <row r="982" spans="1:9" x14ac:dyDescent="0.3">
      <c r="A982" s="34">
        <v>981</v>
      </c>
      <c r="B982" s="34">
        <v>121</v>
      </c>
      <c r="C982" s="34">
        <v>21</v>
      </c>
      <c r="D982" s="34">
        <v>1835</v>
      </c>
      <c r="E982" s="34">
        <v>25</v>
      </c>
      <c r="F982" s="34" t="s">
        <v>57</v>
      </c>
      <c r="G982" s="97">
        <v>0.97961574714001709</v>
      </c>
      <c r="H982" s="34">
        <f t="shared" si="33"/>
        <v>3</v>
      </c>
      <c r="I982" s="75">
        <f t="shared" si="34"/>
        <v>4</v>
      </c>
    </row>
    <row r="983" spans="1:9" x14ac:dyDescent="0.3">
      <c r="A983" s="34">
        <v>982</v>
      </c>
      <c r="B983" s="34">
        <v>613</v>
      </c>
      <c r="C983" s="34">
        <v>21</v>
      </c>
      <c r="D983" s="34">
        <v>3357</v>
      </c>
      <c r="E983" s="34">
        <v>29</v>
      </c>
      <c r="F983" s="34" t="s">
        <v>56</v>
      </c>
      <c r="G983" s="97">
        <v>0.98019206035421047</v>
      </c>
      <c r="H983" s="34">
        <f t="shared" si="33"/>
        <v>5</v>
      </c>
      <c r="I983" s="75">
        <f t="shared" si="34"/>
        <v>8</v>
      </c>
    </row>
    <row r="984" spans="1:9" x14ac:dyDescent="0.3">
      <c r="A984" s="34">
        <v>983</v>
      </c>
      <c r="B984" s="34">
        <v>568</v>
      </c>
      <c r="C984" s="34">
        <v>24</v>
      </c>
      <c r="D984" s="34">
        <v>2578</v>
      </c>
      <c r="E984" s="34">
        <v>34</v>
      </c>
      <c r="F984" s="34" t="s">
        <v>54</v>
      </c>
      <c r="G984" s="97">
        <v>0.98084401425676437</v>
      </c>
      <c r="H984" s="34">
        <f t="shared" si="33"/>
        <v>7</v>
      </c>
      <c r="I984" s="75">
        <f t="shared" si="34"/>
        <v>11</v>
      </c>
    </row>
    <row r="985" spans="1:9" x14ac:dyDescent="0.3">
      <c r="A985" s="34">
        <v>984</v>
      </c>
      <c r="B985" s="34">
        <v>983</v>
      </c>
      <c r="C985" s="34">
        <v>21</v>
      </c>
      <c r="D985" s="34">
        <v>2923</v>
      </c>
      <c r="E985" s="34">
        <v>28</v>
      </c>
      <c r="F985" s="34" t="s">
        <v>56</v>
      </c>
      <c r="G985" s="97">
        <v>0.98222823285557004</v>
      </c>
      <c r="H985" s="34">
        <f t="shared" si="33"/>
        <v>5</v>
      </c>
      <c r="I985" s="75">
        <f t="shared" si="34"/>
        <v>7</v>
      </c>
    </row>
    <row r="986" spans="1:9" x14ac:dyDescent="0.3">
      <c r="A986" s="34">
        <v>985</v>
      </c>
      <c r="B986" s="34">
        <v>949</v>
      </c>
      <c r="C986" s="34">
        <v>18</v>
      </c>
      <c r="D986" s="34">
        <v>1533</v>
      </c>
      <c r="E986" s="34">
        <v>43</v>
      </c>
      <c r="F986" s="34" t="s">
        <v>55</v>
      </c>
      <c r="G986" s="97">
        <v>0.98298962326650374</v>
      </c>
      <c r="H986" s="34">
        <f t="shared" si="33"/>
        <v>11</v>
      </c>
      <c r="I986" s="75">
        <f t="shared" si="34"/>
        <v>16</v>
      </c>
    </row>
    <row r="987" spans="1:9" x14ac:dyDescent="0.3">
      <c r="A987" s="34">
        <v>986</v>
      </c>
      <c r="B987" s="34">
        <v>440</v>
      </c>
      <c r="C987" s="34">
        <v>12</v>
      </c>
      <c r="D987" s="34">
        <v>609</v>
      </c>
      <c r="E987" s="34">
        <v>26</v>
      </c>
      <c r="F987" s="34" t="s">
        <v>57</v>
      </c>
      <c r="G987" s="97">
        <v>0.98394628704647757</v>
      </c>
      <c r="H987" s="34">
        <f t="shared" si="33"/>
        <v>4</v>
      </c>
      <c r="I987" s="75">
        <f t="shared" si="34"/>
        <v>5</v>
      </c>
    </row>
    <row r="988" spans="1:9" x14ac:dyDescent="0.3">
      <c r="A988" s="34">
        <v>987</v>
      </c>
      <c r="B988" s="34">
        <v>201</v>
      </c>
      <c r="C988" s="34">
        <v>9</v>
      </c>
      <c r="D988" s="34">
        <v>936</v>
      </c>
      <c r="E988" s="34">
        <v>52</v>
      </c>
      <c r="F988" s="34" t="s">
        <v>54</v>
      </c>
      <c r="G988" s="97">
        <v>0.98431383805353267</v>
      </c>
      <c r="H988" s="34">
        <f t="shared" si="33"/>
        <v>15</v>
      </c>
      <c r="I988" s="75">
        <f t="shared" si="34"/>
        <v>20</v>
      </c>
    </row>
    <row r="989" spans="1:9" x14ac:dyDescent="0.3">
      <c r="A989" s="34">
        <v>988</v>
      </c>
      <c r="B989" s="34">
        <v>834</v>
      </c>
      <c r="C989" s="34">
        <v>24</v>
      </c>
      <c r="D989" s="34">
        <v>5084</v>
      </c>
      <c r="E989" s="34">
        <v>42</v>
      </c>
      <c r="F989" s="34" t="s">
        <v>56</v>
      </c>
      <c r="G989" s="97">
        <v>0.98477702237622644</v>
      </c>
      <c r="H989" s="34">
        <f t="shared" si="33"/>
        <v>11</v>
      </c>
      <c r="I989" s="75">
        <f t="shared" si="34"/>
        <v>16</v>
      </c>
    </row>
    <row r="990" spans="1:9" x14ac:dyDescent="0.3">
      <c r="A990" s="34">
        <v>989</v>
      </c>
      <c r="B990" s="34">
        <v>65</v>
      </c>
      <c r="C990" s="34">
        <v>24</v>
      </c>
      <c r="D990" s="34">
        <v>3181</v>
      </c>
      <c r="E990" s="34">
        <v>26</v>
      </c>
      <c r="F990" s="34" t="s">
        <v>56</v>
      </c>
      <c r="G990" s="97">
        <v>0.98819805384851689</v>
      </c>
      <c r="H990" s="34">
        <f t="shared" si="33"/>
        <v>4</v>
      </c>
      <c r="I990" s="75">
        <f t="shared" si="34"/>
        <v>5</v>
      </c>
    </row>
    <row r="991" spans="1:9" x14ac:dyDescent="0.3">
      <c r="A991" s="34">
        <v>990</v>
      </c>
      <c r="B991" s="34">
        <v>477</v>
      </c>
      <c r="C991" s="34">
        <v>39</v>
      </c>
      <c r="D991" s="34">
        <v>2569</v>
      </c>
      <c r="E991" s="34">
        <v>24</v>
      </c>
      <c r="F991" s="34" t="s">
        <v>54</v>
      </c>
      <c r="G991" s="97">
        <v>0.98835747742660107</v>
      </c>
      <c r="H991" s="34">
        <f t="shared" si="33"/>
        <v>3</v>
      </c>
      <c r="I991" s="75">
        <f t="shared" si="34"/>
        <v>3</v>
      </c>
    </row>
    <row r="992" spans="1:9" x14ac:dyDescent="0.3">
      <c r="A992" s="34">
        <v>991</v>
      </c>
      <c r="B992" s="34">
        <v>249</v>
      </c>
      <c r="C992" s="34">
        <v>24</v>
      </c>
      <c r="D992" s="34">
        <v>1925</v>
      </c>
      <c r="E992" s="34">
        <v>26</v>
      </c>
      <c r="F992" s="34" t="s">
        <v>54</v>
      </c>
      <c r="G992" s="97">
        <v>0.98948410689838462</v>
      </c>
      <c r="H992" s="34">
        <f t="shared" si="33"/>
        <v>4</v>
      </c>
      <c r="I992" s="75">
        <f t="shared" si="34"/>
        <v>5</v>
      </c>
    </row>
    <row r="993" spans="1:9" x14ac:dyDescent="0.3">
      <c r="A993" s="34">
        <v>992</v>
      </c>
      <c r="B993" s="34">
        <v>187</v>
      </c>
      <c r="C993" s="34">
        <v>9</v>
      </c>
      <c r="D993" s="34">
        <v>5129</v>
      </c>
      <c r="E993" s="34">
        <v>74</v>
      </c>
      <c r="F993" s="34" t="s">
        <v>57</v>
      </c>
      <c r="G993" s="97">
        <v>0.98964442448829226</v>
      </c>
      <c r="H993" s="34">
        <f t="shared" si="33"/>
        <v>25</v>
      </c>
      <c r="I993" s="75">
        <f t="shared" si="34"/>
        <v>25</v>
      </c>
    </row>
    <row r="994" spans="1:9" x14ac:dyDescent="0.3">
      <c r="A994" s="34">
        <v>993</v>
      </c>
      <c r="B994" s="34">
        <v>838</v>
      </c>
      <c r="C994" s="34">
        <v>4</v>
      </c>
      <c r="D994" s="34">
        <v>601</v>
      </c>
      <c r="E994" s="34">
        <v>23</v>
      </c>
      <c r="F994" s="34" t="s">
        <v>56</v>
      </c>
      <c r="G994" s="97">
        <v>0.98993905947657757</v>
      </c>
      <c r="H994" s="34">
        <f t="shared" si="33"/>
        <v>2</v>
      </c>
      <c r="I994" s="75">
        <f t="shared" si="34"/>
        <v>2</v>
      </c>
    </row>
    <row r="995" spans="1:9" x14ac:dyDescent="0.3">
      <c r="A995" s="34">
        <v>994</v>
      </c>
      <c r="B995" s="34">
        <v>572</v>
      </c>
      <c r="C995" s="34">
        <v>30</v>
      </c>
      <c r="D995" s="34">
        <v>5954</v>
      </c>
      <c r="E995" s="34">
        <v>38</v>
      </c>
      <c r="F995" s="34" t="s">
        <v>54</v>
      </c>
      <c r="G995" s="97">
        <v>0.99158490584055203</v>
      </c>
      <c r="H995" s="34">
        <f t="shared" si="33"/>
        <v>9</v>
      </c>
      <c r="I995" s="75">
        <f t="shared" si="34"/>
        <v>14</v>
      </c>
    </row>
    <row r="996" spans="1:9" x14ac:dyDescent="0.3">
      <c r="A996" s="34">
        <v>995</v>
      </c>
      <c r="B996" s="34">
        <v>308</v>
      </c>
      <c r="C996" s="34">
        <v>12</v>
      </c>
      <c r="D996" s="34">
        <v>727</v>
      </c>
      <c r="E996" s="34">
        <v>33</v>
      </c>
      <c r="F996" s="34" t="s">
        <v>55</v>
      </c>
      <c r="G996" s="97">
        <v>0.99176343134054523</v>
      </c>
      <c r="H996" s="34">
        <f t="shared" si="33"/>
        <v>7</v>
      </c>
      <c r="I996" s="75">
        <f t="shared" si="34"/>
        <v>11</v>
      </c>
    </row>
    <row r="997" spans="1:9" x14ac:dyDescent="0.3">
      <c r="A997" s="34">
        <v>996</v>
      </c>
      <c r="B997" s="34">
        <v>178</v>
      </c>
      <c r="C997" s="34">
        <v>6</v>
      </c>
      <c r="D997" s="34">
        <v>338</v>
      </c>
      <c r="E997" s="34">
        <v>52</v>
      </c>
      <c r="F997" s="34" t="s">
        <v>54</v>
      </c>
      <c r="G997" s="97">
        <v>0.99187795577001114</v>
      </c>
      <c r="H997" s="34">
        <f t="shared" si="33"/>
        <v>15</v>
      </c>
      <c r="I997" s="75">
        <f t="shared" si="34"/>
        <v>20</v>
      </c>
    </row>
    <row r="998" spans="1:9" x14ac:dyDescent="0.3">
      <c r="A998" s="34">
        <v>997</v>
      </c>
      <c r="B998" s="34">
        <v>246</v>
      </c>
      <c r="C998" s="34">
        <v>24</v>
      </c>
      <c r="D998" s="34">
        <v>1258</v>
      </c>
      <c r="E998" s="34">
        <v>25</v>
      </c>
      <c r="F998" s="34" t="s">
        <v>54</v>
      </c>
      <c r="G998" s="97">
        <v>0.99266100221992903</v>
      </c>
      <c r="H998" s="34">
        <f t="shared" si="33"/>
        <v>3</v>
      </c>
      <c r="I998" s="75">
        <f t="shared" si="34"/>
        <v>4</v>
      </c>
    </row>
    <row r="999" spans="1:9" x14ac:dyDescent="0.3">
      <c r="A999" s="34">
        <v>998</v>
      </c>
      <c r="B999" s="34">
        <v>144</v>
      </c>
      <c r="C999" s="34">
        <v>18</v>
      </c>
      <c r="D999" s="34">
        <v>2462</v>
      </c>
      <c r="E999" s="34">
        <v>22</v>
      </c>
      <c r="F999" s="34" t="s">
        <v>55</v>
      </c>
      <c r="G999" s="97">
        <v>0.99628010876833628</v>
      </c>
      <c r="H999" s="34">
        <f t="shared" si="33"/>
        <v>2</v>
      </c>
      <c r="I999" s="75">
        <f t="shared" si="34"/>
        <v>2</v>
      </c>
    </row>
    <row r="1000" spans="1:9" x14ac:dyDescent="0.3">
      <c r="A1000" s="34">
        <v>999</v>
      </c>
      <c r="B1000" s="34">
        <v>233</v>
      </c>
      <c r="C1000" s="34">
        <v>12</v>
      </c>
      <c r="D1000" s="34">
        <v>2141</v>
      </c>
      <c r="E1000" s="34">
        <v>35</v>
      </c>
      <c r="F1000" s="34" t="s">
        <v>54</v>
      </c>
      <c r="G1000" s="97">
        <v>0.99680380312611194</v>
      </c>
      <c r="H1000" s="34">
        <f t="shared" si="33"/>
        <v>8</v>
      </c>
      <c r="I1000" s="75">
        <f t="shared" si="34"/>
        <v>12</v>
      </c>
    </row>
    <row r="1001" spans="1:9" x14ac:dyDescent="0.3">
      <c r="A1001" s="35">
        <v>1000</v>
      </c>
      <c r="B1001" s="35">
        <v>99</v>
      </c>
      <c r="C1001" s="35">
        <v>36</v>
      </c>
      <c r="D1001" s="35">
        <v>2337</v>
      </c>
      <c r="E1001" s="35">
        <v>36</v>
      </c>
      <c r="F1001" s="34" t="s">
        <v>54</v>
      </c>
      <c r="G1001" s="98">
        <v>0.99797598196134263</v>
      </c>
      <c r="H1001" s="34">
        <f t="shared" si="33"/>
        <v>8</v>
      </c>
      <c r="I1001" s="13">
        <f t="shared" si="34"/>
        <v>13</v>
      </c>
    </row>
  </sheetData>
  <autoFilter ref="A1:I1001" xr:uid="{E092ED47-624D-41BC-844E-7288FE1B3AC3}"/>
  <sortState xmlns:xlrd2="http://schemas.microsoft.com/office/spreadsheetml/2017/richdata2" ref="O32:P56">
    <sortCondition ref="P32:P56"/>
  </sortState>
  <mergeCells count="3">
    <mergeCell ref="N2:P2"/>
    <mergeCell ref="R2:X2"/>
    <mergeCell ref="N31:P3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5BB1-2DAE-43B4-ADF1-25D77F3CD4DA}">
  <sheetPr>
    <tabColor theme="8" tint="0.59999389629810485"/>
  </sheetPr>
  <dimension ref="A1:M396"/>
  <sheetViews>
    <sheetView topLeftCell="B21" zoomScale="115" zoomScaleNormal="115" workbookViewId="0">
      <selection activeCell="B7" sqref="B7"/>
    </sheetView>
  </sheetViews>
  <sheetFormatPr defaultRowHeight="14.4" x14ac:dyDescent="0.3"/>
  <cols>
    <col min="3" max="3" width="15.109375" customWidth="1"/>
  </cols>
  <sheetData>
    <row r="1" spans="1:13" ht="15" thickBot="1" x14ac:dyDescent="0.35"/>
    <row r="2" spans="1:13" ht="15" thickBot="1" x14ac:dyDescent="0.35">
      <c r="B2" s="329" t="s">
        <v>166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1"/>
    </row>
    <row r="3" spans="1:13" ht="15" customHeight="1" x14ac:dyDescent="0.3">
      <c r="B3" s="332" t="s">
        <v>278</v>
      </c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4"/>
    </row>
    <row r="4" spans="1:13" x14ac:dyDescent="0.3">
      <c r="B4" s="335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7"/>
    </row>
    <row r="5" spans="1:13" x14ac:dyDescent="0.3">
      <c r="B5" s="335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7"/>
    </row>
    <row r="6" spans="1:13" ht="15" thickBot="1" x14ac:dyDescent="0.35">
      <c r="B6" s="338"/>
      <c r="C6" s="339"/>
      <c r="D6" s="339"/>
      <c r="E6" s="339"/>
      <c r="F6" s="339"/>
      <c r="G6" s="339"/>
      <c r="H6" s="339"/>
      <c r="I6" s="339"/>
      <c r="J6" s="339"/>
      <c r="K6" s="339"/>
      <c r="L6" s="339"/>
      <c r="M6" s="340"/>
    </row>
    <row r="8" spans="1:13" x14ac:dyDescent="0.3">
      <c r="C8" s="33" t="s">
        <v>81</v>
      </c>
      <c r="D8" s="33" t="s">
        <v>46</v>
      </c>
      <c r="F8" s="206" t="s">
        <v>167</v>
      </c>
    </row>
    <row r="9" spans="1:13" ht="21" x14ac:dyDescent="0.45">
      <c r="A9" s="99" t="s">
        <v>13</v>
      </c>
      <c r="B9" s="37" t="s">
        <v>12</v>
      </c>
      <c r="C9" s="37" t="s">
        <v>63</v>
      </c>
      <c r="D9" s="37" t="s">
        <v>87</v>
      </c>
      <c r="F9" s="209" t="s">
        <v>82</v>
      </c>
      <c r="G9" s="209" t="s">
        <v>221</v>
      </c>
      <c r="H9" s="251" t="s">
        <v>213</v>
      </c>
      <c r="I9" s="210" t="s">
        <v>83</v>
      </c>
      <c r="K9" s="33"/>
      <c r="L9" s="129"/>
      <c r="M9" s="254"/>
    </row>
    <row r="10" spans="1:13" x14ac:dyDescent="0.3">
      <c r="A10" s="38">
        <v>4</v>
      </c>
      <c r="B10" s="102">
        <v>421</v>
      </c>
      <c r="C10" s="38">
        <v>15</v>
      </c>
      <c r="D10" s="34">
        <v>1</v>
      </c>
      <c r="F10" s="9">
        <v>1</v>
      </c>
      <c r="G10" s="12">
        <f t="shared" ref="G10:G19" si="0">COUNTIF($D$10:$D$396,F10)</f>
        <v>30</v>
      </c>
      <c r="H10" s="12">
        <f>SUMIF($D$10:$D$396,F10,$C$10:$C$396)</f>
        <v>611</v>
      </c>
      <c r="I10" s="175">
        <f>H10/G10</f>
        <v>20.366666666666667</v>
      </c>
    </row>
    <row r="11" spans="1:13" x14ac:dyDescent="0.3">
      <c r="A11" s="34">
        <v>8</v>
      </c>
      <c r="B11" s="39">
        <v>204</v>
      </c>
      <c r="C11" s="34">
        <v>12</v>
      </c>
      <c r="D11" s="34">
        <v>1</v>
      </c>
      <c r="F11" s="19">
        <v>2</v>
      </c>
      <c r="G11" s="75">
        <f t="shared" si="0"/>
        <v>75</v>
      </c>
      <c r="H11" s="75">
        <f t="shared" ref="H11:H19" si="1">SUMIF($D$10:$D$396,F11,$C$10:$C$396)</f>
        <v>1349</v>
      </c>
      <c r="I11" s="20">
        <f t="shared" ref="I11:I19" si="2">H11/G11</f>
        <v>17.986666666666668</v>
      </c>
    </row>
    <row r="12" spans="1:13" x14ac:dyDescent="0.3">
      <c r="A12" s="34">
        <v>29</v>
      </c>
      <c r="B12" s="39">
        <v>364</v>
      </c>
      <c r="C12" s="34">
        <v>6</v>
      </c>
      <c r="D12" s="34">
        <v>1</v>
      </c>
      <c r="F12" s="19">
        <v>6</v>
      </c>
      <c r="G12" s="75">
        <f t="shared" si="0"/>
        <v>51</v>
      </c>
      <c r="H12" s="75">
        <f t="shared" si="1"/>
        <v>1134</v>
      </c>
      <c r="I12" s="20">
        <f t="shared" si="2"/>
        <v>22.235294117647058</v>
      </c>
    </row>
    <row r="13" spans="1:13" x14ac:dyDescent="0.3">
      <c r="A13" s="34">
        <v>36</v>
      </c>
      <c r="B13" s="39">
        <v>906</v>
      </c>
      <c r="C13" s="34">
        <v>12</v>
      </c>
      <c r="D13" s="34">
        <v>1</v>
      </c>
      <c r="F13" s="19">
        <v>10</v>
      </c>
      <c r="G13" s="75">
        <f t="shared" si="0"/>
        <v>72</v>
      </c>
      <c r="H13" s="75">
        <f t="shared" si="1"/>
        <v>1618</v>
      </c>
      <c r="I13" s="20">
        <f t="shared" si="2"/>
        <v>22.472222222222221</v>
      </c>
    </row>
    <row r="14" spans="1:13" x14ac:dyDescent="0.3">
      <c r="A14" s="34">
        <v>49</v>
      </c>
      <c r="B14" s="39">
        <v>619</v>
      </c>
      <c r="C14" s="34">
        <v>30</v>
      </c>
      <c r="D14" s="34">
        <v>1</v>
      </c>
      <c r="F14" s="19">
        <v>13</v>
      </c>
      <c r="G14" s="75">
        <f t="shared" si="0"/>
        <v>39</v>
      </c>
      <c r="H14" s="75">
        <f t="shared" si="1"/>
        <v>839</v>
      </c>
      <c r="I14" s="20">
        <f t="shared" si="2"/>
        <v>21.512820512820515</v>
      </c>
    </row>
    <row r="15" spans="1:13" x14ac:dyDescent="0.3">
      <c r="A15" s="34">
        <v>97</v>
      </c>
      <c r="B15" s="39">
        <v>634</v>
      </c>
      <c r="C15" s="34">
        <v>9</v>
      </c>
      <c r="D15" s="34">
        <v>1</v>
      </c>
      <c r="F15" s="19">
        <v>16</v>
      </c>
      <c r="G15" s="75">
        <f t="shared" si="0"/>
        <v>39</v>
      </c>
      <c r="H15" s="75">
        <f t="shared" si="1"/>
        <v>871</v>
      </c>
      <c r="I15" s="20">
        <f t="shared" si="2"/>
        <v>22.333333333333332</v>
      </c>
    </row>
    <row r="16" spans="1:13" x14ac:dyDescent="0.3">
      <c r="A16" s="34">
        <v>122</v>
      </c>
      <c r="B16" s="39">
        <v>429</v>
      </c>
      <c r="C16" s="34">
        <v>9</v>
      </c>
      <c r="D16" s="34">
        <v>1</v>
      </c>
      <c r="F16" s="19">
        <v>19</v>
      </c>
      <c r="G16" s="75">
        <f t="shared" si="0"/>
        <v>26</v>
      </c>
      <c r="H16" s="75">
        <f t="shared" si="1"/>
        <v>490</v>
      </c>
      <c r="I16" s="20">
        <f t="shared" si="2"/>
        <v>18.846153846153847</v>
      </c>
    </row>
    <row r="17" spans="1:9" x14ac:dyDescent="0.3">
      <c r="A17" s="34">
        <v>136</v>
      </c>
      <c r="B17" s="39">
        <v>426</v>
      </c>
      <c r="C17" s="34">
        <v>18</v>
      </c>
      <c r="D17" s="34">
        <v>1</v>
      </c>
      <c r="F17" s="19">
        <v>21</v>
      </c>
      <c r="G17" s="75">
        <f t="shared" si="0"/>
        <v>17</v>
      </c>
      <c r="H17" s="75">
        <f t="shared" si="1"/>
        <v>399</v>
      </c>
      <c r="I17" s="20">
        <f t="shared" si="2"/>
        <v>23.470588235294116</v>
      </c>
    </row>
    <row r="18" spans="1:9" x14ac:dyDescent="0.3">
      <c r="A18" s="34">
        <v>139</v>
      </c>
      <c r="B18" s="39">
        <v>297</v>
      </c>
      <c r="C18" s="34">
        <v>12</v>
      </c>
      <c r="D18" s="34">
        <v>1</v>
      </c>
      <c r="F18" s="19">
        <v>24</v>
      </c>
      <c r="G18" s="75">
        <f t="shared" si="0"/>
        <v>25</v>
      </c>
      <c r="H18" s="75">
        <f t="shared" si="1"/>
        <v>513</v>
      </c>
      <c r="I18" s="20">
        <f t="shared" si="2"/>
        <v>20.52</v>
      </c>
    </row>
    <row r="19" spans="1:9" x14ac:dyDescent="0.3">
      <c r="A19" s="34">
        <v>146</v>
      </c>
      <c r="B19" s="39">
        <v>135</v>
      </c>
      <c r="C19" s="34">
        <v>60</v>
      </c>
      <c r="D19" s="34">
        <v>1</v>
      </c>
      <c r="F19" s="76">
        <v>25</v>
      </c>
      <c r="G19" s="13">
        <f t="shared" si="0"/>
        <v>13</v>
      </c>
      <c r="H19" s="13">
        <f t="shared" si="1"/>
        <v>157</v>
      </c>
      <c r="I19" s="176">
        <f t="shared" si="2"/>
        <v>12.076923076923077</v>
      </c>
    </row>
    <row r="20" spans="1:9" x14ac:dyDescent="0.3">
      <c r="A20" s="34">
        <v>148</v>
      </c>
      <c r="B20" s="39">
        <v>586</v>
      </c>
      <c r="C20" s="34">
        <v>18</v>
      </c>
      <c r="D20" s="34">
        <v>1</v>
      </c>
    </row>
    <row r="21" spans="1:9" x14ac:dyDescent="0.3">
      <c r="A21" s="34">
        <v>156</v>
      </c>
      <c r="B21" s="39">
        <v>866</v>
      </c>
      <c r="C21" s="34">
        <v>15</v>
      </c>
      <c r="D21" s="34">
        <v>1</v>
      </c>
      <c r="F21" s="188" t="s">
        <v>170</v>
      </c>
    </row>
    <row r="22" spans="1:9" x14ac:dyDescent="0.3">
      <c r="A22" s="34">
        <v>167</v>
      </c>
      <c r="B22" s="39">
        <v>411</v>
      </c>
      <c r="C22" s="34">
        <v>24</v>
      </c>
      <c r="D22" s="34">
        <v>1</v>
      </c>
      <c r="F22" t="s">
        <v>168</v>
      </c>
    </row>
    <row r="23" spans="1:9" x14ac:dyDescent="0.3">
      <c r="A23" s="34">
        <v>218</v>
      </c>
      <c r="B23" s="39">
        <v>496</v>
      </c>
      <c r="C23" s="34">
        <v>24</v>
      </c>
      <c r="D23" s="34">
        <v>1</v>
      </c>
      <c r="F23" s="25" t="s">
        <v>46</v>
      </c>
      <c r="G23" s="4">
        <v>1000</v>
      </c>
    </row>
    <row r="24" spans="1:9" x14ac:dyDescent="0.3">
      <c r="A24" s="34">
        <v>229</v>
      </c>
      <c r="B24" s="39">
        <v>156</v>
      </c>
      <c r="C24" s="34">
        <v>12</v>
      </c>
      <c r="D24" s="34">
        <v>1</v>
      </c>
      <c r="F24" s="25" t="s">
        <v>14</v>
      </c>
      <c r="G24" s="4">
        <v>25</v>
      </c>
    </row>
    <row r="25" spans="1:9" x14ac:dyDescent="0.3">
      <c r="A25" s="34">
        <v>257</v>
      </c>
      <c r="B25" s="39">
        <v>209</v>
      </c>
      <c r="C25" s="34">
        <v>24</v>
      </c>
      <c r="D25" s="34">
        <v>1</v>
      </c>
      <c r="F25" s="25" t="str">
        <f xml:space="preserve"> "M" &amp; _xlfn.UNICHAR(773)</f>
        <v>M̅</v>
      </c>
      <c r="G25" s="4">
        <f>G23/G24</f>
        <v>40</v>
      </c>
    </row>
    <row r="26" spans="1:9" x14ac:dyDescent="0.3">
      <c r="A26" s="34">
        <v>264</v>
      </c>
      <c r="B26" s="39">
        <v>392</v>
      </c>
      <c r="C26" s="34">
        <v>12</v>
      </c>
      <c r="D26" s="34">
        <v>1</v>
      </c>
      <c r="F26" s="25" t="s">
        <v>88</v>
      </c>
      <c r="G26" s="4">
        <v>387</v>
      </c>
    </row>
    <row r="27" spans="1:9" x14ac:dyDescent="0.3">
      <c r="A27" s="34">
        <v>265</v>
      </c>
      <c r="B27" s="39">
        <v>725</v>
      </c>
      <c r="C27" s="34">
        <v>27</v>
      </c>
      <c r="D27" s="34">
        <v>1</v>
      </c>
      <c r="F27" s="25" t="s">
        <v>16</v>
      </c>
      <c r="G27" s="4">
        <v>10</v>
      </c>
    </row>
    <row r="28" spans="1:9" x14ac:dyDescent="0.3">
      <c r="A28" s="34">
        <v>275</v>
      </c>
      <c r="B28" s="39">
        <v>732</v>
      </c>
      <c r="C28" s="34">
        <v>24</v>
      </c>
      <c r="D28" s="34">
        <v>1</v>
      </c>
      <c r="F28" s="25" t="str">
        <f xml:space="preserve"> "m" &amp; _xlfn.UNICHAR(773)</f>
        <v>m̅</v>
      </c>
      <c r="G28" s="4">
        <f>G26/G27</f>
        <v>38.700000000000003</v>
      </c>
    </row>
    <row r="29" spans="1:9" x14ac:dyDescent="0.3">
      <c r="A29" s="34">
        <v>310</v>
      </c>
      <c r="B29" s="39">
        <v>189</v>
      </c>
      <c r="C29" s="34">
        <v>12</v>
      </c>
      <c r="D29" s="34">
        <v>1</v>
      </c>
      <c r="F29" s="25" t="s">
        <v>20</v>
      </c>
      <c r="G29" s="32">
        <v>2</v>
      </c>
    </row>
    <row r="30" spans="1:9" x14ac:dyDescent="0.3">
      <c r="A30" s="34">
        <v>329</v>
      </c>
      <c r="B30" s="39">
        <v>514</v>
      </c>
      <c r="C30" s="34">
        <v>12</v>
      </c>
      <c r="D30" s="34">
        <v>1</v>
      </c>
      <c r="F30" s="25" t="str">
        <f xml:space="preserve"> "V(" &amp; "m" &amp; _xlfn.UNICHAR(773) &amp; ")"</f>
        <v>V(m̅)</v>
      </c>
      <c r="G30" s="4" cm="1">
        <f t="array" ref="G30">SQRT(1-(G27/G24))*(1/SQRT(G27))*(SQRT((1/G27)*SUMPRODUCT((G10:G19)^2) - G28^2)/G28)</f>
        <v>0.12869306637971872</v>
      </c>
      <c r="H30" t="s">
        <v>169</v>
      </c>
    </row>
    <row r="31" spans="1:9" x14ac:dyDescent="0.3">
      <c r="A31" s="34">
        <v>332</v>
      </c>
      <c r="B31" s="39">
        <v>594</v>
      </c>
      <c r="C31" s="34">
        <v>24</v>
      </c>
      <c r="D31" s="34">
        <v>1</v>
      </c>
    </row>
    <row r="32" spans="1:9" ht="15.6" x14ac:dyDescent="0.35">
      <c r="A32" s="34">
        <v>339</v>
      </c>
      <c r="B32" s="39">
        <v>94</v>
      </c>
      <c r="C32" s="34">
        <v>24</v>
      </c>
      <c r="D32" s="34">
        <v>1</v>
      </c>
      <c r="F32" s="6" t="s">
        <v>225</v>
      </c>
      <c r="G32" s="4">
        <f>SUM(H10:H19)/SUM(G10:G19)</f>
        <v>20.622739018087856</v>
      </c>
    </row>
    <row r="33" spans="1:8" ht="16.8" x14ac:dyDescent="0.35">
      <c r="A33" s="34">
        <v>343</v>
      </c>
      <c r="B33" s="39">
        <v>588</v>
      </c>
      <c r="C33" s="34">
        <v>12</v>
      </c>
      <c r="D33" s="34">
        <v>1</v>
      </c>
      <c r="F33" s="6" t="s">
        <v>222</v>
      </c>
      <c r="G33" s="4" cm="1">
        <f t="array" ref="G33">(1/(G27-1))*SUM((H10:H19-G10:G19*G32)^2)</f>
        <v>9569.3579831458937</v>
      </c>
    </row>
    <row r="34" spans="1:8" x14ac:dyDescent="0.3">
      <c r="A34" s="34">
        <v>366</v>
      </c>
      <c r="B34" s="39">
        <v>638</v>
      </c>
      <c r="C34" s="34">
        <v>60</v>
      </c>
      <c r="D34" s="34">
        <v>1</v>
      </c>
      <c r="F34" s="6" t="s">
        <v>15</v>
      </c>
      <c r="G34" s="4">
        <f>ROUNDUP(G24/(1+G24*(G25^2)*(G29^2)/(9*G33)),0)</f>
        <v>9</v>
      </c>
      <c r="H34" t="s">
        <v>224</v>
      </c>
    </row>
    <row r="35" spans="1:8" x14ac:dyDescent="0.3">
      <c r="A35" s="34">
        <v>368</v>
      </c>
      <c r="B35" s="39">
        <v>927</v>
      </c>
      <c r="C35" s="34">
        <v>18</v>
      </c>
      <c r="D35" s="34">
        <v>1</v>
      </c>
      <c r="H35" t="s">
        <v>223</v>
      </c>
    </row>
    <row r="36" spans="1:8" x14ac:dyDescent="0.3">
      <c r="A36" s="34">
        <v>370</v>
      </c>
      <c r="B36" s="39">
        <v>168</v>
      </c>
      <c r="C36" s="34">
        <v>11</v>
      </c>
      <c r="D36" s="34">
        <v>1</v>
      </c>
    </row>
    <row r="37" spans="1:8" x14ac:dyDescent="0.3">
      <c r="A37" s="34">
        <v>371</v>
      </c>
      <c r="B37" s="39">
        <v>387</v>
      </c>
      <c r="C37" s="34">
        <v>18</v>
      </c>
      <c r="D37" s="34">
        <v>1</v>
      </c>
      <c r="F37" s="5" t="s">
        <v>69</v>
      </c>
    </row>
    <row r="38" spans="1:8" x14ac:dyDescent="0.3">
      <c r="A38" s="34">
        <v>376</v>
      </c>
      <c r="B38" s="39">
        <v>195</v>
      </c>
      <c r="C38" s="34">
        <v>45</v>
      </c>
      <c r="D38" s="34">
        <v>1</v>
      </c>
      <c r="F38" s="28" t="s">
        <v>15</v>
      </c>
      <c r="G38" s="4">
        <v>10</v>
      </c>
    </row>
    <row r="39" spans="1:8" ht="16.8" x14ac:dyDescent="0.35">
      <c r="A39" s="34">
        <v>378</v>
      </c>
      <c r="B39" s="39">
        <v>837</v>
      </c>
      <c r="C39" s="34">
        <v>12</v>
      </c>
      <c r="D39" s="34">
        <v>1</v>
      </c>
      <c r="F39" s="28" t="s">
        <v>89</v>
      </c>
      <c r="G39" s="4" cm="1">
        <f t="array" ref="G39">(1/(G27-1))*SUM((H10:H19-G10:G19*G32)^2)</f>
        <v>9569.3579831458937</v>
      </c>
    </row>
    <row r="40" spans="1:8" ht="15.6" x14ac:dyDescent="0.35">
      <c r="A40" s="34">
        <v>2</v>
      </c>
      <c r="B40" s="39">
        <v>597</v>
      </c>
      <c r="C40" s="34">
        <v>24</v>
      </c>
      <c r="D40" s="34">
        <v>2</v>
      </c>
      <c r="F40" s="28" t="s">
        <v>90</v>
      </c>
      <c r="G40" s="100">
        <f>SUM(H10:H19)/SUM(G10:G19)</f>
        <v>20.622739018087856</v>
      </c>
    </row>
    <row r="41" spans="1:8" x14ac:dyDescent="0.3">
      <c r="A41" s="34">
        <v>6</v>
      </c>
      <c r="B41" s="39">
        <v>744</v>
      </c>
      <c r="C41" s="34">
        <v>24</v>
      </c>
      <c r="D41" s="34">
        <v>2</v>
      </c>
      <c r="F41" s="28" t="str">
        <f>"D"&amp;_xlfn.UNICHAR(770) &amp; "²(ȳz)"</f>
        <v>D̂²(ȳz)</v>
      </c>
      <c r="G41" s="4">
        <f>(1-G38/G24)*G39/(G38*(G28^2))</f>
        <v>0.38336470096532227</v>
      </c>
    </row>
    <row r="42" spans="1:8" x14ac:dyDescent="0.3">
      <c r="A42" s="34">
        <v>10</v>
      </c>
      <c r="B42" s="39">
        <v>472</v>
      </c>
      <c r="C42" s="34">
        <v>6</v>
      </c>
      <c r="D42" s="34">
        <v>2</v>
      </c>
      <c r="F42" s="28" t="str">
        <f>"D"&amp;_xlfn.UNICHAR(770) &amp; "(ȳz)"</f>
        <v>D̂(ȳz)</v>
      </c>
      <c r="G42" s="100">
        <f>SQRT(G41)</f>
        <v>0.61916451849675802</v>
      </c>
    </row>
    <row r="43" spans="1:8" x14ac:dyDescent="0.3">
      <c r="A43" s="34">
        <v>15</v>
      </c>
      <c r="B43" s="39">
        <v>360</v>
      </c>
      <c r="C43" s="34">
        <v>30</v>
      </c>
      <c r="D43" s="34">
        <v>2</v>
      </c>
    </row>
    <row r="44" spans="1:8" x14ac:dyDescent="0.3">
      <c r="A44" s="34">
        <v>20</v>
      </c>
      <c r="B44" s="39">
        <v>747</v>
      </c>
      <c r="C44" s="34">
        <v>15</v>
      </c>
      <c r="D44" s="34">
        <v>2</v>
      </c>
      <c r="F44" t="s">
        <v>266</v>
      </c>
    </row>
    <row r="45" spans="1:8" x14ac:dyDescent="0.3">
      <c r="A45" s="34">
        <v>31</v>
      </c>
      <c r="B45" s="39">
        <v>742</v>
      </c>
      <c r="C45" s="34">
        <v>10</v>
      </c>
      <c r="D45" s="34">
        <v>2</v>
      </c>
    </row>
    <row r="46" spans="1:8" x14ac:dyDescent="0.3">
      <c r="A46" s="34">
        <v>32</v>
      </c>
      <c r="B46" s="39">
        <v>2</v>
      </c>
      <c r="C46" s="34">
        <v>48</v>
      </c>
      <c r="D46" s="34">
        <v>2</v>
      </c>
      <c r="F46" s="2" t="s">
        <v>71</v>
      </c>
    </row>
    <row r="47" spans="1:8" ht="15.6" x14ac:dyDescent="0.3">
      <c r="A47" s="34">
        <v>34</v>
      </c>
      <c r="B47" s="39">
        <v>13</v>
      </c>
      <c r="C47" s="34">
        <v>12</v>
      </c>
      <c r="D47" s="34">
        <v>2</v>
      </c>
      <c r="F47" s="64" t="s">
        <v>22</v>
      </c>
      <c r="G47" s="190">
        <f>G40*G23</f>
        <v>20622.739018087857</v>
      </c>
    </row>
    <row r="48" spans="1:8" ht="15.6" x14ac:dyDescent="0.3">
      <c r="A48" s="34">
        <v>41</v>
      </c>
      <c r="B48" s="39">
        <v>935</v>
      </c>
      <c r="C48" s="34">
        <v>12</v>
      </c>
      <c r="D48" s="34">
        <v>2</v>
      </c>
      <c r="F48" s="64" t="str">
        <f>"D"&amp;_xlfn.UNICHAR(770) &amp; "²(ŷ)"</f>
        <v>D̂²(ŷ)</v>
      </c>
      <c r="G48" s="4">
        <f>G41*G23^2</f>
        <v>383364.70096532226</v>
      </c>
    </row>
    <row r="49" spans="1:7" ht="15.6" x14ac:dyDescent="0.3">
      <c r="A49" s="34">
        <v>45</v>
      </c>
      <c r="B49" s="39">
        <v>119</v>
      </c>
      <c r="C49" s="34">
        <v>33</v>
      </c>
      <c r="D49" s="34">
        <v>2</v>
      </c>
      <c r="F49" s="64" t="str">
        <f>"D"&amp;_xlfn.UNICHAR(770) &amp; "(ŷ)"</f>
        <v>D̂(ŷ)</v>
      </c>
      <c r="G49" s="100">
        <f>SQRT(G48)</f>
        <v>619.16451849675809</v>
      </c>
    </row>
    <row r="50" spans="1:7" x14ac:dyDescent="0.3">
      <c r="A50" s="34">
        <v>57</v>
      </c>
      <c r="B50" s="39">
        <v>832</v>
      </c>
      <c r="C50" s="34">
        <v>18</v>
      </c>
      <c r="D50" s="34">
        <v>2</v>
      </c>
    </row>
    <row r="51" spans="1:7" x14ac:dyDescent="0.3">
      <c r="A51" s="34">
        <v>67</v>
      </c>
      <c r="B51" s="39">
        <v>347</v>
      </c>
      <c r="C51" s="34">
        <v>13</v>
      </c>
      <c r="D51" s="34">
        <v>2</v>
      </c>
      <c r="F51" t="s">
        <v>267</v>
      </c>
    </row>
    <row r="52" spans="1:7" x14ac:dyDescent="0.3">
      <c r="A52" s="34">
        <v>69</v>
      </c>
      <c r="B52" s="39">
        <v>368</v>
      </c>
      <c r="C52" s="34">
        <v>18</v>
      </c>
      <c r="D52" s="34">
        <v>2</v>
      </c>
    </row>
    <row r="53" spans="1:7" x14ac:dyDescent="0.3">
      <c r="A53" s="34">
        <v>72</v>
      </c>
      <c r="B53" s="39">
        <v>145</v>
      </c>
      <c r="C53" s="34">
        <v>21</v>
      </c>
      <c r="D53" s="34">
        <v>2</v>
      </c>
      <c r="F53" s="101" t="s">
        <v>165</v>
      </c>
    </row>
    <row r="54" spans="1:7" x14ac:dyDescent="0.3">
      <c r="A54" s="34">
        <v>76</v>
      </c>
      <c r="B54" s="39">
        <v>932</v>
      </c>
      <c r="C54" s="34">
        <v>9</v>
      </c>
      <c r="D54" s="34">
        <v>2</v>
      </c>
      <c r="F54" s="6" t="s">
        <v>80</v>
      </c>
      <c r="G54" s="4">
        <f>_xlfn.VAR.S(C10:C396)</f>
        <v>151.61378211564977</v>
      </c>
    </row>
    <row r="55" spans="1:7" x14ac:dyDescent="0.3">
      <c r="A55" s="34">
        <v>78</v>
      </c>
      <c r="B55" s="39">
        <v>80</v>
      </c>
      <c r="C55" s="34">
        <v>30</v>
      </c>
      <c r="D55" s="34">
        <v>2</v>
      </c>
      <c r="F55" s="6" t="str">
        <f>"D"&amp;_xlfn.UNICHAR(770) &amp; "²(ȳ)"</f>
        <v>D̂²(ȳ)</v>
      </c>
      <c r="G55" s="26">
        <f>(1-G26/G23)*(G54/G26)</f>
        <v>0.24015309673615839</v>
      </c>
    </row>
    <row r="56" spans="1:7" x14ac:dyDescent="0.3">
      <c r="A56" s="34">
        <v>91</v>
      </c>
      <c r="B56" s="39">
        <v>348</v>
      </c>
      <c r="C56" s="34">
        <v>24</v>
      </c>
      <c r="D56" s="34">
        <v>2</v>
      </c>
      <c r="F56" s="6" t="str">
        <f>"D"&amp;_xlfn.UNICHAR(770) &amp; "(ȳ)"</f>
        <v>D̂(ȳ)</v>
      </c>
      <c r="G56" s="26">
        <f>SQRT(G55)</f>
        <v>0.490054177347932</v>
      </c>
    </row>
    <row r="57" spans="1:7" x14ac:dyDescent="0.3">
      <c r="A57" s="34">
        <v>92</v>
      </c>
      <c r="B57" s="39">
        <v>752</v>
      </c>
      <c r="C57" s="34">
        <v>18</v>
      </c>
      <c r="D57" s="34">
        <v>2</v>
      </c>
    </row>
    <row r="58" spans="1:7" x14ac:dyDescent="0.3">
      <c r="A58" s="34">
        <v>99</v>
      </c>
      <c r="B58" s="39">
        <v>237</v>
      </c>
      <c r="C58" s="34">
        <v>6</v>
      </c>
      <c r="D58" s="34">
        <v>2</v>
      </c>
      <c r="G58" s="261">
        <f>(G41-G55)/G55</f>
        <v>0.59633461394212939</v>
      </c>
    </row>
    <row r="59" spans="1:7" x14ac:dyDescent="0.3">
      <c r="A59" s="34">
        <v>104</v>
      </c>
      <c r="B59" s="39">
        <v>229</v>
      </c>
      <c r="C59" s="34">
        <v>9</v>
      </c>
      <c r="D59" s="34">
        <v>2</v>
      </c>
    </row>
    <row r="60" spans="1:7" x14ac:dyDescent="0.3">
      <c r="A60" s="34">
        <v>112</v>
      </c>
      <c r="B60" s="39">
        <v>250</v>
      </c>
      <c r="C60" s="34">
        <v>18</v>
      </c>
      <c r="D60" s="34">
        <v>2</v>
      </c>
      <c r="F60" s="43" t="s">
        <v>226</v>
      </c>
    </row>
    <row r="61" spans="1:7" x14ac:dyDescent="0.3">
      <c r="A61" s="34">
        <v>115</v>
      </c>
      <c r="B61" s="39">
        <v>843</v>
      </c>
      <c r="C61" s="34">
        <v>18</v>
      </c>
      <c r="D61" s="34">
        <v>2</v>
      </c>
    </row>
    <row r="62" spans="1:7" x14ac:dyDescent="0.3">
      <c r="A62" s="34">
        <v>116</v>
      </c>
      <c r="B62" s="39">
        <v>112</v>
      </c>
      <c r="C62" s="34">
        <v>15</v>
      </c>
      <c r="D62" s="34">
        <v>2</v>
      </c>
    </row>
    <row r="63" spans="1:7" x14ac:dyDescent="0.3">
      <c r="A63" s="34">
        <v>120</v>
      </c>
      <c r="B63" s="39">
        <v>281</v>
      </c>
      <c r="C63" s="34">
        <v>15</v>
      </c>
      <c r="D63" s="34">
        <v>2</v>
      </c>
    </row>
    <row r="64" spans="1:7" x14ac:dyDescent="0.3">
      <c r="A64" s="34">
        <v>126</v>
      </c>
      <c r="B64" s="39">
        <v>230</v>
      </c>
      <c r="C64" s="34">
        <v>24</v>
      </c>
      <c r="D64" s="34">
        <v>2</v>
      </c>
    </row>
    <row r="65" spans="1:4" x14ac:dyDescent="0.3">
      <c r="A65" s="34">
        <v>128</v>
      </c>
      <c r="B65" s="39">
        <v>614</v>
      </c>
      <c r="C65" s="34">
        <v>24</v>
      </c>
      <c r="D65" s="34">
        <v>2</v>
      </c>
    </row>
    <row r="66" spans="1:4" x14ac:dyDescent="0.3">
      <c r="A66" s="34">
        <v>131</v>
      </c>
      <c r="B66" s="39">
        <v>624</v>
      </c>
      <c r="C66" s="34">
        <v>12</v>
      </c>
      <c r="D66" s="34">
        <v>2</v>
      </c>
    </row>
    <row r="67" spans="1:4" x14ac:dyDescent="0.3">
      <c r="A67" s="34">
        <v>140</v>
      </c>
      <c r="B67" s="39">
        <v>615</v>
      </c>
      <c r="C67" s="34">
        <v>18</v>
      </c>
      <c r="D67" s="34">
        <v>2</v>
      </c>
    </row>
    <row r="68" spans="1:4" x14ac:dyDescent="0.3">
      <c r="A68" s="34">
        <v>145</v>
      </c>
      <c r="B68" s="39">
        <v>556</v>
      </c>
      <c r="C68" s="34">
        <v>12</v>
      </c>
      <c r="D68" s="34">
        <v>2</v>
      </c>
    </row>
    <row r="69" spans="1:4" x14ac:dyDescent="0.3">
      <c r="A69" s="34">
        <v>152</v>
      </c>
      <c r="B69" s="39">
        <v>60</v>
      </c>
      <c r="C69" s="34">
        <v>36</v>
      </c>
      <c r="D69" s="34">
        <v>2</v>
      </c>
    </row>
    <row r="70" spans="1:4" x14ac:dyDescent="0.3">
      <c r="A70" s="34">
        <v>154</v>
      </c>
      <c r="B70" s="39">
        <v>993</v>
      </c>
      <c r="C70" s="34">
        <v>18</v>
      </c>
      <c r="D70" s="34">
        <v>2</v>
      </c>
    </row>
    <row r="71" spans="1:4" x14ac:dyDescent="0.3">
      <c r="A71" s="34">
        <v>158</v>
      </c>
      <c r="B71" s="39">
        <v>753</v>
      </c>
      <c r="C71" s="34">
        <v>12</v>
      </c>
      <c r="D71" s="34">
        <v>2</v>
      </c>
    </row>
    <row r="72" spans="1:4" x14ac:dyDescent="0.3">
      <c r="A72" s="34">
        <v>164</v>
      </c>
      <c r="B72" s="39">
        <v>310</v>
      </c>
      <c r="C72" s="34">
        <v>9</v>
      </c>
      <c r="D72" s="34">
        <v>2</v>
      </c>
    </row>
    <row r="73" spans="1:4" x14ac:dyDescent="0.3">
      <c r="A73" s="34">
        <v>186</v>
      </c>
      <c r="B73" s="39">
        <v>967</v>
      </c>
      <c r="C73" s="34">
        <v>27</v>
      </c>
      <c r="D73" s="34">
        <v>2</v>
      </c>
    </row>
    <row r="74" spans="1:4" x14ac:dyDescent="0.3">
      <c r="A74" s="34">
        <v>190</v>
      </c>
      <c r="B74" s="39">
        <v>541</v>
      </c>
      <c r="C74" s="34">
        <v>12</v>
      </c>
      <c r="D74" s="34">
        <v>2</v>
      </c>
    </row>
    <row r="75" spans="1:4" x14ac:dyDescent="0.3">
      <c r="A75" s="34">
        <v>201</v>
      </c>
      <c r="B75" s="39">
        <v>68</v>
      </c>
      <c r="C75" s="34">
        <v>12</v>
      </c>
      <c r="D75" s="34">
        <v>2</v>
      </c>
    </row>
    <row r="76" spans="1:4" x14ac:dyDescent="0.3">
      <c r="A76" s="34">
        <v>205</v>
      </c>
      <c r="B76" s="39">
        <v>566</v>
      </c>
      <c r="C76" s="34">
        <v>24</v>
      </c>
      <c r="D76" s="34">
        <v>2</v>
      </c>
    </row>
    <row r="77" spans="1:4" x14ac:dyDescent="0.3">
      <c r="A77" s="34">
        <v>208</v>
      </c>
      <c r="B77" s="39">
        <v>661</v>
      </c>
      <c r="C77" s="34">
        <v>12</v>
      </c>
      <c r="D77" s="34">
        <v>2</v>
      </c>
    </row>
    <row r="78" spans="1:4" x14ac:dyDescent="0.3">
      <c r="A78" s="34">
        <v>209</v>
      </c>
      <c r="B78" s="39">
        <v>633</v>
      </c>
      <c r="C78" s="34">
        <v>15</v>
      </c>
      <c r="D78" s="34">
        <v>2</v>
      </c>
    </row>
    <row r="79" spans="1:4" x14ac:dyDescent="0.3">
      <c r="A79" s="34">
        <v>214</v>
      </c>
      <c r="B79" s="39">
        <v>471</v>
      </c>
      <c r="C79" s="34">
        <v>24</v>
      </c>
      <c r="D79" s="34">
        <v>2</v>
      </c>
    </row>
    <row r="80" spans="1:4" x14ac:dyDescent="0.3">
      <c r="A80" s="34">
        <v>224</v>
      </c>
      <c r="B80" s="39">
        <v>337</v>
      </c>
      <c r="C80" s="34">
        <v>13</v>
      </c>
      <c r="D80" s="34">
        <v>2</v>
      </c>
    </row>
    <row r="81" spans="1:4" x14ac:dyDescent="0.3">
      <c r="A81" s="34">
        <v>230</v>
      </c>
      <c r="B81" s="39">
        <v>971</v>
      </c>
      <c r="C81" s="34">
        <v>15</v>
      </c>
      <c r="D81" s="34">
        <v>2</v>
      </c>
    </row>
    <row r="82" spans="1:4" x14ac:dyDescent="0.3">
      <c r="A82" s="34">
        <v>231</v>
      </c>
      <c r="B82" s="39">
        <v>551</v>
      </c>
      <c r="C82" s="34">
        <v>12</v>
      </c>
      <c r="D82" s="34">
        <v>2</v>
      </c>
    </row>
    <row r="83" spans="1:4" x14ac:dyDescent="0.3">
      <c r="A83" s="34">
        <v>233</v>
      </c>
      <c r="B83" s="39">
        <v>335</v>
      </c>
      <c r="C83" s="34">
        <v>24</v>
      </c>
      <c r="D83" s="34">
        <v>2</v>
      </c>
    </row>
    <row r="84" spans="1:4" x14ac:dyDescent="0.3">
      <c r="A84" s="34">
        <v>238</v>
      </c>
      <c r="B84" s="39">
        <v>923</v>
      </c>
      <c r="C84" s="34">
        <v>9</v>
      </c>
      <c r="D84" s="34">
        <v>2</v>
      </c>
    </row>
    <row r="85" spans="1:4" x14ac:dyDescent="0.3">
      <c r="A85" s="34">
        <v>246</v>
      </c>
      <c r="B85" s="39">
        <v>218</v>
      </c>
      <c r="C85" s="34">
        <v>36</v>
      </c>
      <c r="D85" s="34">
        <v>2</v>
      </c>
    </row>
    <row r="86" spans="1:4" x14ac:dyDescent="0.3">
      <c r="A86" s="34">
        <v>250</v>
      </c>
      <c r="B86" s="39">
        <v>222</v>
      </c>
      <c r="C86" s="34">
        <v>12</v>
      </c>
      <c r="D86" s="34">
        <v>2</v>
      </c>
    </row>
    <row r="87" spans="1:4" x14ac:dyDescent="0.3">
      <c r="A87" s="34">
        <v>255</v>
      </c>
      <c r="B87" s="39">
        <v>798</v>
      </c>
      <c r="C87" s="34">
        <v>12</v>
      </c>
      <c r="D87" s="34">
        <v>2</v>
      </c>
    </row>
    <row r="88" spans="1:4" x14ac:dyDescent="0.3">
      <c r="A88" s="34">
        <v>259</v>
      </c>
      <c r="B88" s="39">
        <v>259</v>
      </c>
      <c r="C88" s="34">
        <v>15</v>
      </c>
      <c r="D88" s="34">
        <v>2</v>
      </c>
    </row>
    <row r="89" spans="1:4" x14ac:dyDescent="0.3">
      <c r="A89" s="34">
        <v>266</v>
      </c>
      <c r="B89" s="39">
        <v>784</v>
      </c>
      <c r="C89" s="34">
        <v>12</v>
      </c>
      <c r="D89" s="34">
        <v>2</v>
      </c>
    </row>
    <row r="90" spans="1:4" x14ac:dyDescent="0.3">
      <c r="A90" s="34">
        <v>270</v>
      </c>
      <c r="B90" s="39">
        <v>406</v>
      </c>
      <c r="C90" s="34">
        <v>24</v>
      </c>
      <c r="D90" s="34">
        <v>2</v>
      </c>
    </row>
    <row r="91" spans="1:4" x14ac:dyDescent="0.3">
      <c r="A91" s="34">
        <v>271</v>
      </c>
      <c r="B91" s="39">
        <v>656</v>
      </c>
      <c r="C91" s="34">
        <v>14</v>
      </c>
      <c r="D91" s="34">
        <v>2</v>
      </c>
    </row>
    <row r="92" spans="1:4" x14ac:dyDescent="0.3">
      <c r="A92" s="34">
        <v>278</v>
      </c>
      <c r="B92" s="39">
        <v>574</v>
      </c>
      <c r="C92" s="34">
        <v>15</v>
      </c>
      <c r="D92" s="34">
        <v>2</v>
      </c>
    </row>
    <row r="93" spans="1:4" x14ac:dyDescent="0.3">
      <c r="A93" s="34">
        <v>281</v>
      </c>
      <c r="B93" s="39">
        <v>737</v>
      </c>
      <c r="C93" s="34">
        <v>24</v>
      </c>
      <c r="D93" s="34">
        <v>2</v>
      </c>
    </row>
    <row r="94" spans="1:4" x14ac:dyDescent="0.3">
      <c r="A94" s="34">
        <v>286</v>
      </c>
      <c r="B94" s="39">
        <v>481</v>
      </c>
      <c r="C94" s="34">
        <v>12</v>
      </c>
      <c r="D94" s="34">
        <v>2</v>
      </c>
    </row>
    <row r="95" spans="1:4" x14ac:dyDescent="0.3">
      <c r="A95" s="34">
        <v>288</v>
      </c>
      <c r="B95" s="39">
        <v>48</v>
      </c>
      <c r="C95" s="34">
        <v>6</v>
      </c>
      <c r="D95" s="34">
        <v>2</v>
      </c>
    </row>
    <row r="96" spans="1:4" x14ac:dyDescent="0.3">
      <c r="A96" s="34">
        <v>291</v>
      </c>
      <c r="B96" s="39">
        <v>351</v>
      </c>
      <c r="C96" s="34">
        <v>9</v>
      </c>
      <c r="D96" s="34">
        <v>2</v>
      </c>
    </row>
    <row r="97" spans="1:4" x14ac:dyDescent="0.3">
      <c r="A97" s="34">
        <v>292</v>
      </c>
      <c r="B97" s="39">
        <v>518</v>
      </c>
      <c r="C97" s="34">
        <v>36</v>
      </c>
      <c r="D97" s="34">
        <v>2</v>
      </c>
    </row>
    <row r="98" spans="1:4" x14ac:dyDescent="0.3">
      <c r="A98" s="34">
        <v>293</v>
      </c>
      <c r="B98" s="39">
        <v>571</v>
      </c>
      <c r="C98" s="34">
        <v>24</v>
      </c>
      <c r="D98" s="34">
        <v>2</v>
      </c>
    </row>
    <row r="99" spans="1:4" x14ac:dyDescent="0.3">
      <c r="A99" s="34">
        <v>296</v>
      </c>
      <c r="B99" s="39">
        <v>59</v>
      </c>
      <c r="C99" s="34">
        <v>18</v>
      </c>
      <c r="D99" s="34">
        <v>2</v>
      </c>
    </row>
    <row r="100" spans="1:4" x14ac:dyDescent="0.3">
      <c r="A100" s="34">
        <v>303</v>
      </c>
      <c r="B100" s="39">
        <v>606</v>
      </c>
      <c r="C100" s="34">
        <v>24</v>
      </c>
      <c r="D100" s="34">
        <v>2</v>
      </c>
    </row>
    <row r="101" spans="1:4" x14ac:dyDescent="0.3">
      <c r="A101" s="34">
        <v>313</v>
      </c>
      <c r="B101" s="39">
        <v>611</v>
      </c>
      <c r="C101" s="34">
        <v>12</v>
      </c>
      <c r="D101" s="34">
        <v>2</v>
      </c>
    </row>
    <row r="102" spans="1:4" x14ac:dyDescent="0.3">
      <c r="A102" s="34">
        <v>316</v>
      </c>
      <c r="B102" s="39">
        <v>418</v>
      </c>
      <c r="C102" s="34">
        <v>18</v>
      </c>
      <c r="D102" s="34">
        <v>2</v>
      </c>
    </row>
    <row r="103" spans="1:4" x14ac:dyDescent="0.3">
      <c r="A103" s="34">
        <v>318</v>
      </c>
      <c r="B103" s="39">
        <v>373</v>
      </c>
      <c r="C103" s="34">
        <v>10</v>
      </c>
      <c r="D103" s="34">
        <v>2</v>
      </c>
    </row>
    <row r="104" spans="1:4" x14ac:dyDescent="0.3">
      <c r="A104" s="34">
        <v>321</v>
      </c>
      <c r="B104" s="39">
        <v>437</v>
      </c>
      <c r="C104" s="34">
        <v>6</v>
      </c>
      <c r="D104" s="34">
        <v>2</v>
      </c>
    </row>
    <row r="105" spans="1:4" x14ac:dyDescent="0.3">
      <c r="A105" s="34">
        <v>324</v>
      </c>
      <c r="B105" s="39">
        <v>965</v>
      </c>
      <c r="C105" s="34">
        <v>6</v>
      </c>
      <c r="D105" s="34">
        <v>2</v>
      </c>
    </row>
    <row r="106" spans="1:4" x14ac:dyDescent="0.3">
      <c r="A106" s="34">
        <v>355</v>
      </c>
      <c r="B106" s="39">
        <v>605</v>
      </c>
      <c r="C106" s="34">
        <v>10</v>
      </c>
      <c r="D106" s="34">
        <v>2</v>
      </c>
    </row>
    <row r="107" spans="1:4" x14ac:dyDescent="0.3">
      <c r="A107" s="34">
        <v>357</v>
      </c>
      <c r="B107" s="39">
        <v>888</v>
      </c>
      <c r="C107" s="34">
        <v>48</v>
      </c>
      <c r="D107" s="34">
        <v>2</v>
      </c>
    </row>
    <row r="108" spans="1:4" x14ac:dyDescent="0.3">
      <c r="A108" s="34">
        <v>358</v>
      </c>
      <c r="B108" s="39">
        <v>356</v>
      </c>
      <c r="C108" s="34">
        <v>24</v>
      </c>
      <c r="D108" s="34">
        <v>2</v>
      </c>
    </row>
    <row r="109" spans="1:4" x14ac:dyDescent="0.3">
      <c r="A109" s="34">
        <v>362</v>
      </c>
      <c r="B109" s="39">
        <v>662</v>
      </c>
      <c r="C109" s="34">
        <v>12</v>
      </c>
      <c r="D109" s="34">
        <v>2</v>
      </c>
    </row>
    <row r="110" spans="1:4" x14ac:dyDescent="0.3">
      <c r="A110" s="34">
        <v>372</v>
      </c>
      <c r="B110" s="39">
        <v>999</v>
      </c>
      <c r="C110" s="34">
        <v>45</v>
      </c>
      <c r="D110" s="34">
        <v>2</v>
      </c>
    </row>
    <row r="111" spans="1:4" x14ac:dyDescent="0.3">
      <c r="A111" s="34">
        <v>380</v>
      </c>
      <c r="B111" s="39">
        <v>524</v>
      </c>
      <c r="C111" s="34">
        <v>24</v>
      </c>
      <c r="D111" s="34">
        <v>2</v>
      </c>
    </row>
    <row r="112" spans="1:4" x14ac:dyDescent="0.3">
      <c r="A112" s="34">
        <v>381</v>
      </c>
      <c r="B112" s="39">
        <v>796</v>
      </c>
      <c r="C112" s="34">
        <v>9</v>
      </c>
      <c r="D112" s="34">
        <v>2</v>
      </c>
    </row>
    <row r="113" spans="1:4" x14ac:dyDescent="0.3">
      <c r="A113" s="34">
        <v>385</v>
      </c>
      <c r="B113" s="39">
        <v>838</v>
      </c>
      <c r="C113" s="34">
        <v>4</v>
      </c>
      <c r="D113" s="34">
        <v>2</v>
      </c>
    </row>
    <row r="114" spans="1:4" x14ac:dyDescent="0.3">
      <c r="A114" s="34">
        <v>386</v>
      </c>
      <c r="B114" s="39">
        <v>144</v>
      </c>
      <c r="C114" s="34">
        <v>18</v>
      </c>
      <c r="D114" s="34">
        <v>2</v>
      </c>
    </row>
    <row r="115" spans="1:4" x14ac:dyDescent="0.3">
      <c r="A115" s="34">
        <v>3</v>
      </c>
      <c r="B115" s="39">
        <v>256</v>
      </c>
      <c r="C115" s="34">
        <v>60</v>
      </c>
      <c r="D115" s="34">
        <v>6</v>
      </c>
    </row>
    <row r="116" spans="1:4" x14ac:dyDescent="0.3">
      <c r="A116" s="34">
        <v>7</v>
      </c>
      <c r="B116" s="39">
        <v>671</v>
      </c>
      <c r="C116" s="34">
        <v>24</v>
      </c>
      <c r="D116" s="34">
        <v>6</v>
      </c>
    </row>
    <row r="117" spans="1:4" x14ac:dyDescent="0.3">
      <c r="A117" s="34">
        <v>11</v>
      </c>
      <c r="B117" s="39">
        <v>577</v>
      </c>
      <c r="C117" s="34">
        <v>12</v>
      </c>
      <c r="D117" s="34">
        <v>6</v>
      </c>
    </row>
    <row r="118" spans="1:4" x14ac:dyDescent="0.3">
      <c r="A118" s="34">
        <v>19</v>
      </c>
      <c r="B118" s="39">
        <v>559</v>
      </c>
      <c r="C118" s="34">
        <v>24</v>
      </c>
      <c r="D118" s="34">
        <v>6</v>
      </c>
    </row>
    <row r="119" spans="1:4" x14ac:dyDescent="0.3">
      <c r="A119" s="34">
        <v>22</v>
      </c>
      <c r="B119" s="39">
        <v>793</v>
      </c>
      <c r="C119" s="34">
        <v>6</v>
      </c>
      <c r="D119" s="34">
        <v>6</v>
      </c>
    </row>
    <row r="120" spans="1:4" x14ac:dyDescent="0.3">
      <c r="A120" s="34">
        <v>27</v>
      </c>
      <c r="B120" s="39">
        <v>118</v>
      </c>
      <c r="C120" s="34">
        <v>10</v>
      </c>
      <c r="D120" s="34">
        <v>6</v>
      </c>
    </row>
    <row r="121" spans="1:4" x14ac:dyDescent="0.3">
      <c r="A121" s="34">
        <v>30</v>
      </c>
      <c r="B121" s="39">
        <v>790</v>
      </c>
      <c r="C121" s="34">
        <v>40</v>
      </c>
      <c r="D121" s="34">
        <v>6</v>
      </c>
    </row>
    <row r="122" spans="1:4" x14ac:dyDescent="0.3">
      <c r="A122" s="34">
        <v>37</v>
      </c>
      <c r="B122" s="39">
        <v>501</v>
      </c>
      <c r="C122" s="34">
        <v>24</v>
      </c>
      <c r="D122" s="34">
        <v>6</v>
      </c>
    </row>
    <row r="123" spans="1:4" x14ac:dyDescent="0.3">
      <c r="A123" s="34">
        <v>44</v>
      </c>
      <c r="B123" s="39">
        <v>506</v>
      </c>
      <c r="C123" s="34">
        <v>10</v>
      </c>
      <c r="D123" s="34">
        <v>6</v>
      </c>
    </row>
    <row r="124" spans="1:4" x14ac:dyDescent="0.3">
      <c r="A124" s="34">
        <v>46</v>
      </c>
      <c r="B124" s="39">
        <v>226</v>
      </c>
      <c r="C124" s="34">
        <v>36</v>
      </c>
      <c r="D124" s="34">
        <v>6</v>
      </c>
    </row>
    <row r="125" spans="1:4" x14ac:dyDescent="0.3">
      <c r="A125" s="34">
        <v>47</v>
      </c>
      <c r="B125" s="39">
        <v>493</v>
      </c>
      <c r="C125" s="34">
        <v>6</v>
      </c>
      <c r="D125" s="34">
        <v>6</v>
      </c>
    </row>
    <row r="126" spans="1:4" x14ac:dyDescent="0.3">
      <c r="A126" s="34">
        <v>50</v>
      </c>
      <c r="B126" s="39">
        <v>227</v>
      </c>
      <c r="C126" s="34">
        <v>48</v>
      </c>
      <c r="D126" s="34">
        <v>6</v>
      </c>
    </row>
    <row r="127" spans="1:4" x14ac:dyDescent="0.3">
      <c r="A127" s="34">
        <v>59</v>
      </c>
      <c r="B127" s="39">
        <v>137</v>
      </c>
      <c r="C127" s="34">
        <v>27</v>
      </c>
      <c r="D127" s="34">
        <v>6</v>
      </c>
    </row>
    <row r="128" spans="1:4" x14ac:dyDescent="0.3">
      <c r="A128" s="34">
        <v>68</v>
      </c>
      <c r="B128" s="39">
        <v>403</v>
      </c>
      <c r="C128" s="34">
        <v>24</v>
      </c>
      <c r="D128" s="34">
        <v>6</v>
      </c>
    </row>
    <row r="129" spans="1:4" x14ac:dyDescent="0.3">
      <c r="A129" s="34">
        <v>75</v>
      </c>
      <c r="B129" s="39">
        <v>579</v>
      </c>
      <c r="C129" s="34">
        <v>36</v>
      </c>
      <c r="D129" s="34">
        <v>6</v>
      </c>
    </row>
    <row r="130" spans="1:4" x14ac:dyDescent="0.3">
      <c r="A130" s="34">
        <v>77</v>
      </c>
      <c r="B130" s="39">
        <v>861</v>
      </c>
      <c r="C130" s="34">
        <v>24</v>
      </c>
      <c r="D130" s="34">
        <v>6</v>
      </c>
    </row>
    <row r="131" spans="1:4" x14ac:dyDescent="0.3">
      <c r="A131" s="34">
        <v>95</v>
      </c>
      <c r="B131" s="39">
        <v>367</v>
      </c>
      <c r="C131" s="34">
        <v>18</v>
      </c>
      <c r="D131" s="34">
        <v>6</v>
      </c>
    </row>
    <row r="132" spans="1:4" x14ac:dyDescent="0.3">
      <c r="A132" s="34">
        <v>106</v>
      </c>
      <c r="B132" s="39">
        <v>404</v>
      </c>
      <c r="C132" s="34">
        <v>14</v>
      </c>
      <c r="D132" s="34">
        <v>6</v>
      </c>
    </row>
    <row r="133" spans="1:4" x14ac:dyDescent="0.3">
      <c r="A133" s="34">
        <v>114</v>
      </c>
      <c r="B133" s="39">
        <v>320</v>
      </c>
      <c r="C133" s="34">
        <v>15</v>
      </c>
      <c r="D133" s="34">
        <v>6</v>
      </c>
    </row>
    <row r="134" spans="1:4" x14ac:dyDescent="0.3">
      <c r="A134" s="34">
        <v>119</v>
      </c>
      <c r="B134" s="39">
        <v>908</v>
      </c>
      <c r="C134" s="34">
        <v>36</v>
      </c>
      <c r="D134" s="34">
        <v>6</v>
      </c>
    </row>
    <row r="135" spans="1:4" x14ac:dyDescent="0.3">
      <c r="A135" s="34">
        <v>121</v>
      </c>
      <c r="B135" s="39">
        <v>867</v>
      </c>
      <c r="C135" s="34">
        <v>18</v>
      </c>
      <c r="D135" s="34">
        <v>6</v>
      </c>
    </row>
    <row r="136" spans="1:4" x14ac:dyDescent="0.3">
      <c r="A136" s="34">
        <v>129</v>
      </c>
      <c r="B136" s="39">
        <v>389</v>
      </c>
      <c r="C136" s="34">
        <v>15</v>
      </c>
      <c r="D136" s="34">
        <v>6</v>
      </c>
    </row>
    <row r="137" spans="1:4" x14ac:dyDescent="0.3">
      <c r="A137" s="34">
        <v>130</v>
      </c>
      <c r="B137" s="39">
        <v>133</v>
      </c>
      <c r="C137" s="34">
        <v>15</v>
      </c>
      <c r="D137" s="34">
        <v>6</v>
      </c>
    </row>
    <row r="138" spans="1:4" x14ac:dyDescent="0.3">
      <c r="A138" s="34">
        <v>138</v>
      </c>
      <c r="B138" s="39">
        <v>141</v>
      </c>
      <c r="C138" s="34">
        <v>6</v>
      </c>
      <c r="D138" s="34">
        <v>6</v>
      </c>
    </row>
    <row r="139" spans="1:4" x14ac:dyDescent="0.3">
      <c r="A139" s="34">
        <v>169</v>
      </c>
      <c r="B139" s="39">
        <v>390</v>
      </c>
      <c r="C139" s="34">
        <v>9</v>
      </c>
      <c r="D139" s="34">
        <v>6</v>
      </c>
    </row>
    <row r="140" spans="1:4" x14ac:dyDescent="0.3">
      <c r="A140" s="34">
        <v>170</v>
      </c>
      <c r="B140" s="39">
        <v>621</v>
      </c>
      <c r="C140" s="34">
        <v>21</v>
      </c>
      <c r="D140" s="34">
        <v>6</v>
      </c>
    </row>
    <row r="141" spans="1:4" x14ac:dyDescent="0.3">
      <c r="A141" s="34">
        <v>173</v>
      </c>
      <c r="B141" s="39">
        <v>143</v>
      </c>
      <c r="C141" s="34">
        <v>27</v>
      </c>
      <c r="D141" s="34">
        <v>6</v>
      </c>
    </row>
    <row r="142" spans="1:4" x14ac:dyDescent="0.3">
      <c r="A142" s="34">
        <v>179</v>
      </c>
      <c r="B142" s="39">
        <v>666</v>
      </c>
      <c r="C142" s="34">
        <v>24</v>
      </c>
      <c r="D142" s="34">
        <v>6</v>
      </c>
    </row>
    <row r="143" spans="1:4" x14ac:dyDescent="0.3">
      <c r="A143" s="34">
        <v>185</v>
      </c>
      <c r="B143" s="39">
        <v>32</v>
      </c>
      <c r="C143" s="34">
        <v>24</v>
      </c>
      <c r="D143" s="34">
        <v>6</v>
      </c>
    </row>
    <row r="144" spans="1:4" x14ac:dyDescent="0.3">
      <c r="A144" s="34">
        <v>192</v>
      </c>
      <c r="B144" s="39">
        <v>408</v>
      </c>
      <c r="C144" s="34">
        <v>15</v>
      </c>
      <c r="D144" s="34">
        <v>6</v>
      </c>
    </row>
    <row r="145" spans="1:4" x14ac:dyDescent="0.3">
      <c r="A145" s="34">
        <v>197</v>
      </c>
      <c r="B145" s="39">
        <v>87</v>
      </c>
      <c r="C145" s="34">
        <v>18</v>
      </c>
      <c r="D145" s="34">
        <v>6</v>
      </c>
    </row>
    <row r="146" spans="1:4" x14ac:dyDescent="0.3">
      <c r="A146" s="34">
        <v>198</v>
      </c>
      <c r="B146" s="39">
        <v>821</v>
      </c>
      <c r="C146" s="34">
        <v>12</v>
      </c>
      <c r="D146" s="34">
        <v>6</v>
      </c>
    </row>
    <row r="147" spans="1:4" x14ac:dyDescent="0.3">
      <c r="A147" s="34">
        <v>217</v>
      </c>
      <c r="B147" s="39">
        <v>459</v>
      </c>
      <c r="C147" s="34">
        <v>6</v>
      </c>
      <c r="D147" s="34">
        <v>6</v>
      </c>
    </row>
    <row r="148" spans="1:4" x14ac:dyDescent="0.3">
      <c r="A148" s="34">
        <v>228</v>
      </c>
      <c r="B148" s="39">
        <v>668</v>
      </c>
      <c r="C148" s="34">
        <v>48</v>
      </c>
      <c r="D148" s="34">
        <v>6</v>
      </c>
    </row>
    <row r="149" spans="1:4" x14ac:dyDescent="0.3">
      <c r="A149" s="34">
        <v>235</v>
      </c>
      <c r="B149" s="39">
        <v>575</v>
      </c>
      <c r="C149" s="34">
        <v>9</v>
      </c>
      <c r="D149" s="34">
        <v>6</v>
      </c>
    </row>
    <row r="150" spans="1:4" x14ac:dyDescent="0.3">
      <c r="A150" s="34">
        <v>236</v>
      </c>
      <c r="B150" s="39">
        <v>554</v>
      </c>
      <c r="C150" s="34">
        <v>12</v>
      </c>
      <c r="D150" s="34">
        <v>6</v>
      </c>
    </row>
    <row r="151" spans="1:4" x14ac:dyDescent="0.3">
      <c r="A151" s="34">
        <v>249</v>
      </c>
      <c r="B151" s="39">
        <v>202</v>
      </c>
      <c r="C151" s="34">
        <v>12</v>
      </c>
      <c r="D151" s="34">
        <v>6</v>
      </c>
    </row>
    <row r="152" spans="1:4" x14ac:dyDescent="0.3">
      <c r="A152" s="34">
        <v>251</v>
      </c>
      <c r="B152" s="39">
        <v>580</v>
      </c>
      <c r="C152" s="34">
        <v>24</v>
      </c>
      <c r="D152" s="34">
        <v>6</v>
      </c>
    </row>
    <row r="153" spans="1:4" x14ac:dyDescent="0.3">
      <c r="A153" s="34">
        <v>261</v>
      </c>
      <c r="B153" s="39">
        <v>1000</v>
      </c>
      <c r="C153" s="34">
        <v>45</v>
      </c>
      <c r="D153" s="34">
        <v>6</v>
      </c>
    </row>
    <row r="154" spans="1:4" x14ac:dyDescent="0.3">
      <c r="A154" s="34">
        <v>282</v>
      </c>
      <c r="B154" s="39">
        <v>244</v>
      </c>
      <c r="C154" s="34">
        <v>12</v>
      </c>
      <c r="D154" s="34">
        <v>6</v>
      </c>
    </row>
    <row r="155" spans="1:4" x14ac:dyDescent="0.3">
      <c r="A155" s="34">
        <v>289</v>
      </c>
      <c r="B155" s="39">
        <v>715</v>
      </c>
      <c r="C155" s="34">
        <v>60</v>
      </c>
      <c r="D155" s="34">
        <v>6</v>
      </c>
    </row>
    <row r="156" spans="1:4" x14ac:dyDescent="0.3">
      <c r="A156" s="34">
        <v>304</v>
      </c>
      <c r="B156" s="39">
        <v>641</v>
      </c>
      <c r="C156" s="34">
        <v>18</v>
      </c>
      <c r="D156" s="34">
        <v>6</v>
      </c>
    </row>
    <row r="157" spans="1:4" x14ac:dyDescent="0.3">
      <c r="A157" s="34">
        <v>311</v>
      </c>
      <c r="B157" s="39">
        <v>61</v>
      </c>
      <c r="C157" s="34">
        <v>9</v>
      </c>
      <c r="D157" s="34">
        <v>6</v>
      </c>
    </row>
    <row r="158" spans="1:4" x14ac:dyDescent="0.3">
      <c r="A158" s="34">
        <v>315</v>
      </c>
      <c r="B158" s="39">
        <v>261</v>
      </c>
      <c r="C158" s="34">
        <v>12</v>
      </c>
      <c r="D158" s="34">
        <v>6</v>
      </c>
    </row>
    <row r="159" spans="1:4" x14ac:dyDescent="0.3">
      <c r="A159" s="34">
        <v>317</v>
      </c>
      <c r="B159" s="39">
        <v>646</v>
      </c>
      <c r="C159" s="34">
        <v>36</v>
      </c>
      <c r="D159" s="34">
        <v>6</v>
      </c>
    </row>
    <row r="160" spans="1:4" x14ac:dyDescent="0.3">
      <c r="A160" s="34">
        <v>319</v>
      </c>
      <c r="B160" s="39">
        <v>765</v>
      </c>
      <c r="C160" s="34">
        <v>24</v>
      </c>
      <c r="D160" s="34">
        <v>6</v>
      </c>
    </row>
    <row r="161" spans="1:4" x14ac:dyDescent="0.3">
      <c r="A161" s="34">
        <v>320</v>
      </c>
      <c r="B161" s="39">
        <v>198</v>
      </c>
      <c r="C161" s="34">
        <v>12</v>
      </c>
      <c r="D161" s="34">
        <v>6</v>
      </c>
    </row>
    <row r="162" spans="1:4" x14ac:dyDescent="0.3">
      <c r="A162" s="34">
        <v>342</v>
      </c>
      <c r="B162" s="39">
        <v>617</v>
      </c>
      <c r="C162" s="34">
        <v>60</v>
      </c>
      <c r="D162" s="34">
        <v>6</v>
      </c>
    </row>
    <row r="163" spans="1:4" x14ac:dyDescent="0.3">
      <c r="A163" s="34">
        <v>351</v>
      </c>
      <c r="B163" s="39">
        <v>125</v>
      </c>
      <c r="C163" s="34">
        <v>18</v>
      </c>
      <c r="D163" s="34">
        <v>6</v>
      </c>
    </row>
    <row r="164" spans="1:4" x14ac:dyDescent="0.3">
      <c r="A164" s="34">
        <v>354</v>
      </c>
      <c r="B164" s="39">
        <v>687</v>
      </c>
      <c r="C164" s="34">
        <v>10</v>
      </c>
      <c r="D164" s="34">
        <v>6</v>
      </c>
    </row>
    <row r="165" spans="1:4" x14ac:dyDescent="0.3">
      <c r="A165" s="34">
        <v>364</v>
      </c>
      <c r="B165" s="39">
        <v>879</v>
      </c>
      <c r="C165" s="34">
        <v>9</v>
      </c>
      <c r="D165" s="34">
        <v>6</v>
      </c>
    </row>
    <row r="166" spans="1:4" x14ac:dyDescent="0.3">
      <c r="A166" s="34">
        <v>9</v>
      </c>
      <c r="B166" s="39">
        <v>718</v>
      </c>
      <c r="C166" s="34">
        <v>18</v>
      </c>
      <c r="D166" s="34">
        <v>10</v>
      </c>
    </row>
    <row r="167" spans="1:4" x14ac:dyDescent="0.3">
      <c r="A167" s="34">
        <v>12</v>
      </c>
      <c r="B167" s="39">
        <v>340</v>
      </c>
      <c r="C167" s="34">
        <v>10</v>
      </c>
      <c r="D167" s="34">
        <v>10</v>
      </c>
    </row>
    <row r="168" spans="1:4" x14ac:dyDescent="0.3">
      <c r="A168" s="34">
        <v>13</v>
      </c>
      <c r="B168" s="39">
        <v>322</v>
      </c>
      <c r="C168" s="34">
        <v>24</v>
      </c>
      <c r="D168" s="34">
        <v>10</v>
      </c>
    </row>
    <row r="169" spans="1:4" x14ac:dyDescent="0.3">
      <c r="A169" s="34">
        <v>17</v>
      </c>
      <c r="B169" s="39">
        <v>224</v>
      </c>
      <c r="C169" s="34">
        <v>24</v>
      </c>
      <c r="D169" s="34">
        <v>10</v>
      </c>
    </row>
    <row r="170" spans="1:4" x14ac:dyDescent="0.3">
      <c r="A170" s="34">
        <v>33</v>
      </c>
      <c r="B170" s="39">
        <v>741</v>
      </c>
      <c r="C170" s="34">
        <v>24</v>
      </c>
      <c r="D170" s="34">
        <v>10</v>
      </c>
    </row>
    <row r="171" spans="1:4" x14ac:dyDescent="0.3">
      <c r="A171" s="34">
        <v>40</v>
      </c>
      <c r="B171" s="39">
        <v>768</v>
      </c>
      <c r="C171" s="34">
        <v>10</v>
      </c>
      <c r="D171" s="34">
        <v>10</v>
      </c>
    </row>
    <row r="172" spans="1:4" x14ac:dyDescent="0.3">
      <c r="A172" s="34">
        <v>51</v>
      </c>
      <c r="B172" s="39">
        <v>319</v>
      </c>
      <c r="C172" s="34">
        <v>12</v>
      </c>
      <c r="D172" s="34">
        <v>10</v>
      </c>
    </row>
    <row r="173" spans="1:4" x14ac:dyDescent="0.3">
      <c r="A173" s="34">
        <v>56</v>
      </c>
      <c r="B173" s="39">
        <v>499</v>
      </c>
      <c r="C173" s="34">
        <v>18</v>
      </c>
      <c r="D173" s="34">
        <v>10</v>
      </c>
    </row>
    <row r="174" spans="1:4" x14ac:dyDescent="0.3">
      <c r="A174" s="34">
        <v>60</v>
      </c>
      <c r="B174" s="39">
        <v>276</v>
      </c>
      <c r="C174" s="34">
        <v>9</v>
      </c>
      <c r="D174" s="34">
        <v>10</v>
      </c>
    </row>
    <row r="175" spans="1:4" x14ac:dyDescent="0.3">
      <c r="A175" s="34">
        <v>66</v>
      </c>
      <c r="B175" s="39">
        <v>170</v>
      </c>
      <c r="C175" s="34">
        <v>24</v>
      </c>
      <c r="D175" s="34">
        <v>10</v>
      </c>
    </row>
    <row r="176" spans="1:4" x14ac:dyDescent="0.3">
      <c r="A176" s="34">
        <v>70</v>
      </c>
      <c r="B176" s="39">
        <v>300</v>
      </c>
      <c r="C176" s="34">
        <v>21</v>
      </c>
      <c r="D176" s="34">
        <v>10</v>
      </c>
    </row>
    <row r="177" spans="1:4" x14ac:dyDescent="0.3">
      <c r="A177" s="34">
        <v>71</v>
      </c>
      <c r="B177" s="39">
        <v>396</v>
      </c>
      <c r="C177" s="34">
        <v>39</v>
      </c>
      <c r="D177" s="34">
        <v>10</v>
      </c>
    </row>
    <row r="178" spans="1:4" x14ac:dyDescent="0.3">
      <c r="A178" s="34">
        <v>74</v>
      </c>
      <c r="B178" s="39">
        <v>531</v>
      </c>
      <c r="C178" s="34">
        <v>36</v>
      </c>
      <c r="D178" s="34">
        <v>10</v>
      </c>
    </row>
    <row r="179" spans="1:4" x14ac:dyDescent="0.3">
      <c r="A179" s="34">
        <v>79</v>
      </c>
      <c r="B179" s="39">
        <v>864</v>
      </c>
      <c r="C179" s="34">
        <v>27</v>
      </c>
      <c r="D179" s="34">
        <v>10</v>
      </c>
    </row>
    <row r="180" spans="1:4" x14ac:dyDescent="0.3">
      <c r="A180" s="34">
        <v>84</v>
      </c>
      <c r="B180" s="39">
        <v>599</v>
      </c>
      <c r="C180" s="34">
        <v>18</v>
      </c>
      <c r="D180" s="34">
        <v>10</v>
      </c>
    </row>
    <row r="181" spans="1:4" x14ac:dyDescent="0.3">
      <c r="A181" s="34">
        <v>85</v>
      </c>
      <c r="B181" s="39">
        <v>950</v>
      </c>
      <c r="C181" s="34">
        <v>24</v>
      </c>
      <c r="D181" s="34">
        <v>10</v>
      </c>
    </row>
    <row r="182" spans="1:4" x14ac:dyDescent="0.3">
      <c r="A182" s="34">
        <v>88</v>
      </c>
      <c r="B182" s="39">
        <v>854</v>
      </c>
      <c r="C182" s="34">
        <v>18</v>
      </c>
      <c r="D182" s="34">
        <v>10</v>
      </c>
    </row>
    <row r="183" spans="1:4" x14ac:dyDescent="0.3">
      <c r="A183" s="34">
        <v>94</v>
      </c>
      <c r="B183" s="39">
        <v>468</v>
      </c>
      <c r="C183" s="34">
        <v>48</v>
      </c>
      <c r="D183" s="34">
        <v>10</v>
      </c>
    </row>
    <row r="184" spans="1:4" x14ac:dyDescent="0.3">
      <c r="A184" s="34">
        <v>96</v>
      </c>
      <c r="B184" s="39">
        <v>943</v>
      </c>
      <c r="C184" s="34">
        <v>24</v>
      </c>
      <c r="D184" s="34">
        <v>10</v>
      </c>
    </row>
    <row r="185" spans="1:4" x14ac:dyDescent="0.3">
      <c r="A185" s="34">
        <v>103</v>
      </c>
      <c r="B185" s="39">
        <v>756</v>
      </c>
      <c r="C185" s="34">
        <v>24</v>
      </c>
      <c r="D185" s="34">
        <v>10</v>
      </c>
    </row>
    <row r="186" spans="1:4" x14ac:dyDescent="0.3">
      <c r="A186" s="34">
        <v>107</v>
      </c>
      <c r="B186" s="39">
        <v>16</v>
      </c>
      <c r="C186" s="34">
        <v>24</v>
      </c>
      <c r="D186" s="34">
        <v>10</v>
      </c>
    </row>
    <row r="187" spans="1:4" x14ac:dyDescent="0.3">
      <c r="A187" s="34">
        <v>110</v>
      </c>
      <c r="B187" s="39">
        <v>419</v>
      </c>
      <c r="C187" s="34">
        <v>21</v>
      </c>
      <c r="D187" s="34">
        <v>10</v>
      </c>
    </row>
    <row r="188" spans="1:4" x14ac:dyDescent="0.3">
      <c r="A188" s="34">
        <v>111</v>
      </c>
      <c r="B188" s="39">
        <v>527</v>
      </c>
      <c r="C188" s="34">
        <v>15</v>
      </c>
      <c r="D188" s="34">
        <v>10</v>
      </c>
    </row>
    <row r="189" spans="1:4" x14ac:dyDescent="0.3">
      <c r="A189" s="34">
        <v>118</v>
      </c>
      <c r="B189" s="39">
        <v>705</v>
      </c>
      <c r="C189" s="34">
        <v>27</v>
      </c>
      <c r="D189" s="34">
        <v>10</v>
      </c>
    </row>
    <row r="190" spans="1:4" x14ac:dyDescent="0.3">
      <c r="A190" s="34">
        <v>124</v>
      </c>
      <c r="B190" s="39">
        <v>186</v>
      </c>
      <c r="C190" s="34">
        <v>15</v>
      </c>
      <c r="D190" s="34">
        <v>10</v>
      </c>
    </row>
    <row r="191" spans="1:4" x14ac:dyDescent="0.3">
      <c r="A191" s="34">
        <v>133</v>
      </c>
      <c r="B191" s="39">
        <v>394</v>
      </c>
      <c r="C191" s="34">
        <v>6</v>
      </c>
      <c r="D191" s="34">
        <v>10</v>
      </c>
    </row>
    <row r="192" spans="1:4" x14ac:dyDescent="0.3">
      <c r="A192" s="34">
        <v>142</v>
      </c>
      <c r="B192" s="39">
        <v>645</v>
      </c>
      <c r="C192" s="34">
        <v>18</v>
      </c>
      <c r="D192" s="34">
        <v>10</v>
      </c>
    </row>
    <row r="193" spans="1:4" x14ac:dyDescent="0.3">
      <c r="A193" s="34">
        <v>144</v>
      </c>
      <c r="B193" s="39">
        <v>795</v>
      </c>
      <c r="C193" s="34">
        <v>24</v>
      </c>
      <c r="D193" s="34">
        <v>10</v>
      </c>
    </row>
    <row r="194" spans="1:4" x14ac:dyDescent="0.3">
      <c r="A194" s="34">
        <v>151</v>
      </c>
      <c r="B194" s="39">
        <v>543</v>
      </c>
      <c r="C194" s="34">
        <v>30</v>
      </c>
      <c r="D194" s="34">
        <v>10</v>
      </c>
    </row>
    <row r="195" spans="1:4" x14ac:dyDescent="0.3">
      <c r="A195" s="34">
        <v>155</v>
      </c>
      <c r="B195" s="39">
        <v>720</v>
      </c>
      <c r="C195" s="34">
        <v>20</v>
      </c>
      <c r="D195" s="34">
        <v>10</v>
      </c>
    </row>
    <row r="196" spans="1:4" x14ac:dyDescent="0.3">
      <c r="A196" s="34">
        <v>165</v>
      </c>
      <c r="B196" s="39">
        <v>896</v>
      </c>
      <c r="C196" s="34">
        <v>36</v>
      </c>
      <c r="D196" s="34">
        <v>10</v>
      </c>
    </row>
    <row r="197" spans="1:4" x14ac:dyDescent="0.3">
      <c r="A197" s="34">
        <v>166</v>
      </c>
      <c r="B197" s="39">
        <v>54</v>
      </c>
      <c r="C197" s="34">
        <v>18</v>
      </c>
      <c r="D197" s="34">
        <v>10</v>
      </c>
    </row>
    <row r="198" spans="1:4" x14ac:dyDescent="0.3">
      <c r="A198" s="34">
        <v>172</v>
      </c>
      <c r="B198" s="39">
        <v>767</v>
      </c>
      <c r="C198" s="34">
        <v>30</v>
      </c>
      <c r="D198" s="34">
        <v>10</v>
      </c>
    </row>
    <row r="199" spans="1:4" x14ac:dyDescent="0.3">
      <c r="A199" s="34">
        <v>177</v>
      </c>
      <c r="B199" s="39">
        <v>560</v>
      </c>
      <c r="C199" s="34">
        <v>18</v>
      </c>
      <c r="D199" s="34">
        <v>10</v>
      </c>
    </row>
    <row r="200" spans="1:4" x14ac:dyDescent="0.3">
      <c r="A200" s="34">
        <v>178</v>
      </c>
      <c r="B200" s="39">
        <v>279</v>
      </c>
      <c r="C200" s="34">
        <v>6</v>
      </c>
      <c r="D200" s="34">
        <v>10</v>
      </c>
    </row>
    <row r="201" spans="1:4" x14ac:dyDescent="0.3">
      <c r="A201" s="34">
        <v>182</v>
      </c>
      <c r="B201" s="39">
        <v>685</v>
      </c>
      <c r="C201" s="34">
        <v>36</v>
      </c>
      <c r="D201" s="34">
        <v>10</v>
      </c>
    </row>
    <row r="202" spans="1:4" x14ac:dyDescent="0.3">
      <c r="A202" s="34">
        <v>187</v>
      </c>
      <c r="B202" s="39">
        <v>329</v>
      </c>
      <c r="C202" s="34">
        <v>36</v>
      </c>
      <c r="D202" s="34">
        <v>10</v>
      </c>
    </row>
    <row r="203" spans="1:4" x14ac:dyDescent="0.3">
      <c r="A203" s="34">
        <v>191</v>
      </c>
      <c r="B203" s="39">
        <v>548</v>
      </c>
      <c r="C203" s="34">
        <v>24</v>
      </c>
      <c r="D203" s="34">
        <v>10</v>
      </c>
    </row>
    <row r="204" spans="1:4" x14ac:dyDescent="0.3">
      <c r="A204" s="34">
        <v>193</v>
      </c>
      <c r="B204" s="39">
        <v>455</v>
      </c>
      <c r="C204" s="34">
        <v>24</v>
      </c>
      <c r="D204" s="34">
        <v>10</v>
      </c>
    </row>
    <row r="205" spans="1:4" x14ac:dyDescent="0.3">
      <c r="A205" s="34">
        <v>196</v>
      </c>
      <c r="B205" s="39">
        <v>108</v>
      </c>
      <c r="C205" s="34">
        <v>12</v>
      </c>
      <c r="D205" s="34">
        <v>10</v>
      </c>
    </row>
    <row r="206" spans="1:4" x14ac:dyDescent="0.3">
      <c r="A206" s="34">
        <v>199</v>
      </c>
      <c r="B206" s="39">
        <v>395</v>
      </c>
      <c r="C206" s="34">
        <v>9</v>
      </c>
      <c r="D206" s="34">
        <v>10</v>
      </c>
    </row>
    <row r="207" spans="1:4" x14ac:dyDescent="0.3">
      <c r="A207" s="34">
        <v>200</v>
      </c>
      <c r="B207" s="39">
        <v>600</v>
      </c>
      <c r="C207" s="34">
        <v>24</v>
      </c>
      <c r="D207" s="34">
        <v>10</v>
      </c>
    </row>
    <row r="208" spans="1:4" x14ac:dyDescent="0.3">
      <c r="A208" s="34">
        <v>202</v>
      </c>
      <c r="B208" s="39">
        <v>647</v>
      </c>
      <c r="C208" s="34">
        <v>30</v>
      </c>
      <c r="D208" s="34">
        <v>10</v>
      </c>
    </row>
    <row r="209" spans="1:4" x14ac:dyDescent="0.3">
      <c r="A209" s="34">
        <v>204</v>
      </c>
      <c r="B209" s="39">
        <v>58</v>
      </c>
      <c r="C209" s="34">
        <v>36</v>
      </c>
      <c r="D209" s="34">
        <v>10</v>
      </c>
    </row>
    <row r="210" spans="1:4" x14ac:dyDescent="0.3">
      <c r="A210" s="34">
        <v>210</v>
      </c>
      <c r="B210" s="39">
        <v>996</v>
      </c>
      <c r="C210" s="34">
        <v>12</v>
      </c>
      <c r="D210" s="34">
        <v>10</v>
      </c>
    </row>
    <row r="211" spans="1:4" x14ac:dyDescent="0.3">
      <c r="A211" s="34">
        <v>219</v>
      </c>
      <c r="B211" s="39">
        <v>20</v>
      </c>
      <c r="C211" s="34">
        <v>24</v>
      </c>
      <c r="D211" s="34">
        <v>10</v>
      </c>
    </row>
    <row r="212" spans="1:4" x14ac:dyDescent="0.3">
      <c r="A212" s="34">
        <v>226</v>
      </c>
      <c r="B212" s="39">
        <v>460</v>
      </c>
      <c r="C212" s="34">
        <v>18</v>
      </c>
      <c r="D212" s="34">
        <v>10</v>
      </c>
    </row>
    <row r="213" spans="1:4" x14ac:dyDescent="0.3">
      <c r="A213" s="34">
        <v>227</v>
      </c>
      <c r="B213" s="39">
        <v>672</v>
      </c>
      <c r="C213" s="34">
        <v>36</v>
      </c>
      <c r="D213" s="34">
        <v>10</v>
      </c>
    </row>
    <row r="214" spans="1:4" x14ac:dyDescent="0.3">
      <c r="A214" s="34">
        <v>234</v>
      </c>
      <c r="B214" s="39">
        <v>783</v>
      </c>
      <c r="C214" s="34">
        <v>12</v>
      </c>
      <c r="D214" s="34">
        <v>10</v>
      </c>
    </row>
    <row r="215" spans="1:4" x14ac:dyDescent="0.3">
      <c r="A215" s="34">
        <v>241</v>
      </c>
      <c r="B215" s="39">
        <v>622</v>
      </c>
      <c r="C215" s="34">
        <v>18</v>
      </c>
      <c r="D215" s="34">
        <v>10</v>
      </c>
    </row>
    <row r="216" spans="1:4" x14ac:dyDescent="0.3">
      <c r="A216" s="34">
        <v>244</v>
      </c>
      <c r="B216" s="39">
        <v>512</v>
      </c>
      <c r="C216" s="34">
        <v>36</v>
      </c>
      <c r="D216" s="34">
        <v>10</v>
      </c>
    </row>
    <row r="217" spans="1:4" x14ac:dyDescent="0.3">
      <c r="A217" s="34">
        <v>245</v>
      </c>
      <c r="B217" s="39">
        <v>759</v>
      </c>
      <c r="C217" s="34">
        <v>24</v>
      </c>
      <c r="D217" s="34">
        <v>10</v>
      </c>
    </row>
    <row r="218" spans="1:4" x14ac:dyDescent="0.3">
      <c r="A218" s="34">
        <v>252</v>
      </c>
      <c r="B218" s="39">
        <v>316</v>
      </c>
      <c r="C218" s="34">
        <v>36</v>
      </c>
      <c r="D218" s="34">
        <v>10</v>
      </c>
    </row>
    <row r="219" spans="1:4" x14ac:dyDescent="0.3">
      <c r="A219" s="34">
        <v>262</v>
      </c>
      <c r="B219" s="39">
        <v>166</v>
      </c>
      <c r="C219" s="34">
        <v>6</v>
      </c>
      <c r="D219" s="34">
        <v>10</v>
      </c>
    </row>
    <row r="220" spans="1:4" x14ac:dyDescent="0.3">
      <c r="A220" s="34">
        <v>274</v>
      </c>
      <c r="B220" s="39">
        <v>179</v>
      </c>
      <c r="C220" s="34">
        <v>12</v>
      </c>
      <c r="D220" s="34">
        <v>10</v>
      </c>
    </row>
    <row r="221" spans="1:4" x14ac:dyDescent="0.3">
      <c r="A221" s="34">
        <v>283</v>
      </c>
      <c r="B221" s="39">
        <v>917</v>
      </c>
      <c r="C221" s="34">
        <v>10</v>
      </c>
      <c r="D221" s="34">
        <v>10</v>
      </c>
    </row>
    <row r="222" spans="1:4" x14ac:dyDescent="0.3">
      <c r="A222" s="34">
        <v>290</v>
      </c>
      <c r="B222" s="39">
        <v>942</v>
      </c>
      <c r="C222" s="34">
        <v>10</v>
      </c>
      <c r="D222" s="34">
        <v>10</v>
      </c>
    </row>
    <row r="223" spans="1:4" x14ac:dyDescent="0.3">
      <c r="A223" s="34">
        <v>294</v>
      </c>
      <c r="B223" s="39">
        <v>690</v>
      </c>
      <c r="C223" s="34">
        <v>12</v>
      </c>
      <c r="D223" s="34">
        <v>10</v>
      </c>
    </row>
    <row r="224" spans="1:4" x14ac:dyDescent="0.3">
      <c r="A224" s="34">
        <v>300</v>
      </c>
      <c r="B224" s="39">
        <v>719</v>
      </c>
      <c r="C224" s="34">
        <v>24</v>
      </c>
      <c r="D224" s="34">
        <v>10</v>
      </c>
    </row>
    <row r="225" spans="1:4" x14ac:dyDescent="0.3">
      <c r="A225" s="34">
        <v>301</v>
      </c>
      <c r="B225" s="39">
        <v>596</v>
      </c>
      <c r="C225" s="34">
        <v>6</v>
      </c>
      <c r="D225" s="34">
        <v>10</v>
      </c>
    </row>
    <row r="226" spans="1:4" x14ac:dyDescent="0.3">
      <c r="A226" s="34">
        <v>305</v>
      </c>
      <c r="B226" s="39">
        <v>916</v>
      </c>
      <c r="C226" s="34">
        <v>48</v>
      </c>
      <c r="D226" s="34">
        <v>10</v>
      </c>
    </row>
    <row r="227" spans="1:4" x14ac:dyDescent="0.3">
      <c r="A227" s="34">
        <v>307</v>
      </c>
      <c r="B227" s="39">
        <v>271</v>
      </c>
      <c r="C227" s="34">
        <v>18</v>
      </c>
      <c r="D227" s="34">
        <v>10</v>
      </c>
    </row>
    <row r="228" spans="1:4" x14ac:dyDescent="0.3">
      <c r="A228" s="34">
        <v>308</v>
      </c>
      <c r="B228" s="39">
        <v>217</v>
      </c>
      <c r="C228" s="34">
        <v>18</v>
      </c>
      <c r="D228" s="34">
        <v>10</v>
      </c>
    </row>
    <row r="229" spans="1:4" x14ac:dyDescent="0.3">
      <c r="A229" s="34">
        <v>325</v>
      </c>
      <c r="B229" s="39">
        <v>350</v>
      </c>
      <c r="C229" s="34">
        <v>9</v>
      </c>
      <c r="D229" s="34">
        <v>10</v>
      </c>
    </row>
    <row r="230" spans="1:4" x14ac:dyDescent="0.3">
      <c r="A230" s="34">
        <v>327</v>
      </c>
      <c r="B230" s="39">
        <v>37</v>
      </c>
      <c r="C230" s="34">
        <v>48</v>
      </c>
      <c r="D230" s="34">
        <v>10</v>
      </c>
    </row>
    <row r="231" spans="1:4" x14ac:dyDescent="0.3">
      <c r="A231" s="34">
        <v>334</v>
      </c>
      <c r="B231" s="39">
        <v>915</v>
      </c>
      <c r="C231" s="34">
        <v>24</v>
      </c>
      <c r="D231" s="34">
        <v>10</v>
      </c>
    </row>
    <row r="232" spans="1:4" x14ac:dyDescent="0.3">
      <c r="A232" s="34">
        <v>350</v>
      </c>
      <c r="B232" s="39">
        <v>111</v>
      </c>
      <c r="C232" s="34">
        <v>6</v>
      </c>
      <c r="D232" s="34">
        <v>10</v>
      </c>
    </row>
    <row r="233" spans="1:4" x14ac:dyDescent="0.3">
      <c r="A233" s="34">
        <v>353</v>
      </c>
      <c r="B233" s="39">
        <v>711</v>
      </c>
      <c r="C233" s="34">
        <v>18</v>
      </c>
      <c r="D233" s="34">
        <v>10</v>
      </c>
    </row>
    <row r="234" spans="1:4" x14ac:dyDescent="0.3">
      <c r="A234" s="34">
        <v>363</v>
      </c>
      <c r="B234" s="39">
        <v>288</v>
      </c>
      <c r="C234" s="34">
        <v>48</v>
      </c>
      <c r="D234" s="34">
        <v>10</v>
      </c>
    </row>
    <row r="235" spans="1:4" x14ac:dyDescent="0.3">
      <c r="A235" s="34">
        <v>369</v>
      </c>
      <c r="B235" s="39">
        <v>529</v>
      </c>
      <c r="C235" s="34">
        <v>36</v>
      </c>
      <c r="D235" s="34">
        <v>10</v>
      </c>
    </row>
    <row r="236" spans="1:4" x14ac:dyDescent="0.3">
      <c r="A236" s="34">
        <v>373</v>
      </c>
      <c r="B236" s="39">
        <v>265</v>
      </c>
      <c r="C236" s="34">
        <v>10</v>
      </c>
      <c r="D236" s="34">
        <v>10</v>
      </c>
    </row>
    <row r="237" spans="1:4" x14ac:dyDescent="0.3">
      <c r="A237" s="34">
        <v>374</v>
      </c>
      <c r="B237" s="39">
        <v>570</v>
      </c>
      <c r="C237" s="34">
        <v>48</v>
      </c>
      <c r="D237" s="34">
        <v>10</v>
      </c>
    </row>
    <row r="238" spans="1:4" x14ac:dyDescent="0.3">
      <c r="A238" s="34">
        <v>23</v>
      </c>
      <c r="B238" s="39">
        <v>371</v>
      </c>
      <c r="C238" s="34">
        <v>36</v>
      </c>
      <c r="D238" s="34">
        <v>13</v>
      </c>
    </row>
    <row r="239" spans="1:4" x14ac:dyDescent="0.3">
      <c r="A239" s="34">
        <v>35</v>
      </c>
      <c r="B239" s="39">
        <v>629</v>
      </c>
      <c r="C239" s="34">
        <v>42</v>
      </c>
      <c r="D239" s="34">
        <v>13</v>
      </c>
    </row>
    <row r="240" spans="1:4" x14ac:dyDescent="0.3">
      <c r="A240" s="34">
        <v>39</v>
      </c>
      <c r="B240" s="39">
        <v>120</v>
      </c>
      <c r="C240" s="34">
        <v>12</v>
      </c>
      <c r="D240" s="34">
        <v>13</v>
      </c>
    </row>
    <row r="241" spans="1:4" x14ac:dyDescent="0.3">
      <c r="A241" s="34">
        <v>43</v>
      </c>
      <c r="B241" s="39">
        <v>325</v>
      </c>
      <c r="C241" s="34">
        <v>18</v>
      </c>
      <c r="D241" s="34">
        <v>13</v>
      </c>
    </row>
    <row r="242" spans="1:4" x14ac:dyDescent="0.3">
      <c r="A242" s="34">
        <v>52</v>
      </c>
      <c r="B242" s="39">
        <v>155</v>
      </c>
      <c r="C242" s="34">
        <v>24</v>
      </c>
      <c r="D242" s="34">
        <v>13</v>
      </c>
    </row>
    <row r="243" spans="1:4" x14ac:dyDescent="0.3">
      <c r="A243" s="34">
        <v>58</v>
      </c>
      <c r="B243" s="39">
        <v>31</v>
      </c>
      <c r="C243" s="34">
        <v>18</v>
      </c>
      <c r="D243" s="34">
        <v>13</v>
      </c>
    </row>
    <row r="244" spans="1:4" x14ac:dyDescent="0.3">
      <c r="A244" s="34">
        <v>63</v>
      </c>
      <c r="B244" s="39">
        <v>730</v>
      </c>
      <c r="C244" s="34">
        <v>24</v>
      </c>
      <c r="D244" s="34">
        <v>13</v>
      </c>
    </row>
    <row r="245" spans="1:4" x14ac:dyDescent="0.3">
      <c r="A245" s="34">
        <v>65</v>
      </c>
      <c r="B245" s="39">
        <v>26</v>
      </c>
      <c r="C245" s="34">
        <v>6</v>
      </c>
      <c r="D245" s="34">
        <v>13</v>
      </c>
    </row>
    <row r="246" spans="1:4" x14ac:dyDescent="0.3">
      <c r="A246" s="34">
        <v>87</v>
      </c>
      <c r="B246" s="39">
        <v>185</v>
      </c>
      <c r="C246" s="34">
        <v>18</v>
      </c>
      <c r="D246" s="34">
        <v>13</v>
      </c>
    </row>
    <row r="247" spans="1:4" x14ac:dyDescent="0.3">
      <c r="A247" s="34">
        <v>89</v>
      </c>
      <c r="B247" s="39">
        <v>520</v>
      </c>
      <c r="C247" s="34">
        <v>6</v>
      </c>
      <c r="D247" s="34">
        <v>13</v>
      </c>
    </row>
    <row r="248" spans="1:4" x14ac:dyDescent="0.3">
      <c r="A248" s="34">
        <v>105</v>
      </c>
      <c r="B248" s="39">
        <v>507</v>
      </c>
      <c r="C248" s="34">
        <v>15</v>
      </c>
      <c r="D248" s="34">
        <v>13</v>
      </c>
    </row>
    <row r="249" spans="1:4" x14ac:dyDescent="0.3">
      <c r="A249" s="34">
        <v>113</v>
      </c>
      <c r="B249" s="39">
        <v>567</v>
      </c>
      <c r="C249" s="34">
        <v>12</v>
      </c>
      <c r="D249" s="34">
        <v>13</v>
      </c>
    </row>
    <row r="250" spans="1:4" x14ac:dyDescent="0.3">
      <c r="A250" s="34">
        <v>132</v>
      </c>
      <c r="B250" s="39">
        <v>193</v>
      </c>
      <c r="C250" s="34">
        <v>27</v>
      </c>
      <c r="D250" s="34">
        <v>13</v>
      </c>
    </row>
    <row r="251" spans="1:4" x14ac:dyDescent="0.3">
      <c r="A251" s="34">
        <v>141</v>
      </c>
      <c r="B251" s="39">
        <v>773</v>
      </c>
      <c r="C251" s="34">
        <v>21</v>
      </c>
      <c r="D251" s="34">
        <v>13</v>
      </c>
    </row>
    <row r="252" spans="1:4" x14ac:dyDescent="0.3">
      <c r="A252" s="34">
        <v>161</v>
      </c>
      <c r="B252" s="39">
        <v>880</v>
      </c>
      <c r="C252" s="34">
        <v>30</v>
      </c>
      <c r="D252" s="34">
        <v>13</v>
      </c>
    </row>
    <row r="253" spans="1:4" x14ac:dyDescent="0.3">
      <c r="A253" s="34">
        <v>171</v>
      </c>
      <c r="B253" s="39">
        <v>163</v>
      </c>
      <c r="C253" s="34">
        <v>15</v>
      </c>
      <c r="D253" s="34">
        <v>13</v>
      </c>
    </row>
    <row r="254" spans="1:4" x14ac:dyDescent="0.3">
      <c r="A254" s="34">
        <v>176</v>
      </c>
      <c r="B254" s="39">
        <v>433</v>
      </c>
      <c r="C254" s="34">
        <v>6</v>
      </c>
      <c r="D254" s="34">
        <v>13</v>
      </c>
    </row>
    <row r="255" spans="1:4" x14ac:dyDescent="0.3">
      <c r="A255" s="34">
        <v>181</v>
      </c>
      <c r="B255" s="39">
        <v>366</v>
      </c>
      <c r="C255" s="34">
        <v>12</v>
      </c>
      <c r="D255" s="34">
        <v>13</v>
      </c>
    </row>
    <row r="256" spans="1:4" x14ac:dyDescent="0.3">
      <c r="A256" s="34">
        <v>184</v>
      </c>
      <c r="B256" s="39">
        <v>883</v>
      </c>
      <c r="C256" s="34">
        <v>30</v>
      </c>
      <c r="D256" s="34">
        <v>13</v>
      </c>
    </row>
    <row r="257" spans="1:4" x14ac:dyDescent="0.3">
      <c r="A257" s="34">
        <v>188</v>
      </c>
      <c r="B257" s="39">
        <v>598</v>
      </c>
      <c r="C257" s="34">
        <v>24</v>
      </c>
      <c r="D257" s="34">
        <v>13</v>
      </c>
    </row>
    <row r="258" spans="1:4" x14ac:dyDescent="0.3">
      <c r="A258" s="34">
        <v>189</v>
      </c>
      <c r="B258" s="39">
        <v>587</v>
      </c>
      <c r="C258" s="34">
        <v>9</v>
      </c>
      <c r="D258" s="34">
        <v>13</v>
      </c>
    </row>
    <row r="259" spans="1:4" x14ac:dyDescent="0.3">
      <c r="A259" s="34">
        <v>195</v>
      </c>
      <c r="B259" s="39">
        <v>161</v>
      </c>
      <c r="C259" s="34">
        <v>24</v>
      </c>
      <c r="D259" s="34">
        <v>13</v>
      </c>
    </row>
    <row r="260" spans="1:4" x14ac:dyDescent="0.3">
      <c r="A260" s="34">
        <v>216</v>
      </c>
      <c r="B260" s="39">
        <v>593</v>
      </c>
      <c r="C260" s="34">
        <v>21</v>
      </c>
      <c r="D260" s="34">
        <v>13</v>
      </c>
    </row>
    <row r="261" spans="1:4" x14ac:dyDescent="0.3">
      <c r="A261" s="34">
        <v>237</v>
      </c>
      <c r="B261" s="39">
        <v>877</v>
      </c>
      <c r="C261" s="34">
        <v>18</v>
      </c>
      <c r="D261" s="34">
        <v>13</v>
      </c>
    </row>
    <row r="262" spans="1:4" x14ac:dyDescent="0.3">
      <c r="A262" s="34">
        <v>242</v>
      </c>
      <c r="B262" s="39">
        <v>363</v>
      </c>
      <c r="C262" s="34">
        <v>12</v>
      </c>
      <c r="D262" s="34">
        <v>13</v>
      </c>
    </row>
    <row r="263" spans="1:4" x14ac:dyDescent="0.3">
      <c r="A263" s="34">
        <v>247</v>
      </c>
      <c r="B263" s="39">
        <v>100</v>
      </c>
      <c r="C263" s="34">
        <v>20</v>
      </c>
      <c r="D263" s="34">
        <v>13</v>
      </c>
    </row>
    <row r="264" spans="1:4" x14ac:dyDescent="0.3">
      <c r="A264" s="34">
        <v>254</v>
      </c>
      <c r="B264" s="39">
        <v>263</v>
      </c>
      <c r="C264" s="34">
        <v>18</v>
      </c>
      <c r="D264" s="34">
        <v>13</v>
      </c>
    </row>
    <row r="265" spans="1:4" x14ac:dyDescent="0.3">
      <c r="A265" s="34">
        <v>256</v>
      </c>
      <c r="B265" s="39">
        <v>165</v>
      </c>
      <c r="C265" s="34">
        <v>36</v>
      </c>
      <c r="D265" s="34">
        <v>13</v>
      </c>
    </row>
    <row r="266" spans="1:4" x14ac:dyDescent="0.3">
      <c r="A266" s="34">
        <v>258</v>
      </c>
      <c r="B266" s="39">
        <v>267</v>
      </c>
      <c r="C266" s="34">
        <v>36</v>
      </c>
      <c r="D266" s="34">
        <v>13</v>
      </c>
    </row>
    <row r="267" spans="1:4" x14ac:dyDescent="0.3">
      <c r="A267" s="34">
        <v>263</v>
      </c>
      <c r="B267" s="39">
        <v>457</v>
      </c>
      <c r="C267" s="34">
        <v>11</v>
      </c>
      <c r="D267" s="34">
        <v>13</v>
      </c>
    </row>
    <row r="268" spans="1:4" x14ac:dyDescent="0.3">
      <c r="A268" s="34">
        <v>267</v>
      </c>
      <c r="B268" s="39">
        <v>905</v>
      </c>
      <c r="C268" s="34">
        <v>24</v>
      </c>
      <c r="D268" s="34">
        <v>13</v>
      </c>
    </row>
    <row r="269" spans="1:4" x14ac:dyDescent="0.3">
      <c r="A269" s="34">
        <v>277</v>
      </c>
      <c r="B269" s="39">
        <v>974</v>
      </c>
      <c r="C269" s="34">
        <v>60</v>
      </c>
      <c r="D269" s="34">
        <v>13</v>
      </c>
    </row>
    <row r="270" spans="1:4" x14ac:dyDescent="0.3">
      <c r="A270" s="34">
        <v>279</v>
      </c>
      <c r="B270" s="39">
        <v>828</v>
      </c>
      <c r="C270" s="34">
        <v>18</v>
      </c>
      <c r="D270" s="34">
        <v>13</v>
      </c>
    </row>
    <row r="271" spans="1:4" x14ac:dyDescent="0.3">
      <c r="A271" s="34">
        <v>299</v>
      </c>
      <c r="B271" s="39">
        <v>273</v>
      </c>
      <c r="C271" s="34">
        <v>48</v>
      </c>
      <c r="D271" s="34">
        <v>13</v>
      </c>
    </row>
    <row r="272" spans="1:4" x14ac:dyDescent="0.3">
      <c r="A272" s="34">
        <v>333</v>
      </c>
      <c r="B272" s="39">
        <v>378</v>
      </c>
      <c r="C272" s="34">
        <v>7</v>
      </c>
      <c r="D272" s="34">
        <v>13</v>
      </c>
    </row>
    <row r="273" spans="1:4" x14ac:dyDescent="0.3">
      <c r="A273" s="34">
        <v>337</v>
      </c>
      <c r="B273" s="39">
        <v>462</v>
      </c>
      <c r="C273" s="34">
        <v>15</v>
      </c>
      <c r="D273" s="34">
        <v>13</v>
      </c>
    </row>
    <row r="274" spans="1:4" x14ac:dyDescent="0.3">
      <c r="A274" s="34">
        <v>359</v>
      </c>
      <c r="B274" s="39">
        <v>199</v>
      </c>
      <c r="C274" s="34">
        <v>24</v>
      </c>
      <c r="D274" s="34">
        <v>13</v>
      </c>
    </row>
    <row r="275" spans="1:4" x14ac:dyDescent="0.3">
      <c r="A275" s="34">
        <v>377</v>
      </c>
      <c r="B275" s="39">
        <v>474</v>
      </c>
      <c r="C275" s="34">
        <v>6</v>
      </c>
      <c r="D275" s="34">
        <v>13</v>
      </c>
    </row>
    <row r="276" spans="1:4" x14ac:dyDescent="0.3">
      <c r="A276" s="34">
        <v>387</v>
      </c>
      <c r="B276" s="39">
        <v>99</v>
      </c>
      <c r="C276" s="34">
        <v>36</v>
      </c>
      <c r="D276" s="34">
        <v>13</v>
      </c>
    </row>
    <row r="277" spans="1:4" x14ac:dyDescent="0.3">
      <c r="A277" s="34">
        <v>16</v>
      </c>
      <c r="B277" s="39">
        <v>944</v>
      </c>
      <c r="C277" s="34">
        <v>4</v>
      </c>
      <c r="D277" s="34">
        <v>16</v>
      </c>
    </row>
    <row r="278" spans="1:4" x14ac:dyDescent="0.3">
      <c r="A278" s="34">
        <v>18</v>
      </c>
      <c r="B278" s="39">
        <v>654</v>
      </c>
      <c r="C278" s="34">
        <v>36</v>
      </c>
      <c r="D278" s="34">
        <v>16</v>
      </c>
    </row>
    <row r="279" spans="1:4" x14ac:dyDescent="0.3">
      <c r="A279" s="34">
        <v>24</v>
      </c>
      <c r="B279" s="39">
        <v>934</v>
      </c>
      <c r="C279" s="34">
        <v>12</v>
      </c>
      <c r="D279" s="34">
        <v>16</v>
      </c>
    </row>
    <row r="280" spans="1:4" x14ac:dyDescent="0.3">
      <c r="A280" s="34">
        <v>42</v>
      </c>
      <c r="B280" s="39">
        <v>972</v>
      </c>
      <c r="C280" s="34">
        <v>24</v>
      </c>
      <c r="D280" s="34">
        <v>16</v>
      </c>
    </row>
    <row r="281" spans="1:4" x14ac:dyDescent="0.3">
      <c r="A281" s="34">
        <v>48</v>
      </c>
      <c r="B281" s="39">
        <v>819</v>
      </c>
      <c r="C281" s="34">
        <v>36</v>
      </c>
      <c r="D281" s="34">
        <v>16</v>
      </c>
    </row>
    <row r="282" spans="1:4" x14ac:dyDescent="0.3">
      <c r="A282" s="34">
        <v>53</v>
      </c>
      <c r="B282" s="39">
        <v>673</v>
      </c>
      <c r="C282" s="34">
        <v>60</v>
      </c>
      <c r="D282" s="34">
        <v>16</v>
      </c>
    </row>
    <row r="283" spans="1:4" x14ac:dyDescent="0.3">
      <c r="A283" s="34">
        <v>73</v>
      </c>
      <c r="B283" s="39">
        <v>519</v>
      </c>
      <c r="C283" s="34">
        <v>6</v>
      </c>
      <c r="D283" s="34">
        <v>16</v>
      </c>
    </row>
    <row r="284" spans="1:4" x14ac:dyDescent="0.3">
      <c r="A284" s="34">
        <v>80</v>
      </c>
      <c r="B284" s="39">
        <v>369</v>
      </c>
      <c r="C284" s="34">
        <v>36</v>
      </c>
      <c r="D284" s="34">
        <v>16</v>
      </c>
    </row>
    <row r="285" spans="1:4" x14ac:dyDescent="0.3">
      <c r="A285" s="34">
        <v>82</v>
      </c>
      <c r="B285" s="39">
        <v>207</v>
      </c>
      <c r="C285" s="34">
        <v>12</v>
      </c>
      <c r="D285" s="34">
        <v>16</v>
      </c>
    </row>
    <row r="286" spans="1:4" x14ac:dyDescent="0.3">
      <c r="A286" s="34">
        <v>93</v>
      </c>
      <c r="B286" s="39">
        <v>901</v>
      </c>
      <c r="C286" s="34">
        <v>16</v>
      </c>
      <c r="D286" s="34">
        <v>16</v>
      </c>
    </row>
    <row r="287" spans="1:4" x14ac:dyDescent="0.3">
      <c r="A287" s="34">
        <v>101</v>
      </c>
      <c r="B287" s="39">
        <v>502</v>
      </c>
      <c r="C287" s="34">
        <v>36</v>
      </c>
      <c r="D287" s="34">
        <v>16</v>
      </c>
    </row>
    <row r="288" spans="1:4" x14ac:dyDescent="0.3">
      <c r="A288" s="34">
        <v>109</v>
      </c>
      <c r="B288" s="39">
        <v>852</v>
      </c>
      <c r="C288" s="34">
        <v>24</v>
      </c>
      <c r="D288" s="34">
        <v>16</v>
      </c>
    </row>
    <row r="289" spans="1:4" x14ac:dyDescent="0.3">
      <c r="A289" s="34">
        <v>134</v>
      </c>
      <c r="B289" s="39">
        <v>413</v>
      </c>
      <c r="C289" s="34">
        <v>12</v>
      </c>
      <c r="D289" s="34">
        <v>16</v>
      </c>
    </row>
    <row r="290" spans="1:4" x14ac:dyDescent="0.3">
      <c r="A290" s="34">
        <v>147</v>
      </c>
      <c r="B290" s="39">
        <v>903</v>
      </c>
      <c r="C290" s="34">
        <v>36</v>
      </c>
      <c r="D290" s="34">
        <v>16</v>
      </c>
    </row>
    <row r="291" spans="1:4" x14ac:dyDescent="0.3">
      <c r="A291" s="34">
        <v>149</v>
      </c>
      <c r="B291" s="39">
        <v>235</v>
      </c>
      <c r="C291" s="34">
        <v>4</v>
      </c>
      <c r="D291" s="34">
        <v>16</v>
      </c>
    </row>
    <row r="292" spans="1:4" x14ac:dyDescent="0.3">
      <c r="A292" s="34">
        <v>159</v>
      </c>
      <c r="B292" s="39">
        <v>868</v>
      </c>
      <c r="C292" s="34">
        <v>12</v>
      </c>
      <c r="D292" s="34">
        <v>16</v>
      </c>
    </row>
    <row r="293" spans="1:4" x14ac:dyDescent="0.3">
      <c r="A293" s="34">
        <v>160</v>
      </c>
      <c r="B293" s="39">
        <v>346</v>
      </c>
      <c r="C293" s="34">
        <v>15</v>
      </c>
      <c r="D293" s="34">
        <v>16</v>
      </c>
    </row>
    <row r="294" spans="1:4" x14ac:dyDescent="0.3">
      <c r="A294" s="34">
        <v>162</v>
      </c>
      <c r="B294" s="39">
        <v>900</v>
      </c>
      <c r="C294" s="34">
        <v>18</v>
      </c>
      <c r="D294" s="34">
        <v>16</v>
      </c>
    </row>
    <row r="295" spans="1:4" x14ac:dyDescent="0.3">
      <c r="A295" s="34">
        <v>174</v>
      </c>
      <c r="B295" s="39">
        <v>28</v>
      </c>
      <c r="C295" s="34">
        <v>12</v>
      </c>
      <c r="D295" s="34">
        <v>16</v>
      </c>
    </row>
    <row r="296" spans="1:4" x14ac:dyDescent="0.3">
      <c r="A296" s="34">
        <v>180</v>
      </c>
      <c r="B296" s="39">
        <v>539</v>
      </c>
      <c r="C296" s="34">
        <v>48</v>
      </c>
      <c r="D296" s="34">
        <v>16</v>
      </c>
    </row>
    <row r="297" spans="1:4" x14ac:dyDescent="0.3">
      <c r="A297" s="34">
        <v>194</v>
      </c>
      <c r="B297" s="39">
        <v>669</v>
      </c>
      <c r="C297" s="34">
        <v>12</v>
      </c>
      <c r="D297" s="34">
        <v>16</v>
      </c>
    </row>
    <row r="298" spans="1:4" x14ac:dyDescent="0.3">
      <c r="A298" s="34">
        <v>207</v>
      </c>
      <c r="B298" s="39">
        <v>299</v>
      </c>
      <c r="C298" s="34">
        <v>18</v>
      </c>
      <c r="D298" s="34">
        <v>16</v>
      </c>
    </row>
    <row r="299" spans="1:4" x14ac:dyDescent="0.3">
      <c r="A299" s="34">
        <v>215</v>
      </c>
      <c r="B299" s="39">
        <v>492</v>
      </c>
      <c r="C299" s="34">
        <v>27</v>
      </c>
      <c r="D299" s="34">
        <v>16</v>
      </c>
    </row>
    <row r="300" spans="1:4" x14ac:dyDescent="0.3">
      <c r="A300" s="34">
        <v>225</v>
      </c>
      <c r="B300" s="39">
        <v>978</v>
      </c>
      <c r="C300" s="34">
        <v>18</v>
      </c>
      <c r="D300" s="34">
        <v>16</v>
      </c>
    </row>
    <row r="301" spans="1:4" x14ac:dyDescent="0.3">
      <c r="A301" s="34">
        <v>232</v>
      </c>
      <c r="B301" s="39">
        <v>177</v>
      </c>
      <c r="C301" s="34">
        <v>12</v>
      </c>
      <c r="D301" s="34">
        <v>16</v>
      </c>
    </row>
    <row r="302" spans="1:4" x14ac:dyDescent="0.3">
      <c r="A302" s="34">
        <v>248</v>
      </c>
      <c r="B302" s="39">
        <v>302</v>
      </c>
      <c r="C302" s="34">
        <v>36</v>
      </c>
      <c r="D302" s="34">
        <v>16</v>
      </c>
    </row>
    <row r="303" spans="1:4" x14ac:dyDescent="0.3">
      <c r="A303" s="34">
        <v>260</v>
      </c>
      <c r="B303" s="39">
        <v>546</v>
      </c>
      <c r="C303" s="34">
        <v>24</v>
      </c>
      <c r="D303" s="34">
        <v>16</v>
      </c>
    </row>
    <row r="304" spans="1:4" x14ac:dyDescent="0.3">
      <c r="A304" s="34">
        <v>276</v>
      </c>
      <c r="B304" s="39">
        <v>930</v>
      </c>
      <c r="C304" s="34">
        <v>12</v>
      </c>
      <c r="D304" s="34">
        <v>16</v>
      </c>
    </row>
    <row r="305" spans="1:4" x14ac:dyDescent="0.3">
      <c r="A305" s="34">
        <v>295</v>
      </c>
      <c r="B305" s="39">
        <v>407</v>
      </c>
      <c r="C305" s="34">
        <v>24</v>
      </c>
      <c r="D305" s="34">
        <v>16</v>
      </c>
    </row>
    <row r="306" spans="1:4" x14ac:dyDescent="0.3">
      <c r="A306" s="34">
        <v>298</v>
      </c>
      <c r="B306" s="39">
        <v>939</v>
      </c>
      <c r="C306" s="34">
        <v>60</v>
      </c>
      <c r="D306" s="34">
        <v>16</v>
      </c>
    </row>
    <row r="307" spans="1:4" x14ac:dyDescent="0.3">
      <c r="A307" s="34">
        <v>309</v>
      </c>
      <c r="B307" s="39">
        <v>400</v>
      </c>
      <c r="C307" s="34">
        <v>24</v>
      </c>
      <c r="D307" s="34">
        <v>16</v>
      </c>
    </row>
    <row r="308" spans="1:4" x14ac:dyDescent="0.3">
      <c r="A308" s="34">
        <v>314</v>
      </c>
      <c r="B308" s="39">
        <v>405</v>
      </c>
      <c r="C308" s="34">
        <v>18</v>
      </c>
      <c r="D308" s="34">
        <v>16</v>
      </c>
    </row>
    <row r="309" spans="1:4" x14ac:dyDescent="0.3">
      <c r="A309" s="34">
        <v>331</v>
      </c>
      <c r="B309" s="39">
        <v>528</v>
      </c>
      <c r="C309" s="34">
        <v>4</v>
      </c>
      <c r="D309" s="34">
        <v>16</v>
      </c>
    </row>
    <row r="310" spans="1:4" x14ac:dyDescent="0.3">
      <c r="A310" s="34">
        <v>338</v>
      </c>
      <c r="B310" s="39">
        <v>592</v>
      </c>
      <c r="C310" s="34">
        <v>24</v>
      </c>
      <c r="D310" s="34">
        <v>16</v>
      </c>
    </row>
    <row r="311" spans="1:4" x14ac:dyDescent="0.3">
      <c r="A311" s="34">
        <v>340</v>
      </c>
      <c r="B311" s="39">
        <v>885</v>
      </c>
      <c r="C311" s="34">
        <v>24</v>
      </c>
      <c r="D311" s="34">
        <v>16</v>
      </c>
    </row>
    <row r="312" spans="1:4" x14ac:dyDescent="0.3">
      <c r="A312" s="34">
        <v>346</v>
      </c>
      <c r="B312" s="39">
        <v>151</v>
      </c>
      <c r="C312" s="34">
        <v>6</v>
      </c>
      <c r="D312" s="34">
        <v>16</v>
      </c>
    </row>
    <row r="313" spans="1:4" x14ac:dyDescent="0.3">
      <c r="A313" s="34">
        <v>360</v>
      </c>
      <c r="B313" s="39">
        <v>891</v>
      </c>
      <c r="C313" s="34">
        <v>27</v>
      </c>
      <c r="D313" s="34">
        <v>16</v>
      </c>
    </row>
    <row r="314" spans="1:4" x14ac:dyDescent="0.3">
      <c r="A314" s="34">
        <v>382</v>
      </c>
      <c r="B314" s="39">
        <v>949</v>
      </c>
      <c r="C314" s="34">
        <v>18</v>
      </c>
      <c r="D314" s="34">
        <v>16</v>
      </c>
    </row>
    <row r="315" spans="1:4" x14ac:dyDescent="0.3">
      <c r="A315" s="34">
        <v>383</v>
      </c>
      <c r="B315" s="39">
        <v>834</v>
      </c>
      <c r="C315" s="34">
        <v>24</v>
      </c>
      <c r="D315" s="34">
        <v>16</v>
      </c>
    </row>
    <row r="316" spans="1:4" x14ac:dyDescent="0.3">
      <c r="A316" s="34">
        <v>1</v>
      </c>
      <c r="B316" s="39">
        <v>608</v>
      </c>
      <c r="C316" s="34">
        <v>36</v>
      </c>
      <c r="D316" s="34">
        <v>19</v>
      </c>
    </row>
    <row r="317" spans="1:4" x14ac:dyDescent="0.3">
      <c r="A317" s="34">
        <v>21</v>
      </c>
      <c r="B317" s="39">
        <v>789</v>
      </c>
      <c r="C317" s="34">
        <v>48</v>
      </c>
      <c r="D317" s="34">
        <v>19</v>
      </c>
    </row>
    <row r="318" spans="1:4" x14ac:dyDescent="0.3">
      <c r="A318" s="34">
        <v>25</v>
      </c>
      <c r="B318" s="39">
        <v>278</v>
      </c>
      <c r="C318" s="34">
        <v>12</v>
      </c>
      <c r="D318" s="34">
        <v>19</v>
      </c>
    </row>
    <row r="319" spans="1:4" x14ac:dyDescent="0.3">
      <c r="A319" s="34">
        <v>26</v>
      </c>
      <c r="B319" s="39">
        <v>327</v>
      </c>
      <c r="C319" s="34">
        <v>12</v>
      </c>
      <c r="D319" s="34">
        <v>19</v>
      </c>
    </row>
    <row r="320" spans="1:4" x14ac:dyDescent="0.3">
      <c r="A320" s="34">
        <v>54</v>
      </c>
      <c r="B320" s="39">
        <v>304</v>
      </c>
      <c r="C320" s="34">
        <v>10</v>
      </c>
      <c r="D320" s="34">
        <v>19</v>
      </c>
    </row>
    <row r="321" spans="1:4" x14ac:dyDescent="0.3">
      <c r="A321" s="34">
        <v>64</v>
      </c>
      <c r="B321" s="39">
        <v>696</v>
      </c>
      <c r="C321" s="34">
        <v>6</v>
      </c>
      <c r="D321" s="34">
        <v>19</v>
      </c>
    </row>
    <row r="322" spans="1:4" x14ac:dyDescent="0.3">
      <c r="A322" s="34">
        <v>81</v>
      </c>
      <c r="B322" s="39">
        <v>751</v>
      </c>
      <c r="C322" s="34">
        <v>6</v>
      </c>
      <c r="D322" s="34">
        <v>19</v>
      </c>
    </row>
    <row r="323" spans="1:4" x14ac:dyDescent="0.3">
      <c r="A323" s="34">
        <v>86</v>
      </c>
      <c r="B323" s="39">
        <v>184</v>
      </c>
      <c r="C323" s="34">
        <v>24</v>
      </c>
      <c r="D323" s="34">
        <v>19</v>
      </c>
    </row>
    <row r="324" spans="1:4" x14ac:dyDescent="0.3">
      <c r="A324" s="34">
        <v>90</v>
      </c>
      <c r="B324" s="39">
        <v>282</v>
      </c>
      <c r="C324" s="34">
        <v>12</v>
      </c>
      <c r="D324" s="34">
        <v>19</v>
      </c>
    </row>
    <row r="325" spans="1:4" x14ac:dyDescent="0.3">
      <c r="A325" s="34">
        <v>127</v>
      </c>
      <c r="B325" s="39">
        <v>289</v>
      </c>
      <c r="C325" s="34">
        <v>12</v>
      </c>
      <c r="D325" s="34">
        <v>19</v>
      </c>
    </row>
    <row r="326" spans="1:4" x14ac:dyDescent="0.3">
      <c r="A326" s="34">
        <v>135</v>
      </c>
      <c r="B326" s="39">
        <v>283</v>
      </c>
      <c r="C326" s="34">
        <v>18</v>
      </c>
      <c r="D326" s="34">
        <v>19</v>
      </c>
    </row>
    <row r="327" spans="1:4" x14ac:dyDescent="0.3">
      <c r="A327" s="34">
        <v>137</v>
      </c>
      <c r="B327" s="39">
        <v>665</v>
      </c>
      <c r="C327" s="34">
        <v>6</v>
      </c>
      <c r="D327" s="34">
        <v>19</v>
      </c>
    </row>
    <row r="328" spans="1:4" x14ac:dyDescent="0.3">
      <c r="A328" s="34">
        <v>150</v>
      </c>
      <c r="B328" s="39">
        <v>213</v>
      </c>
      <c r="C328" s="34">
        <v>27</v>
      </c>
      <c r="D328" s="34">
        <v>19</v>
      </c>
    </row>
    <row r="329" spans="1:4" x14ac:dyDescent="0.3">
      <c r="A329" s="34">
        <v>222</v>
      </c>
      <c r="B329" s="39">
        <v>957</v>
      </c>
      <c r="C329" s="34">
        <v>30</v>
      </c>
      <c r="D329" s="34">
        <v>19</v>
      </c>
    </row>
    <row r="330" spans="1:4" x14ac:dyDescent="0.3">
      <c r="A330" s="34">
        <v>223</v>
      </c>
      <c r="B330" s="39">
        <v>62</v>
      </c>
      <c r="C330" s="34">
        <v>15</v>
      </c>
      <c r="D330" s="34">
        <v>19</v>
      </c>
    </row>
    <row r="331" spans="1:4" x14ac:dyDescent="0.3">
      <c r="A331" s="34">
        <v>243</v>
      </c>
      <c r="B331" s="39">
        <v>357</v>
      </c>
      <c r="C331" s="34">
        <v>12</v>
      </c>
      <c r="D331" s="34">
        <v>19</v>
      </c>
    </row>
    <row r="332" spans="1:4" x14ac:dyDescent="0.3">
      <c r="A332" s="34">
        <v>253</v>
      </c>
      <c r="B332" s="39">
        <v>582</v>
      </c>
      <c r="C332" s="34">
        <v>12</v>
      </c>
      <c r="D332" s="34">
        <v>19</v>
      </c>
    </row>
    <row r="333" spans="1:4" x14ac:dyDescent="0.3">
      <c r="A333" s="34">
        <v>268</v>
      </c>
      <c r="B333" s="39">
        <v>651</v>
      </c>
      <c r="C333" s="34">
        <v>48</v>
      </c>
      <c r="D333" s="34">
        <v>19</v>
      </c>
    </row>
    <row r="334" spans="1:4" x14ac:dyDescent="0.3">
      <c r="A334" s="34">
        <v>273</v>
      </c>
      <c r="B334" s="39">
        <v>844</v>
      </c>
      <c r="C334" s="34">
        <v>24</v>
      </c>
      <c r="D334" s="34">
        <v>19</v>
      </c>
    </row>
    <row r="335" spans="1:4" x14ac:dyDescent="0.3">
      <c r="A335" s="34">
        <v>280</v>
      </c>
      <c r="B335" s="39">
        <v>995</v>
      </c>
      <c r="C335" s="34">
        <v>12</v>
      </c>
      <c r="D335" s="34">
        <v>19</v>
      </c>
    </row>
    <row r="336" spans="1:4" x14ac:dyDescent="0.3">
      <c r="A336" s="34">
        <v>284</v>
      </c>
      <c r="B336" s="39">
        <v>620</v>
      </c>
      <c r="C336" s="34">
        <v>12</v>
      </c>
      <c r="D336" s="34">
        <v>19</v>
      </c>
    </row>
    <row r="337" spans="1:4" x14ac:dyDescent="0.3">
      <c r="A337" s="34">
        <v>297</v>
      </c>
      <c r="B337" s="39">
        <v>503</v>
      </c>
      <c r="C337" s="34">
        <v>9</v>
      </c>
      <c r="D337" s="34">
        <v>19</v>
      </c>
    </row>
    <row r="338" spans="1:4" x14ac:dyDescent="0.3">
      <c r="A338" s="34">
        <v>306</v>
      </c>
      <c r="B338" s="39">
        <v>3</v>
      </c>
      <c r="C338" s="34">
        <v>12</v>
      </c>
      <c r="D338" s="34">
        <v>19</v>
      </c>
    </row>
    <row r="339" spans="1:4" x14ac:dyDescent="0.3">
      <c r="A339" s="34">
        <v>312</v>
      </c>
      <c r="B339" s="39">
        <v>561</v>
      </c>
      <c r="C339" s="34">
        <v>24</v>
      </c>
      <c r="D339" s="34">
        <v>19</v>
      </c>
    </row>
    <row r="340" spans="1:4" x14ac:dyDescent="0.3">
      <c r="A340" s="34">
        <v>330</v>
      </c>
      <c r="B340" s="39">
        <v>981</v>
      </c>
      <c r="C340" s="34">
        <v>30</v>
      </c>
      <c r="D340" s="34">
        <v>19</v>
      </c>
    </row>
    <row r="341" spans="1:4" x14ac:dyDescent="0.3">
      <c r="A341" s="34">
        <v>341</v>
      </c>
      <c r="B341" s="39">
        <v>663</v>
      </c>
      <c r="C341" s="34">
        <v>21</v>
      </c>
      <c r="D341" s="34">
        <v>19</v>
      </c>
    </row>
    <row r="342" spans="1:4" x14ac:dyDescent="0.3">
      <c r="A342" s="34">
        <v>5</v>
      </c>
      <c r="B342" s="39">
        <v>17</v>
      </c>
      <c r="C342" s="34">
        <v>24</v>
      </c>
      <c r="D342" s="34">
        <v>21</v>
      </c>
    </row>
    <row r="343" spans="1:4" x14ac:dyDescent="0.3">
      <c r="A343" s="34">
        <v>14</v>
      </c>
      <c r="B343" s="39">
        <v>176</v>
      </c>
      <c r="C343" s="34">
        <v>30</v>
      </c>
      <c r="D343" s="34">
        <v>21</v>
      </c>
    </row>
    <row r="344" spans="1:4" x14ac:dyDescent="0.3">
      <c r="A344" s="34">
        <v>28</v>
      </c>
      <c r="B344" s="39">
        <v>95</v>
      </c>
      <c r="C344" s="34">
        <v>12</v>
      </c>
      <c r="D344" s="34">
        <v>21</v>
      </c>
    </row>
    <row r="345" spans="1:4" x14ac:dyDescent="0.3">
      <c r="A345" s="34">
        <v>62</v>
      </c>
      <c r="B345" s="39">
        <v>523</v>
      </c>
      <c r="C345" s="34">
        <v>48</v>
      </c>
      <c r="D345" s="34">
        <v>21</v>
      </c>
    </row>
    <row r="346" spans="1:4" x14ac:dyDescent="0.3">
      <c r="A346" s="34">
        <v>83</v>
      </c>
      <c r="B346" s="39">
        <v>515</v>
      </c>
      <c r="C346" s="34">
        <v>24</v>
      </c>
      <c r="D346" s="34">
        <v>21</v>
      </c>
    </row>
    <row r="347" spans="1:4" x14ac:dyDescent="0.3">
      <c r="A347" s="34">
        <v>102</v>
      </c>
      <c r="B347" s="39">
        <v>814</v>
      </c>
      <c r="C347" s="34">
        <v>48</v>
      </c>
      <c r="D347" s="34">
        <v>21</v>
      </c>
    </row>
    <row r="348" spans="1:4" x14ac:dyDescent="0.3">
      <c r="A348" s="34">
        <v>125</v>
      </c>
      <c r="B348" s="39">
        <v>816</v>
      </c>
      <c r="C348" s="34">
        <v>36</v>
      </c>
      <c r="D348" s="34">
        <v>21</v>
      </c>
    </row>
    <row r="349" spans="1:4" x14ac:dyDescent="0.3">
      <c r="A349" s="34">
        <v>153</v>
      </c>
      <c r="B349" s="39">
        <v>92</v>
      </c>
      <c r="C349" s="34">
        <v>12</v>
      </c>
      <c r="D349" s="34">
        <v>21</v>
      </c>
    </row>
    <row r="350" spans="1:4" x14ac:dyDescent="0.3">
      <c r="A350" s="34">
        <v>203</v>
      </c>
      <c r="B350" s="39">
        <v>7</v>
      </c>
      <c r="C350" s="34">
        <v>24</v>
      </c>
      <c r="D350" s="34">
        <v>21</v>
      </c>
    </row>
    <row r="351" spans="1:4" x14ac:dyDescent="0.3">
      <c r="A351" s="34">
        <v>211</v>
      </c>
      <c r="B351" s="39">
        <v>5</v>
      </c>
      <c r="C351" s="34">
        <v>24</v>
      </c>
      <c r="D351" s="34">
        <v>21</v>
      </c>
    </row>
    <row r="352" spans="1:4" x14ac:dyDescent="0.3">
      <c r="A352" s="34">
        <v>272</v>
      </c>
      <c r="B352" s="39">
        <v>191</v>
      </c>
      <c r="C352" s="34">
        <v>24</v>
      </c>
      <c r="D352" s="34">
        <v>21</v>
      </c>
    </row>
    <row r="353" spans="1:4" x14ac:dyDescent="0.3">
      <c r="A353" s="34">
        <v>323</v>
      </c>
      <c r="B353" s="39">
        <v>228</v>
      </c>
      <c r="C353" s="34">
        <v>12</v>
      </c>
      <c r="D353" s="34">
        <v>21</v>
      </c>
    </row>
    <row r="354" spans="1:4" x14ac:dyDescent="0.3">
      <c r="A354" s="34">
        <v>328</v>
      </c>
      <c r="B354" s="39">
        <v>799</v>
      </c>
      <c r="C354" s="34">
        <v>24</v>
      </c>
      <c r="D354" s="34">
        <v>21</v>
      </c>
    </row>
    <row r="355" spans="1:4" x14ac:dyDescent="0.3">
      <c r="A355" s="34">
        <v>349</v>
      </c>
      <c r="B355" s="39">
        <v>301</v>
      </c>
      <c r="C355" s="34">
        <v>6</v>
      </c>
      <c r="D355" s="34">
        <v>21</v>
      </c>
    </row>
    <row r="356" spans="1:4" x14ac:dyDescent="0.3">
      <c r="A356" s="34">
        <v>361</v>
      </c>
      <c r="B356" s="39">
        <v>801</v>
      </c>
      <c r="C356" s="34">
        <v>24</v>
      </c>
      <c r="D356" s="34">
        <v>21</v>
      </c>
    </row>
    <row r="357" spans="1:4" x14ac:dyDescent="0.3">
      <c r="A357" s="34">
        <v>365</v>
      </c>
      <c r="B357" s="39">
        <v>886</v>
      </c>
      <c r="C357" s="34">
        <v>12</v>
      </c>
      <c r="D357" s="34">
        <v>21</v>
      </c>
    </row>
    <row r="358" spans="1:4" x14ac:dyDescent="0.3">
      <c r="A358" s="34">
        <v>367</v>
      </c>
      <c r="B358" s="39">
        <v>968</v>
      </c>
      <c r="C358" s="34">
        <v>15</v>
      </c>
      <c r="D358" s="34">
        <v>21</v>
      </c>
    </row>
    <row r="359" spans="1:4" x14ac:dyDescent="0.3">
      <c r="A359" s="34">
        <v>38</v>
      </c>
      <c r="B359" s="39">
        <v>30</v>
      </c>
      <c r="C359" s="34">
        <v>60</v>
      </c>
      <c r="D359" s="34">
        <v>24</v>
      </c>
    </row>
    <row r="360" spans="1:4" x14ac:dyDescent="0.3">
      <c r="A360" s="34">
        <v>55</v>
      </c>
      <c r="B360" s="39">
        <v>439</v>
      </c>
      <c r="C360" s="34">
        <v>42</v>
      </c>
      <c r="D360" s="34">
        <v>24</v>
      </c>
    </row>
    <row r="361" spans="1:4" x14ac:dyDescent="0.3">
      <c r="A361" s="34">
        <v>61</v>
      </c>
      <c r="B361" s="39">
        <v>76</v>
      </c>
      <c r="C361" s="34">
        <v>12</v>
      </c>
      <c r="D361" s="34">
        <v>24</v>
      </c>
    </row>
    <row r="362" spans="1:4" x14ac:dyDescent="0.3">
      <c r="A362" s="34">
        <v>98</v>
      </c>
      <c r="B362" s="39">
        <v>374</v>
      </c>
      <c r="C362" s="34">
        <v>60</v>
      </c>
      <c r="D362" s="34">
        <v>24</v>
      </c>
    </row>
    <row r="363" spans="1:4" x14ac:dyDescent="0.3">
      <c r="A363" s="34">
        <v>100</v>
      </c>
      <c r="B363" s="39">
        <v>138</v>
      </c>
      <c r="C363" s="34">
        <v>12</v>
      </c>
      <c r="D363" s="34">
        <v>24</v>
      </c>
    </row>
    <row r="364" spans="1:4" x14ac:dyDescent="0.3">
      <c r="A364" s="34">
        <v>117</v>
      </c>
      <c r="B364" s="39">
        <v>625</v>
      </c>
      <c r="C364" s="34">
        <v>18</v>
      </c>
      <c r="D364" s="34">
        <v>24</v>
      </c>
    </row>
    <row r="365" spans="1:4" x14ac:dyDescent="0.3">
      <c r="A365" s="34">
        <v>123</v>
      </c>
      <c r="B365" s="39">
        <v>488</v>
      </c>
      <c r="C365" s="34">
        <v>24</v>
      </c>
      <c r="D365" s="34">
        <v>24</v>
      </c>
    </row>
    <row r="366" spans="1:4" x14ac:dyDescent="0.3">
      <c r="A366" s="34">
        <v>143</v>
      </c>
      <c r="B366" s="39">
        <v>775</v>
      </c>
      <c r="C366" s="34">
        <v>12</v>
      </c>
      <c r="D366" s="34">
        <v>24</v>
      </c>
    </row>
    <row r="367" spans="1:4" x14ac:dyDescent="0.3">
      <c r="A367" s="34">
        <v>157</v>
      </c>
      <c r="B367" s="39">
        <v>630</v>
      </c>
      <c r="C367" s="34">
        <v>9</v>
      </c>
      <c r="D367" s="34">
        <v>24</v>
      </c>
    </row>
    <row r="368" spans="1:4" x14ac:dyDescent="0.3">
      <c r="A368" s="34">
        <v>163</v>
      </c>
      <c r="B368" s="39">
        <v>716</v>
      </c>
      <c r="C368" s="34">
        <v>30</v>
      </c>
      <c r="D368" s="34">
        <v>24</v>
      </c>
    </row>
    <row r="369" spans="1:4" x14ac:dyDescent="0.3">
      <c r="A369" s="34">
        <v>183</v>
      </c>
      <c r="B369" s="39">
        <v>180</v>
      </c>
      <c r="C369" s="34">
        <v>21</v>
      </c>
      <c r="D369" s="34">
        <v>24</v>
      </c>
    </row>
    <row r="370" spans="1:4" x14ac:dyDescent="0.3">
      <c r="A370" s="34">
        <v>212</v>
      </c>
      <c r="B370" s="39">
        <v>884</v>
      </c>
      <c r="C370" s="34">
        <v>18</v>
      </c>
      <c r="D370" s="34">
        <v>24</v>
      </c>
    </row>
    <row r="371" spans="1:4" x14ac:dyDescent="0.3">
      <c r="A371" s="34">
        <v>213</v>
      </c>
      <c r="B371" s="39">
        <v>214</v>
      </c>
      <c r="C371" s="34">
        <v>30</v>
      </c>
      <c r="D371" s="34">
        <v>24</v>
      </c>
    </row>
    <row r="372" spans="1:4" x14ac:dyDescent="0.3">
      <c r="A372" s="34">
        <v>221</v>
      </c>
      <c r="B372" s="39">
        <v>679</v>
      </c>
      <c r="C372" s="34">
        <v>24</v>
      </c>
      <c r="D372" s="34">
        <v>24</v>
      </c>
    </row>
    <row r="373" spans="1:4" x14ac:dyDescent="0.3">
      <c r="A373" s="34">
        <v>239</v>
      </c>
      <c r="B373" s="39">
        <v>817</v>
      </c>
      <c r="C373" s="34">
        <v>6</v>
      </c>
      <c r="D373" s="34">
        <v>24</v>
      </c>
    </row>
    <row r="374" spans="1:4" x14ac:dyDescent="0.3">
      <c r="A374" s="34">
        <v>240</v>
      </c>
      <c r="B374" s="39">
        <v>770</v>
      </c>
      <c r="C374" s="34">
        <v>12</v>
      </c>
      <c r="D374" s="34">
        <v>24</v>
      </c>
    </row>
    <row r="375" spans="1:4" x14ac:dyDescent="0.3">
      <c r="A375" s="34">
        <v>285</v>
      </c>
      <c r="B375" s="39">
        <v>220</v>
      </c>
      <c r="C375" s="34">
        <v>10</v>
      </c>
      <c r="D375" s="34">
        <v>24</v>
      </c>
    </row>
    <row r="376" spans="1:4" x14ac:dyDescent="0.3">
      <c r="A376" s="34">
        <v>302</v>
      </c>
      <c r="B376" s="39">
        <v>988</v>
      </c>
      <c r="C376" s="34">
        <v>13</v>
      </c>
      <c r="D376" s="34">
        <v>24</v>
      </c>
    </row>
    <row r="377" spans="1:4" x14ac:dyDescent="0.3">
      <c r="A377" s="34">
        <v>322</v>
      </c>
      <c r="B377" s="39">
        <v>724</v>
      </c>
      <c r="C377" s="34">
        <v>9</v>
      </c>
      <c r="D377" s="34">
        <v>24</v>
      </c>
    </row>
    <row r="378" spans="1:4" x14ac:dyDescent="0.3">
      <c r="A378" s="34">
        <v>326</v>
      </c>
      <c r="B378" s="39">
        <v>977</v>
      </c>
      <c r="C378" s="34">
        <v>6</v>
      </c>
      <c r="D378" s="34">
        <v>24</v>
      </c>
    </row>
    <row r="379" spans="1:4" x14ac:dyDescent="0.3">
      <c r="A379" s="34">
        <v>336</v>
      </c>
      <c r="B379" s="39">
        <v>284</v>
      </c>
      <c r="C379" s="34">
        <v>15</v>
      </c>
      <c r="D379" s="34">
        <v>24</v>
      </c>
    </row>
    <row r="380" spans="1:4" x14ac:dyDescent="0.3">
      <c r="A380" s="34">
        <v>344</v>
      </c>
      <c r="B380" s="39">
        <v>466</v>
      </c>
      <c r="C380" s="34">
        <v>24</v>
      </c>
      <c r="D380" s="34">
        <v>24</v>
      </c>
    </row>
    <row r="381" spans="1:4" x14ac:dyDescent="0.3">
      <c r="A381" s="34">
        <v>345</v>
      </c>
      <c r="B381" s="39">
        <v>124</v>
      </c>
      <c r="C381" s="34">
        <v>10</v>
      </c>
      <c r="D381" s="34">
        <v>24</v>
      </c>
    </row>
    <row r="382" spans="1:4" x14ac:dyDescent="0.3">
      <c r="A382" s="34">
        <v>347</v>
      </c>
      <c r="B382" s="39">
        <v>808</v>
      </c>
      <c r="C382" s="34">
        <v>12</v>
      </c>
      <c r="D382" s="34">
        <v>24</v>
      </c>
    </row>
    <row r="383" spans="1:4" x14ac:dyDescent="0.3">
      <c r="A383" s="34">
        <v>379</v>
      </c>
      <c r="B383" s="39">
        <v>839</v>
      </c>
      <c r="C383" s="34">
        <v>24</v>
      </c>
      <c r="D383" s="34">
        <v>24</v>
      </c>
    </row>
    <row r="384" spans="1:4" x14ac:dyDescent="0.3">
      <c r="A384" s="34">
        <v>108</v>
      </c>
      <c r="B384" s="39">
        <v>164</v>
      </c>
      <c r="C384" s="34">
        <v>10</v>
      </c>
      <c r="D384" s="34">
        <v>25</v>
      </c>
    </row>
    <row r="385" spans="1:4" x14ac:dyDescent="0.3">
      <c r="A385" s="34">
        <v>168</v>
      </c>
      <c r="B385" s="39">
        <v>847</v>
      </c>
      <c r="C385" s="34">
        <v>18</v>
      </c>
      <c r="D385" s="34">
        <v>25</v>
      </c>
    </row>
    <row r="386" spans="1:4" x14ac:dyDescent="0.3">
      <c r="A386" s="34">
        <v>175</v>
      </c>
      <c r="B386" s="39">
        <v>331</v>
      </c>
      <c r="C386" s="34">
        <v>24</v>
      </c>
      <c r="D386" s="34">
        <v>25</v>
      </c>
    </row>
    <row r="387" spans="1:4" x14ac:dyDescent="0.3">
      <c r="A387" s="34">
        <v>206</v>
      </c>
      <c r="B387" s="39">
        <v>1</v>
      </c>
      <c r="C387" s="34">
        <v>6</v>
      </c>
      <c r="D387" s="34">
        <v>25</v>
      </c>
    </row>
    <row r="388" spans="1:4" x14ac:dyDescent="0.3">
      <c r="A388" s="34">
        <v>220</v>
      </c>
      <c r="B388" s="39">
        <v>188</v>
      </c>
      <c r="C388" s="34">
        <v>16</v>
      </c>
      <c r="D388" s="34">
        <v>25</v>
      </c>
    </row>
    <row r="389" spans="1:4" x14ac:dyDescent="0.3">
      <c r="A389" s="34">
        <v>269</v>
      </c>
      <c r="B389" s="39">
        <v>757</v>
      </c>
      <c r="C389" s="34">
        <v>6</v>
      </c>
      <c r="D389" s="34">
        <v>25</v>
      </c>
    </row>
    <row r="390" spans="1:4" x14ac:dyDescent="0.3">
      <c r="A390" s="34">
        <v>287</v>
      </c>
      <c r="B390" s="39">
        <v>780</v>
      </c>
      <c r="C390" s="34">
        <v>18</v>
      </c>
      <c r="D390" s="34">
        <v>25</v>
      </c>
    </row>
    <row r="391" spans="1:4" x14ac:dyDescent="0.3">
      <c r="A391" s="34">
        <v>335</v>
      </c>
      <c r="B391" s="39">
        <v>555</v>
      </c>
      <c r="C391" s="34">
        <v>9</v>
      </c>
      <c r="D391" s="34">
        <v>25</v>
      </c>
    </row>
    <row r="392" spans="1:4" x14ac:dyDescent="0.3">
      <c r="A392" s="34">
        <v>348</v>
      </c>
      <c r="B392" s="39">
        <v>607</v>
      </c>
      <c r="C392" s="34">
        <v>24</v>
      </c>
      <c r="D392" s="34">
        <v>25</v>
      </c>
    </row>
    <row r="393" spans="1:4" x14ac:dyDescent="0.3">
      <c r="A393" s="34">
        <v>352</v>
      </c>
      <c r="B393" s="39">
        <v>431</v>
      </c>
      <c r="C393" s="34">
        <v>5</v>
      </c>
      <c r="D393" s="34">
        <v>25</v>
      </c>
    </row>
    <row r="394" spans="1:4" x14ac:dyDescent="0.3">
      <c r="A394" s="34">
        <v>356</v>
      </c>
      <c r="B394" s="39">
        <v>918</v>
      </c>
      <c r="C394" s="34">
        <v>6</v>
      </c>
      <c r="D394" s="34">
        <v>25</v>
      </c>
    </row>
    <row r="395" spans="1:4" x14ac:dyDescent="0.3">
      <c r="A395" s="34">
        <v>375</v>
      </c>
      <c r="B395" s="39">
        <v>537</v>
      </c>
      <c r="C395" s="34">
        <v>6</v>
      </c>
      <c r="D395" s="34">
        <v>25</v>
      </c>
    </row>
    <row r="396" spans="1:4" x14ac:dyDescent="0.3">
      <c r="A396" s="35">
        <v>384</v>
      </c>
      <c r="B396" s="40">
        <v>187</v>
      </c>
      <c r="C396" s="35">
        <v>9</v>
      </c>
      <c r="D396" s="35">
        <v>25</v>
      </c>
    </row>
  </sheetData>
  <sortState xmlns:xlrd2="http://schemas.microsoft.com/office/spreadsheetml/2017/richdata2" ref="F10:I19">
    <sortCondition ref="F10:F19"/>
  </sortState>
  <mergeCells count="2">
    <mergeCell ref="B2:M2"/>
    <mergeCell ref="B3:M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F82B-377E-4692-9EEA-58FDD0425C79}">
  <sheetPr>
    <tabColor theme="4" tint="0.59999389629810485"/>
  </sheetPr>
  <dimension ref="A1:L209"/>
  <sheetViews>
    <sheetView zoomScale="130" zoomScaleNormal="130" workbookViewId="0">
      <selection activeCell="H39" sqref="H39"/>
    </sheetView>
  </sheetViews>
  <sheetFormatPr defaultRowHeight="14.4" x14ac:dyDescent="0.3"/>
  <cols>
    <col min="4" max="4" width="11.88671875" bestFit="1" customWidth="1"/>
    <col min="5" max="5" width="12.44140625" customWidth="1"/>
    <col min="8" max="8" width="18.44140625" customWidth="1"/>
    <col min="9" max="9" width="23" customWidth="1"/>
    <col min="10" max="10" width="16.88671875" customWidth="1"/>
    <col min="11" max="11" width="22.5546875" customWidth="1"/>
    <col min="12" max="12" width="13.109375" customWidth="1"/>
  </cols>
  <sheetData>
    <row r="1" spans="1:12" ht="15" thickBot="1" x14ac:dyDescent="0.35"/>
    <row r="2" spans="1:12" ht="15" thickBot="1" x14ac:dyDescent="0.35">
      <c r="B2" s="342" t="s">
        <v>175</v>
      </c>
      <c r="C2" s="343"/>
      <c r="D2" s="343"/>
      <c r="E2" s="343"/>
      <c r="F2" s="343"/>
      <c r="G2" s="343"/>
      <c r="H2" s="343"/>
      <c r="I2" s="343"/>
      <c r="J2" s="343"/>
      <c r="K2" s="344"/>
    </row>
    <row r="3" spans="1:12" x14ac:dyDescent="0.3">
      <c r="B3" s="345" t="s">
        <v>243</v>
      </c>
      <c r="C3" s="346"/>
      <c r="D3" s="346"/>
      <c r="E3" s="346"/>
      <c r="F3" s="346"/>
      <c r="G3" s="346"/>
      <c r="H3" s="346"/>
      <c r="I3" s="346"/>
      <c r="J3" s="346"/>
      <c r="K3" s="347"/>
    </row>
    <row r="4" spans="1:12" x14ac:dyDescent="0.3">
      <c r="B4" s="345"/>
      <c r="C4" s="346"/>
      <c r="D4" s="346"/>
      <c r="E4" s="346"/>
      <c r="F4" s="346"/>
      <c r="G4" s="346"/>
      <c r="H4" s="346"/>
      <c r="I4" s="346"/>
      <c r="J4" s="346"/>
      <c r="K4" s="347"/>
    </row>
    <row r="5" spans="1:12" x14ac:dyDescent="0.3">
      <c r="B5" s="345"/>
      <c r="C5" s="346"/>
      <c r="D5" s="346"/>
      <c r="E5" s="346"/>
      <c r="F5" s="346"/>
      <c r="G5" s="346"/>
      <c r="H5" s="346"/>
      <c r="I5" s="346"/>
      <c r="J5" s="346"/>
      <c r="K5" s="347"/>
    </row>
    <row r="6" spans="1:12" ht="15" thickBot="1" x14ac:dyDescent="0.35">
      <c r="B6" s="348"/>
      <c r="C6" s="349"/>
      <c r="D6" s="349"/>
      <c r="E6" s="349"/>
      <c r="F6" s="349"/>
      <c r="G6" s="349"/>
      <c r="H6" s="349"/>
      <c r="I6" s="349"/>
      <c r="J6" s="349"/>
      <c r="K6" s="350"/>
    </row>
    <row r="8" spans="1:12" x14ac:dyDescent="0.3">
      <c r="C8" t="s">
        <v>74</v>
      </c>
      <c r="D8" t="s">
        <v>23</v>
      </c>
      <c r="E8" t="s">
        <v>91</v>
      </c>
      <c r="H8" s="2" t="s">
        <v>92</v>
      </c>
    </row>
    <row r="9" spans="1:12" ht="30" x14ac:dyDescent="0.35">
      <c r="A9" s="37" t="s">
        <v>13</v>
      </c>
      <c r="B9" s="37" t="s">
        <v>12</v>
      </c>
      <c r="C9" s="37" t="s">
        <v>42</v>
      </c>
      <c r="D9" s="41" t="s">
        <v>63</v>
      </c>
      <c r="E9" s="37" t="s">
        <v>1</v>
      </c>
      <c r="F9" s="37" t="s">
        <v>227</v>
      </c>
      <c r="H9" s="103" t="s">
        <v>93</v>
      </c>
      <c r="I9" s="103" t="s">
        <v>94</v>
      </c>
      <c r="J9" s="103" t="s">
        <v>95</v>
      </c>
      <c r="K9" s="103" t="s">
        <v>96</v>
      </c>
      <c r="L9" s="103" t="s">
        <v>97</v>
      </c>
    </row>
    <row r="10" spans="1:12" x14ac:dyDescent="0.3">
      <c r="A10" s="34">
        <v>1</v>
      </c>
      <c r="B10" s="34">
        <v>249</v>
      </c>
      <c r="C10" s="34" t="s">
        <v>54</v>
      </c>
      <c r="D10" s="39">
        <f>VLOOKUP('3.1 Losowanie warstwowe PROP'!B10,lw!$A$1:$G$1001,2,FALSE)</f>
        <v>24</v>
      </c>
      <c r="E10" s="38" t="s">
        <v>8</v>
      </c>
      <c r="F10" s="38">
        <f>VLOOKUP(C10,$H$10:$L$13,5,FALSE)</f>
        <v>4.99</v>
      </c>
      <c r="H10" s="17" t="s">
        <v>54</v>
      </c>
      <c r="I10" s="18">
        <v>499</v>
      </c>
      <c r="J10" s="12">
        <f>COUNTIF($C$10:$C$209,H10)</f>
        <v>100</v>
      </c>
      <c r="K10" s="104">
        <f>J10/I10</f>
        <v>0.20040080160320642</v>
      </c>
      <c r="L10" s="107">
        <f>1/K10</f>
        <v>4.99</v>
      </c>
    </row>
    <row r="11" spans="1:12" x14ac:dyDescent="0.3">
      <c r="A11" s="34">
        <v>2</v>
      </c>
      <c r="B11" s="34">
        <v>774</v>
      </c>
      <c r="C11" s="34" t="s">
        <v>54</v>
      </c>
      <c r="D11" s="39">
        <f>VLOOKUP('3.1 Losowanie warstwowe PROP'!B11,lw!$A$1:$G$1001,2,FALSE)</f>
        <v>24</v>
      </c>
      <c r="E11" s="34" t="str">
        <f>VLOOKUP(B11,Dane!$A$1:$G$1001,6,FALSE)</f>
        <v>własność</v>
      </c>
      <c r="F11" s="34">
        <f t="shared" ref="F11:F74" si="0">VLOOKUP(C11,$H$10:$L$13,5,FALSE)</f>
        <v>4.99</v>
      </c>
      <c r="H11" s="21" t="s">
        <v>55</v>
      </c>
      <c r="I11" s="18">
        <v>191</v>
      </c>
      <c r="J11" s="75">
        <f t="shared" ref="J11:J13" si="1">COUNTIF($C$10:$C$209,H11)</f>
        <v>38</v>
      </c>
      <c r="K11" s="105">
        <f t="shared" ref="K11:K13" si="2">J11/I11</f>
        <v>0.19895287958115182</v>
      </c>
      <c r="L11" s="108">
        <f t="shared" ref="L11:L13" si="3">1/K11</f>
        <v>5.026315789473685</v>
      </c>
    </row>
    <row r="12" spans="1:12" x14ac:dyDescent="0.3">
      <c r="A12" s="34">
        <v>3</v>
      </c>
      <c r="B12" s="34">
        <v>894</v>
      </c>
      <c r="C12" s="34" t="s">
        <v>54</v>
      </c>
      <c r="D12" s="39">
        <f>VLOOKUP('3.1 Losowanie warstwowe PROP'!B12,lw!$A$1:$G$1001,2,FALSE)</f>
        <v>36</v>
      </c>
      <c r="E12" s="34" t="str">
        <f>VLOOKUP(B12,Dane!$A$1:$G$1001,6,FALSE)</f>
        <v>własność</v>
      </c>
      <c r="F12" s="34">
        <f t="shared" si="0"/>
        <v>4.99</v>
      </c>
      <c r="H12" s="21" t="s">
        <v>56</v>
      </c>
      <c r="I12" s="18">
        <v>201</v>
      </c>
      <c r="J12" s="75">
        <f t="shared" si="1"/>
        <v>40</v>
      </c>
      <c r="K12" s="105">
        <f t="shared" si="2"/>
        <v>0.19900497512437812</v>
      </c>
      <c r="L12" s="108">
        <f t="shared" si="3"/>
        <v>5.0249999999999995</v>
      </c>
    </row>
    <row r="13" spans="1:12" x14ac:dyDescent="0.3">
      <c r="A13" s="34">
        <v>4</v>
      </c>
      <c r="B13" s="34">
        <v>124</v>
      </c>
      <c r="C13" s="34" t="s">
        <v>54</v>
      </c>
      <c r="D13" s="39">
        <f>VLOOKUP('3.1 Losowanie warstwowe PROP'!B13,lw!$A$1:$G$1001,2,FALSE)</f>
        <v>10</v>
      </c>
      <c r="E13" s="34" t="str">
        <f>VLOOKUP(B13,Dane!$A$1:$G$1001,6,FALSE)</f>
        <v>za darmo</v>
      </c>
      <c r="F13" s="34">
        <f t="shared" si="0"/>
        <v>4.99</v>
      </c>
      <c r="H13" s="22" t="s">
        <v>57</v>
      </c>
      <c r="I13" s="23">
        <v>109</v>
      </c>
      <c r="J13" s="13">
        <f t="shared" si="1"/>
        <v>22</v>
      </c>
      <c r="K13" s="106">
        <f t="shared" si="2"/>
        <v>0.20183486238532111</v>
      </c>
      <c r="L13" s="109">
        <f t="shared" si="3"/>
        <v>4.9545454545454541</v>
      </c>
    </row>
    <row r="14" spans="1:12" x14ac:dyDescent="0.3">
      <c r="A14" s="34">
        <v>5</v>
      </c>
      <c r="B14" s="34">
        <v>887</v>
      </c>
      <c r="C14" s="34" t="s">
        <v>54</v>
      </c>
      <c r="D14" s="39">
        <f>VLOOKUP('3.1 Losowanie warstwowe PROP'!B14,lw!$A$1:$G$1001,2,FALSE)</f>
        <v>24</v>
      </c>
      <c r="E14" s="34" t="str">
        <f>VLOOKUP(B14,Dane!$A$1:$G$1001,6,FALSE)</f>
        <v>własność</v>
      </c>
      <c r="F14" s="34">
        <f t="shared" si="0"/>
        <v>4.99</v>
      </c>
    </row>
    <row r="15" spans="1:12" x14ac:dyDescent="0.3">
      <c r="A15" s="34">
        <v>6</v>
      </c>
      <c r="B15" s="34">
        <v>265</v>
      </c>
      <c r="C15" s="34" t="s">
        <v>54</v>
      </c>
      <c r="D15" s="39">
        <f>VLOOKUP('3.1 Losowanie warstwowe PROP'!B15,lw!$A$1:$G$1001,2,FALSE)</f>
        <v>10</v>
      </c>
      <c r="E15" s="34" t="str">
        <f>VLOOKUP(B15,Dane!$A$1:$G$1001,6,FALSE)</f>
        <v>własność</v>
      </c>
      <c r="F15" s="34">
        <f t="shared" si="0"/>
        <v>4.99</v>
      </c>
      <c r="H15" t="s">
        <v>172</v>
      </c>
    </row>
    <row r="16" spans="1:12" x14ac:dyDescent="0.3">
      <c r="A16" s="34">
        <v>7</v>
      </c>
      <c r="B16" s="34">
        <v>907</v>
      </c>
      <c r="C16" s="34" t="s">
        <v>54</v>
      </c>
      <c r="D16" s="39">
        <f>VLOOKUP('3.1 Losowanie warstwowe PROP'!B16,lw!$A$1:$G$1001,2,FALSE)</f>
        <v>21</v>
      </c>
      <c r="E16" s="34" t="str">
        <f>VLOOKUP(B16,Dane!$A$1:$G$1001,6,FALSE)</f>
        <v>własność</v>
      </c>
      <c r="F16" s="34">
        <f t="shared" si="0"/>
        <v>4.99</v>
      </c>
    </row>
    <row r="17" spans="1:12" x14ac:dyDescent="0.3">
      <c r="A17" s="34">
        <v>8</v>
      </c>
      <c r="B17" s="34">
        <v>811</v>
      </c>
      <c r="C17" s="34" t="s">
        <v>54</v>
      </c>
      <c r="D17" s="39">
        <f>VLOOKUP('3.1 Losowanie warstwowe PROP'!B17,lw!$A$1:$G$1001,2,FALSE)</f>
        <v>8</v>
      </c>
      <c r="E17" s="34" t="str">
        <f>VLOOKUP(B17,Dane!$A$1:$G$1001,6,FALSE)</f>
        <v>własność</v>
      </c>
      <c r="F17" s="34">
        <f t="shared" si="0"/>
        <v>4.99</v>
      </c>
      <c r="H17" t="s">
        <v>173</v>
      </c>
    </row>
    <row r="18" spans="1:12" x14ac:dyDescent="0.3">
      <c r="A18" s="34">
        <v>9</v>
      </c>
      <c r="B18" s="34">
        <v>831</v>
      </c>
      <c r="C18" s="34" t="s">
        <v>54</v>
      </c>
      <c r="D18" s="39">
        <f>VLOOKUP('3.1 Losowanie warstwowe PROP'!B18,lw!$A$1:$G$1001,2,FALSE)</f>
        <v>24</v>
      </c>
      <c r="E18" s="34" t="str">
        <f>VLOOKUP(B18,Dane!$A$1:$G$1001,6,FALSE)</f>
        <v>własność</v>
      </c>
      <c r="F18" s="34">
        <f t="shared" si="0"/>
        <v>4.99</v>
      </c>
      <c r="H18" s="2" t="s">
        <v>171</v>
      </c>
      <c r="I18" s="2"/>
      <c r="J18" s="2"/>
      <c r="K18" s="2"/>
    </row>
    <row r="19" spans="1:12" ht="28.8" x14ac:dyDescent="0.3">
      <c r="A19" s="34">
        <v>10</v>
      </c>
      <c r="B19" s="34">
        <v>34</v>
      </c>
      <c r="C19" s="34" t="s">
        <v>54</v>
      </c>
      <c r="D19" s="39">
        <f>VLOOKUP('3.1 Losowanie warstwowe PROP'!B19,lw!$A$1:$G$1001,2,FALSE)</f>
        <v>12</v>
      </c>
      <c r="E19" s="34" t="str">
        <f>VLOOKUP(B19,Dane!$A$1:$G$1001,6,FALSE)</f>
        <v>wynajem</v>
      </c>
      <c r="F19" s="34">
        <f t="shared" si="0"/>
        <v>4.99</v>
      </c>
      <c r="H19" s="110" t="s">
        <v>102</v>
      </c>
      <c r="I19" s="111" t="s">
        <v>98</v>
      </c>
      <c r="J19" s="112" t="s">
        <v>99</v>
      </c>
      <c r="K19" s="111" t="s">
        <v>100</v>
      </c>
      <c r="L19" s="111" t="s">
        <v>101</v>
      </c>
    </row>
    <row r="20" spans="1:12" x14ac:dyDescent="0.3">
      <c r="A20" s="34">
        <v>11</v>
      </c>
      <c r="B20" s="34">
        <v>587</v>
      </c>
      <c r="C20" s="34" t="s">
        <v>54</v>
      </c>
      <c r="D20" s="39">
        <f>VLOOKUP('3.1 Losowanie warstwowe PROP'!B20,lw!$A$1:$G$1001,2,FALSE)</f>
        <v>9</v>
      </c>
      <c r="E20" s="34" t="str">
        <f>VLOOKUP(B20,Dane!$A$1:$G$1001,6,FALSE)</f>
        <v>wynajem</v>
      </c>
      <c r="F20" s="34">
        <f t="shared" si="0"/>
        <v>4.99</v>
      </c>
      <c r="H20" s="211" t="s">
        <v>4</v>
      </c>
      <c r="I20" s="12">
        <f>COUNTIF($E$10:$E$209,H20)</f>
        <v>143</v>
      </c>
      <c r="J20" s="212">
        <f>I20/$I$23</f>
        <v>0.71499999999999997</v>
      </c>
      <c r="K20" s="107">
        <f>SUMIF($E$10:$E$209,H20,$F$10:$F$209)</f>
        <v>715.03330143540745</v>
      </c>
      <c r="L20" s="113">
        <f>K20/$K$23</f>
        <v>0.71503330143540678</v>
      </c>
    </row>
    <row r="21" spans="1:12" x14ac:dyDescent="0.3">
      <c r="A21" s="34">
        <v>12</v>
      </c>
      <c r="B21" s="34">
        <v>561</v>
      </c>
      <c r="C21" s="34" t="s">
        <v>54</v>
      </c>
      <c r="D21" s="39">
        <f>VLOOKUP('3.1 Losowanie warstwowe PROP'!B21,lw!$A$1:$G$1001,2,FALSE)</f>
        <v>24</v>
      </c>
      <c r="E21" s="34" t="str">
        <f>VLOOKUP(B21,Dane!$A$1:$G$1001,6,FALSE)</f>
        <v>za darmo</v>
      </c>
      <c r="F21" s="34">
        <f t="shared" si="0"/>
        <v>4.99</v>
      </c>
      <c r="H21" s="19" t="s">
        <v>9</v>
      </c>
      <c r="I21" s="75">
        <f t="shared" ref="I21:I22" si="4">COUNTIF($E$10:$E$209,H21)</f>
        <v>28</v>
      </c>
      <c r="J21" s="213">
        <f>I21/$I$23</f>
        <v>0.14000000000000001</v>
      </c>
      <c r="K21" s="108">
        <f>SUMIF($E$10:$E$209,H21,$F$10:$F$209)</f>
        <v>139.96753588516756</v>
      </c>
      <c r="L21" s="114">
        <f>K21/$K$23</f>
        <v>0.13996753588516744</v>
      </c>
    </row>
    <row r="22" spans="1:12" x14ac:dyDescent="0.3">
      <c r="A22" s="34">
        <v>13</v>
      </c>
      <c r="B22" s="34">
        <v>934</v>
      </c>
      <c r="C22" s="34" t="s">
        <v>54</v>
      </c>
      <c r="D22" s="39">
        <f>VLOOKUP('3.1 Losowanie warstwowe PROP'!B22,lw!$A$1:$G$1001,2,FALSE)</f>
        <v>12</v>
      </c>
      <c r="E22" s="34" t="str">
        <f>VLOOKUP(B22,Dane!$A$1:$G$1001,6,FALSE)</f>
        <v>własność</v>
      </c>
      <c r="F22" s="34">
        <f t="shared" si="0"/>
        <v>4.99</v>
      </c>
      <c r="H22" s="76" t="s">
        <v>8</v>
      </c>
      <c r="I22" s="13">
        <f t="shared" si="4"/>
        <v>29</v>
      </c>
      <c r="J22" s="214">
        <f>I22/$I$23</f>
        <v>0.14499999999999999</v>
      </c>
      <c r="K22" s="109">
        <f>SUMIF($E$10:$E$209,H22,$F$10:$F$209)</f>
        <v>144.99916267942589</v>
      </c>
      <c r="L22" s="115">
        <f>K22/$K$23</f>
        <v>0.14499916267942575</v>
      </c>
    </row>
    <row r="23" spans="1:12" x14ac:dyDescent="0.3">
      <c r="A23" s="34">
        <v>14</v>
      </c>
      <c r="B23" s="34">
        <v>515</v>
      </c>
      <c r="C23" s="34" t="s">
        <v>54</v>
      </c>
      <c r="D23" s="39">
        <f>VLOOKUP('3.1 Losowanie warstwowe PROP'!B23,lw!$A$1:$G$1001,2,FALSE)</f>
        <v>24</v>
      </c>
      <c r="E23" s="34" t="str">
        <f>VLOOKUP(B23,Dane!$A$1:$G$1001,6,FALSE)</f>
        <v>własność</v>
      </c>
      <c r="F23" s="34">
        <f t="shared" si="0"/>
        <v>4.99</v>
      </c>
      <c r="H23" s="116" t="s">
        <v>53</v>
      </c>
      <c r="I23" s="117">
        <f>SUM(I20:I22)</f>
        <v>200</v>
      </c>
      <c r="J23" s="82">
        <f>SUM(J20:J22)</f>
        <v>1</v>
      </c>
      <c r="K23" s="117">
        <f>SUM(K20:K22)</f>
        <v>1000.0000000000009</v>
      </c>
      <c r="L23" s="82">
        <f>SUM(L20:L22)</f>
        <v>1</v>
      </c>
    </row>
    <row r="24" spans="1:12" x14ac:dyDescent="0.3">
      <c r="A24" s="34">
        <v>15</v>
      </c>
      <c r="B24" s="34">
        <v>8</v>
      </c>
      <c r="C24" s="34" t="s">
        <v>54</v>
      </c>
      <c r="D24" s="39">
        <f>VLOOKUP('3.1 Losowanie warstwowe PROP'!B24,lw!$A$1:$G$1001,2,FALSE)</f>
        <v>36</v>
      </c>
      <c r="E24" s="34" t="str">
        <f>VLOOKUP(B24,Dane!$A$1:$G$1001,6,FALSE)</f>
        <v>wynajem</v>
      </c>
      <c r="F24" s="34">
        <f t="shared" si="0"/>
        <v>4.99</v>
      </c>
    </row>
    <row r="25" spans="1:12" x14ac:dyDescent="0.3">
      <c r="A25" s="34">
        <v>16</v>
      </c>
      <c r="B25" s="34">
        <v>610</v>
      </c>
      <c r="C25" s="34" t="s">
        <v>54</v>
      </c>
      <c r="D25" s="39">
        <f>VLOOKUP('3.1 Losowanie warstwowe PROP'!B25,lw!$A$1:$G$1001,2,FALSE)</f>
        <v>15</v>
      </c>
      <c r="E25" s="34" t="str">
        <f>VLOOKUP(B25,Dane!$A$1:$G$1001,6,FALSE)</f>
        <v>za darmo</v>
      </c>
      <c r="F25" s="34">
        <f t="shared" si="0"/>
        <v>4.99</v>
      </c>
      <c r="H25" t="s">
        <v>174</v>
      </c>
    </row>
    <row r="26" spans="1:12" x14ac:dyDescent="0.3">
      <c r="A26" s="34">
        <v>17</v>
      </c>
      <c r="B26" s="34">
        <v>40</v>
      </c>
      <c r="C26" s="34" t="s">
        <v>54</v>
      </c>
      <c r="D26" s="39">
        <f>VLOOKUP('3.1 Losowanie warstwowe PROP'!B26,lw!$A$1:$G$1001,2,FALSE)</f>
        <v>9</v>
      </c>
      <c r="E26" s="34" t="str">
        <f>VLOOKUP(B26,Dane!$A$1:$G$1001,6,FALSE)</f>
        <v>własność</v>
      </c>
      <c r="F26" s="34">
        <f t="shared" si="0"/>
        <v>4.99</v>
      </c>
    </row>
    <row r="27" spans="1:12" x14ac:dyDescent="0.3">
      <c r="A27" s="34">
        <v>18</v>
      </c>
      <c r="B27" s="34">
        <v>324</v>
      </c>
      <c r="C27" s="34" t="s">
        <v>54</v>
      </c>
      <c r="D27" s="39">
        <f>VLOOKUP('3.1 Losowanie warstwowe PROP'!B27,lw!$A$1:$G$1001,2,FALSE)</f>
        <v>18</v>
      </c>
      <c r="E27" s="34" t="str">
        <f>VLOOKUP(B27,Dane!$A$1:$G$1001,6,FALSE)</f>
        <v>własność</v>
      </c>
      <c r="F27" s="34">
        <f t="shared" si="0"/>
        <v>4.99</v>
      </c>
    </row>
    <row r="28" spans="1:12" x14ac:dyDescent="0.3">
      <c r="A28" s="34">
        <v>19</v>
      </c>
      <c r="B28" s="34">
        <v>158</v>
      </c>
      <c r="C28" s="34" t="s">
        <v>54</v>
      </c>
      <c r="D28" s="39">
        <f>VLOOKUP('3.1 Losowanie warstwowe PROP'!B28,lw!$A$1:$G$1001,2,FALSE)</f>
        <v>12</v>
      </c>
      <c r="E28" s="34" t="str">
        <f>VLOOKUP(B28,Dane!$A$1:$G$1001,6,FALSE)</f>
        <v>własność</v>
      </c>
      <c r="F28" s="34">
        <f t="shared" si="0"/>
        <v>4.99</v>
      </c>
    </row>
    <row r="29" spans="1:12" x14ac:dyDescent="0.3">
      <c r="A29" s="34">
        <v>20</v>
      </c>
      <c r="B29" s="34">
        <v>208</v>
      </c>
      <c r="C29" s="34" t="s">
        <v>54</v>
      </c>
      <c r="D29" s="39">
        <f>VLOOKUP('3.1 Losowanie warstwowe PROP'!B29,lw!$A$1:$G$1001,2,FALSE)</f>
        <v>12</v>
      </c>
      <c r="E29" s="34" t="str">
        <f>VLOOKUP(B29,Dane!$A$1:$G$1001,6,FALSE)</f>
        <v>własność</v>
      </c>
      <c r="F29" s="34">
        <f t="shared" si="0"/>
        <v>4.99</v>
      </c>
    </row>
    <row r="30" spans="1:12" x14ac:dyDescent="0.3">
      <c r="A30" s="34">
        <v>21</v>
      </c>
      <c r="B30" s="34">
        <v>699</v>
      </c>
      <c r="C30" s="34" t="s">
        <v>54</v>
      </c>
      <c r="D30" s="39">
        <f>VLOOKUP('3.1 Losowanie warstwowe PROP'!B30,lw!$A$1:$G$1001,2,FALSE)</f>
        <v>18</v>
      </c>
      <c r="E30" s="34" t="str">
        <f>VLOOKUP(B30,Dane!$A$1:$G$1001,6,FALSE)</f>
        <v>własność</v>
      </c>
      <c r="F30" s="34">
        <f t="shared" si="0"/>
        <v>4.99</v>
      </c>
    </row>
    <row r="31" spans="1:12" x14ac:dyDescent="0.3">
      <c r="A31" s="34">
        <v>22</v>
      </c>
      <c r="B31" s="34">
        <v>246</v>
      </c>
      <c r="C31" s="34" t="s">
        <v>54</v>
      </c>
      <c r="D31" s="39">
        <f>VLOOKUP('3.1 Losowanie warstwowe PROP'!B31,lw!$A$1:$G$1001,2,FALSE)</f>
        <v>24</v>
      </c>
      <c r="E31" s="34" t="str">
        <f>VLOOKUP(B31,Dane!$A$1:$G$1001,6,FALSE)</f>
        <v>własność</v>
      </c>
      <c r="F31" s="34">
        <f t="shared" si="0"/>
        <v>4.99</v>
      </c>
    </row>
    <row r="32" spans="1:12" x14ac:dyDescent="0.3">
      <c r="A32" s="34">
        <v>23</v>
      </c>
      <c r="B32" s="34">
        <v>801</v>
      </c>
      <c r="C32" s="34" t="s">
        <v>54</v>
      </c>
      <c r="D32" s="39">
        <f>VLOOKUP('3.1 Losowanie warstwowe PROP'!B32,lw!$A$1:$G$1001,2,FALSE)</f>
        <v>24</v>
      </c>
      <c r="E32" s="34" t="str">
        <f>VLOOKUP(B32,Dane!$A$1:$G$1001,6,FALSE)</f>
        <v>za darmo</v>
      </c>
      <c r="F32" s="34">
        <f t="shared" si="0"/>
        <v>4.99</v>
      </c>
    </row>
    <row r="33" spans="1:6" x14ac:dyDescent="0.3">
      <c r="A33" s="34">
        <v>24</v>
      </c>
      <c r="B33" s="34">
        <v>914</v>
      </c>
      <c r="C33" s="34" t="s">
        <v>54</v>
      </c>
      <c r="D33" s="39">
        <f>VLOOKUP('3.1 Losowanie warstwowe PROP'!B33,lw!$A$1:$G$1001,2,FALSE)</f>
        <v>11</v>
      </c>
      <c r="E33" s="34" t="str">
        <f>VLOOKUP(B33,Dane!$A$1:$G$1001,6,FALSE)</f>
        <v>własność</v>
      </c>
      <c r="F33" s="34">
        <f t="shared" si="0"/>
        <v>4.99</v>
      </c>
    </row>
    <row r="34" spans="1:6" x14ac:dyDescent="0.3">
      <c r="A34" s="34">
        <v>25</v>
      </c>
      <c r="B34" s="34">
        <v>519</v>
      </c>
      <c r="C34" s="34" t="s">
        <v>54</v>
      </c>
      <c r="D34" s="39">
        <f>VLOOKUP('3.1 Losowanie warstwowe PROP'!B34,lw!$A$1:$G$1001,2,FALSE)</f>
        <v>6</v>
      </c>
      <c r="E34" s="34" t="str">
        <f>VLOOKUP(B34,Dane!$A$1:$G$1001,6,FALSE)</f>
        <v>własność</v>
      </c>
      <c r="F34" s="34">
        <f t="shared" si="0"/>
        <v>4.99</v>
      </c>
    </row>
    <row r="35" spans="1:6" x14ac:dyDescent="0.3">
      <c r="A35" s="34">
        <v>26</v>
      </c>
      <c r="B35" s="34">
        <v>217</v>
      </c>
      <c r="C35" s="34" t="s">
        <v>54</v>
      </c>
      <c r="D35" s="39">
        <f>VLOOKUP('3.1 Losowanie warstwowe PROP'!B35,lw!$A$1:$G$1001,2,FALSE)</f>
        <v>18</v>
      </c>
      <c r="E35" s="34" t="str">
        <f>VLOOKUP(B35,Dane!$A$1:$G$1001,6,FALSE)</f>
        <v>własność</v>
      </c>
      <c r="F35" s="34">
        <f t="shared" si="0"/>
        <v>4.99</v>
      </c>
    </row>
    <row r="36" spans="1:6" x14ac:dyDescent="0.3">
      <c r="A36" s="34">
        <v>27</v>
      </c>
      <c r="B36" s="34">
        <v>892</v>
      </c>
      <c r="C36" s="34" t="s">
        <v>54</v>
      </c>
      <c r="D36" s="39">
        <f>VLOOKUP('3.1 Losowanie warstwowe PROP'!B36,lw!$A$1:$G$1001,2,FALSE)</f>
        <v>15</v>
      </c>
      <c r="E36" s="34" t="str">
        <f>VLOOKUP(B36,Dane!$A$1:$G$1001,6,FALSE)</f>
        <v>własność</v>
      </c>
      <c r="F36" s="34">
        <f t="shared" si="0"/>
        <v>4.99</v>
      </c>
    </row>
    <row r="37" spans="1:6" x14ac:dyDescent="0.3">
      <c r="A37" s="34">
        <v>28</v>
      </c>
      <c r="B37" s="34">
        <v>609</v>
      </c>
      <c r="C37" s="34" t="s">
        <v>54</v>
      </c>
      <c r="D37" s="39">
        <f>VLOOKUP('3.1 Losowanie warstwowe PROP'!B37,lw!$A$1:$G$1001,2,FALSE)</f>
        <v>18</v>
      </c>
      <c r="E37" s="34" t="str">
        <f>VLOOKUP(B37,Dane!$A$1:$G$1001,6,FALSE)</f>
        <v>własność</v>
      </c>
      <c r="F37" s="34">
        <f t="shared" si="0"/>
        <v>4.99</v>
      </c>
    </row>
    <row r="38" spans="1:6" x14ac:dyDescent="0.3">
      <c r="A38" s="34">
        <v>29</v>
      </c>
      <c r="B38" s="34">
        <v>548</v>
      </c>
      <c r="C38" s="34" t="s">
        <v>54</v>
      </c>
      <c r="D38" s="39">
        <f>VLOOKUP('3.1 Losowanie warstwowe PROP'!B38,lw!$A$1:$G$1001,2,FALSE)</f>
        <v>24</v>
      </c>
      <c r="E38" s="34" t="str">
        <f>VLOOKUP(B38,Dane!$A$1:$G$1001,6,FALSE)</f>
        <v>własność</v>
      </c>
      <c r="F38" s="34">
        <f t="shared" si="0"/>
        <v>4.99</v>
      </c>
    </row>
    <row r="39" spans="1:6" x14ac:dyDescent="0.3">
      <c r="A39" s="34">
        <v>30</v>
      </c>
      <c r="B39" s="34">
        <v>719</v>
      </c>
      <c r="C39" s="34" t="s">
        <v>54</v>
      </c>
      <c r="D39" s="39">
        <f>VLOOKUP('3.1 Losowanie warstwowe PROP'!B39,lw!$A$1:$G$1001,2,FALSE)</f>
        <v>24</v>
      </c>
      <c r="E39" s="34" t="str">
        <f>VLOOKUP(B39,Dane!$A$1:$G$1001,6,FALSE)</f>
        <v>własność</v>
      </c>
      <c r="F39" s="34">
        <f t="shared" si="0"/>
        <v>4.99</v>
      </c>
    </row>
    <row r="40" spans="1:6" x14ac:dyDescent="0.3">
      <c r="A40" s="34">
        <v>31</v>
      </c>
      <c r="B40" s="34">
        <v>679</v>
      </c>
      <c r="C40" s="34" t="s">
        <v>54</v>
      </c>
      <c r="D40" s="39">
        <f>VLOOKUP('3.1 Losowanie warstwowe PROP'!B40,lw!$A$1:$G$1001,2,FALSE)</f>
        <v>24</v>
      </c>
      <c r="E40" s="34" t="str">
        <f>VLOOKUP(B40,Dane!$A$1:$G$1001,6,FALSE)</f>
        <v>wynajem</v>
      </c>
      <c r="F40" s="34">
        <f t="shared" si="0"/>
        <v>4.99</v>
      </c>
    </row>
    <row r="41" spans="1:6" x14ac:dyDescent="0.3">
      <c r="A41" s="34">
        <v>32</v>
      </c>
      <c r="B41" s="34">
        <v>32</v>
      </c>
      <c r="C41" s="34" t="s">
        <v>54</v>
      </c>
      <c r="D41" s="39">
        <f>VLOOKUP('3.1 Losowanie warstwowe PROP'!B41,lw!$A$1:$G$1001,2,FALSE)</f>
        <v>24</v>
      </c>
      <c r="E41" s="34" t="str">
        <f>VLOOKUP(B41,Dane!$A$1:$G$1001,6,FALSE)</f>
        <v>własność</v>
      </c>
      <c r="F41" s="34">
        <f t="shared" si="0"/>
        <v>4.99</v>
      </c>
    </row>
    <row r="42" spans="1:6" x14ac:dyDescent="0.3">
      <c r="A42" s="34">
        <v>33</v>
      </c>
      <c r="B42" s="34">
        <v>340</v>
      </c>
      <c r="C42" s="34" t="s">
        <v>54</v>
      </c>
      <c r="D42" s="39">
        <f>VLOOKUP('3.1 Losowanie warstwowe PROP'!B42,lw!$A$1:$G$1001,2,FALSE)</f>
        <v>10</v>
      </c>
      <c r="E42" s="34" t="str">
        <f>VLOOKUP(B42,Dane!$A$1:$G$1001,6,FALSE)</f>
        <v>własność</v>
      </c>
      <c r="F42" s="34">
        <f t="shared" si="0"/>
        <v>4.99</v>
      </c>
    </row>
    <row r="43" spans="1:6" x14ac:dyDescent="0.3">
      <c r="A43" s="34">
        <v>34</v>
      </c>
      <c r="B43" s="34">
        <v>785</v>
      </c>
      <c r="C43" s="34" t="s">
        <v>54</v>
      </c>
      <c r="D43" s="39">
        <f>VLOOKUP('3.1 Losowanie warstwowe PROP'!B43,lw!$A$1:$G$1001,2,FALSE)</f>
        <v>20</v>
      </c>
      <c r="E43" s="34" t="str">
        <f>VLOOKUP(B43,Dane!$A$1:$G$1001,6,FALSE)</f>
        <v>własność</v>
      </c>
      <c r="F43" s="34">
        <f t="shared" si="0"/>
        <v>4.99</v>
      </c>
    </row>
    <row r="44" spans="1:6" x14ac:dyDescent="0.3">
      <c r="A44" s="34">
        <v>35</v>
      </c>
      <c r="B44" s="34">
        <v>454</v>
      </c>
      <c r="C44" s="34" t="s">
        <v>54</v>
      </c>
      <c r="D44" s="39">
        <f>VLOOKUP('3.1 Losowanie warstwowe PROP'!B44,lw!$A$1:$G$1001,2,FALSE)</f>
        <v>24</v>
      </c>
      <c r="E44" s="34" t="str">
        <f>VLOOKUP(B44,Dane!$A$1:$G$1001,6,FALSE)</f>
        <v>własność</v>
      </c>
      <c r="F44" s="34">
        <f t="shared" si="0"/>
        <v>4.99</v>
      </c>
    </row>
    <row r="45" spans="1:6" x14ac:dyDescent="0.3">
      <c r="A45" s="34">
        <v>36</v>
      </c>
      <c r="B45" s="34">
        <v>285</v>
      </c>
      <c r="C45" s="34" t="s">
        <v>54</v>
      </c>
      <c r="D45" s="39">
        <f>VLOOKUP('3.1 Losowanie warstwowe PROP'!B45,lw!$A$1:$G$1001,2,FALSE)</f>
        <v>24</v>
      </c>
      <c r="E45" s="34" t="str">
        <f>VLOOKUP(B45,Dane!$A$1:$G$1001,6,FALSE)</f>
        <v>własność</v>
      </c>
      <c r="F45" s="34">
        <f t="shared" si="0"/>
        <v>4.99</v>
      </c>
    </row>
    <row r="46" spans="1:6" x14ac:dyDescent="0.3">
      <c r="A46" s="34">
        <v>37</v>
      </c>
      <c r="B46" s="34">
        <v>108</v>
      </c>
      <c r="C46" s="34" t="s">
        <v>54</v>
      </c>
      <c r="D46" s="39">
        <f>VLOOKUP('3.1 Losowanie warstwowe PROP'!B46,lw!$A$1:$G$1001,2,FALSE)</f>
        <v>12</v>
      </c>
      <c r="E46" s="34" t="str">
        <f>VLOOKUP(B46,Dane!$A$1:$G$1001,6,FALSE)</f>
        <v>własność</v>
      </c>
      <c r="F46" s="34">
        <f t="shared" si="0"/>
        <v>4.99</v>
      </c>
    </row>
    <row r="47" spans="1:6" x14ac:dyDescent="0.3">
      <c r="A47" s="34">
        <v>38</v>
      </c>
      <c r="B47" s="34">
        <v>160</v>
      </c>
      <c r="C47" s="34" t="s">
        <v>54</v>
      </c>
      <c r="D47" s="39">
        <f>VLOOKUP('3.1 Losowanie warstwowe PROP'!B47,lw!$A$1:$G$1001,2,FALSE)</f>
        <v>6</v>
      </c>
      <c r="E47" s="34" t="str">
        <f>VLOOKUP(B47,Dane!$A$1:$G$1001,6,FALSE)</f>
        <v>własność</v>
      </c>
      <c r="F47" s="34">
        <f t="shared" si="0"/>
        <v>4.99</v>
      </c>
    </row>
    <row r="48" spans="1:6" x14ac:dyDescent="0.3">
      <c r="A48" s="34">
        <v>39</v>
      </c>
      <c r="B48" s="34">
        <v>393</v>
      </c>
      <c r="C48" s="34" t="s">
        <v>54</v>
      </c>
      <c r="D48" s="39">
        <f>VLOOKUP('3.1 Losowanie warstwowe PROP'!B48,lw!$A$1:$G$1001,2,FALSE)</f>
        <v>36</v>
      </c>
      <c r="E48" s="34" t="str">
        <f>VLOOKUP(B48,Dane!$A$1:$G$1001,6,FALSE)</f>
        <v>za darmo</v>
      </c>
      <c r="F48" s="34">
        <f t="shared" si="0"/>
        <v>4.99</v>
      </c>
    </row>
    <row r="49" spans="1:6" x14ac:dyDescent="0.3">
      <c r="A49" s="34">
        <v>40</v>
      </c>
      <c r="B49" s="34">
        <v>378</v>
      </c>
      <c r="C49" s="34" t="s">
        <v>54</v>
      </c>
      <c r="D49" s="39">
        <f>VLOOKUP('3.1 Losowanie warstwowe PROP'!B49,lw!$A$1:$G$1001,2,FALSE)</f>
        <v>7</v>
      </c>
      <c r="E49" s="34" t="str">
        <f>VLOOKUP(B49,Dane!$A$1:$G$1001,6,FALSE)</f>
        <v>za darmo</v>
      </c>
      <c r="F49" s="34">
        <f t="shared" si="0"/>
        <v>4.99</v>
      </c>
    </row>
    <row r="50" spans="1:6" x14ac:dyDescent="0.3">
      <c r="A50" s="34">
        <v>41</v>
      </c>
      <c r="B50" s="34">
        <v>477</v>
      </c>
      <c r="C50" s="34" t="s">
        <v>54</v>
      </c>
      <c r="D50" s="39">
        <f>VLOOKUP('3.1 Losowanie warstwowe PROP'!B50,lw!$A$1:$G$1001,2,FALSE)</f>
        <v>39</v>
      </c>
      <c r="E50" s="34" t="str">
        <f>VLOOKUP(B50,Dane!$A$1:$G$1001,6,FALSE)</f>
        <v>własność</v>
      </c>
      <c r="F50" s="34">
        <f t="shared" si="0"/>
        <v>4.99</v>
      </c>
    </row>
    <row r="51" spans="1:6" x14ac:dyDescent="0.3">
      <c r="A51" s="34">
        <v>42</v>
      </c>
      <c r="B51" s="34">
        <v>994</v>
      </c>
      <c r="C51" s="34" t="s">
        <v>54</v>
      </c>
      <c r="D51" s="39">
        <f>VLOOKUP('3.1 Losowanie warstwowe PROP'!B51,lw!$A$1:$G$1001,2,FALSE)</f>
        <v>36</v>
      </c>
      <c r="E51" s="34" t="str">
        <f>VLOOKUP(B51,Dane!$A$1:$G$1001,6,FALSE)</f>
        <v>własność</v>
      </c>
      <c r="F51" s="34">
        <f t="shared" si="0"/>
        <v>4.99</v>
      </c>
    </row>
    <row r="52" spans="1:6" x14ac:dyDescent="0.3">
      <c r="A52" s="34">
        <v>43</v>
      </c>
      <c r="B52" s="34">
        <v>126</v>
      </c>
      <c r="C52" s="34" t="s">
        <v>54</v>
      </c>
      <c r="D52" s="39">
        <f>VLOOKUP('3.1 Losowanie warstwowe PROP'!B52,lw!$A$1:$G$1001,2,FALSE)</f>
        <v>12</v>
      </c>
      <c r="E52" s="34" t="str">
        <f>VLOOKUP(B52,Dane!$A$1:$G$1001,6,FALSE)</f>
        <v>własność</v>
      </c>
      <c r="F52" s="34">
        <f t="shared" si="0"/>
        <v>4.99</v>
      </c>
    </row>
    <row r="53" spans="1:6" x14ac:dyDescent="0.3">
      <c r="A53" s="34">
        <v>44</v>
      </c>
      <c r="B53" s="34">
        <v>24</v>
      </c>
      <c r="C53" s="34" t="s">
        <v>54</v>
      </c>
      <c r="D53" s="39">
        <f>VLOOKUP('3.1 Losowanie warstwowe PROP'!B53,lw!$A$1:$G$1001,2,FALSE)</f>
        <v>12</v>
      </c>
      <c r="E53" s="34" t="str">
        <f>VLOOKUP(B53,Dane!$A$1:$G$1001,6,FALSE)</f>
        <v>własność</v>
      </c>
      <c r="F53" s="34">
        <f t="shared" si="0"/>
        <v>4.99</v>
      </c>
    </row>
    <row r="54" spans="1:6" x14ac:dyDescent="0.3">
      <c r="A54" s="34">
        <v>45</v>
      </c>
      <c r="B54" s="34">
        <v>443</v>
      </c>
      <c r="C54" s="34" t="s">
        <v>54</v>
      </c>
      <c r="D54" s="39">
        <f>VLOOKUP('3.1 Losowanie warstwowe PROP'!B54,lw!$A$1:$G$1001,2,FALSE)</f>
        <v>20</v>
      </c>
      <c r="E54" s="34" t="str">
        <f>VLOOKUP(B54,Dane!$A$1:$G$1001,6,FALSE)</f>
        <v>własność</v>
      </c>
      <c r="F54" s="34">
        <f t="shared" si="0"/>
        <v>4.99</v>
      </c>
    </row>
    <row r="55" spans="1:6" x14ac:dyDescent="0.3">
      <c r="A55" s="34">
        <v>46</v>
      </c>
      <c r="B55" s="34">
        <v>700</v>
      </c>
      <c r="C55" s="34" t="s">
        <v>54</v>
      </c>
      <c r="D55" s="39">
        <f>VLOOKUP('3.1 Losowanie warstwowe PROP'!B55,lw!$A$1:$G$1001,2,FALSE)</f>
        <v>15</v>
      </c>
      <c r="E55" s="34" t="str">
        <f>VLOOKUP(B55,Dane!$A$1:$G$1001,6,FALSE)</f>
        <v>wynajem</v>
      </c>
      <c r="F55" s="34">
        <f t="shared" si="0"/>
        <v>4.99</v>
      </c>
    </row>
    <row r="56" spans="1:6" x14ac:dyDescent="0.3">
      <c r="A56" s="34">
        <v>47</v>
      </c>
      <c r="B56" s="34">
        <v>503</v>
      </c>
      <c r="C56" s="34" t="s">
        <v>54</v>
      </c>
      <c r="D56" s="39">
        <f>VLOOKUP('3.1 Losowanie warstwowe PROP'!B56,lw!$A$1:$G$1001,2,FALSE)</f>
        <v>9</v>
      </c>
      <c r="E56" s="34" t="str">
        <f>VLOOKUP(B56,Dane!$A$1:$G$1001,6,FALSE)</f>
        <v>własność</v>
      </c>
      <c r="F56" s="34">
        <f t="shared" si="0"/>
        <v>4.99</v>
      </c>
    </row>
    <row r="57" spans="1:6" x14ac:dyDescent="0.3">
      <c r="A57" s="34">
        <v>48</v>
      </c>
      <c r="B57" s="34">
        <v>283</v>
      </c>
      <c r="C57" s="34" t="s">
        <v>54</v>
      </c>
      <c r="D57" s="39">
        <f>VLOOKUP('3.1 Losowanie warstwowe PROP'!B57,lw!$A$1:$G$1001,2,FALSE)</f>
        <v>18</v>
      </c>
      <c r="E57" s="34" t="str">
        <f>VLOOKUP(B57,Dane!$A$1:$G$1001,6,FALSE)</f>
        <v>własność</v>
      </c>
      <c r="F57" s="34">
        <f t="shared" si="0"/>
        <v>4.99</v>
      </c>
    </row>
    <row r="58" spans="1:6" x14ac:dyDescent="0.3">
      <c r="A58" s="34">
        <v>49</v>
      </c>
      <c r="B58" s="34">
        <v>23</v>
      </c>
      <c r="C58" s="34" t="s">
        <v>54</v>
      </c>
      <c r="D58" s="39">
        <f>VLOOKUP('3.1 Losowanie warstwowe PROP'!B58,lw!$A$1:$G$1001,2,FALSE)</f>
        <v>10</v>
      </c>
      <c r="E58" s="34" t="str">
        <f>VLOOKUP(B58,Dane!$A$1:$G$1001,6,FALSE)</f>
        <v>wynajem</v>
      </c>
      <c r="F58" s="34">
        <f t="shared" si="0"/>
        <v>4.99</v>
      </c>
    </row>
    <row r="59" spans="1:6" x14ac:dyDescent="0.3">
      <c r="A59" s="34">
        <v>50</v>
      </c>
      <c r="B59" s="34">
        <v>479</v>
      </c>
      <c r="C59" s="34" t="s">
        <v>54</v>
      </c>
      <c r="D59" s="39">
        <f>VLOOKUP('3.1 Losowanie warstwowe PROP'!B59,lw!$A$1:$G$1001,2,FALSE)</f>
        <v>12</v>
      </c>
      <c r="E59" s="34" t="str">
        <f>VLOOKUP(B59,Dane!$A$1:$G$1001,6,FALSE)</f>
        <v>własność</v>
      </c>
      <c r="F59" s="34">
        <f t="shared" si="0"/>
        <v>4.99</v>
      </c>
    </row>
    <row r="60" spans="1:6" x14ac:dyDescent="0.3">
      <c r="A60" s="34">
        <v>51</v>
      </c>
      <c r="B60" s="34">
        <v>263</v>
      </c>
      <c r="C60" s="34" t="s">
        <v>54</v>
      </c>
      <c r="D60" s="39">
        <f>VLOOKUP('3.1 Losowanie warstwowe PROP'!B60,lw!$A$1:$G$1001,2,FALSE)</f>
        <v>18</v>
      </c>
      <c r="E60" s="34" t="str">
        <f>VLOOKUP(B60,Dane!$A$1:$G$1001,6,FALSE)</f>
        <v>za darmo</v>
      </c>
      <c r="F60" s="34">
        <f t="shared" si="0"/>
        <v>4.99</v>
      </c>
    </row>
    <row r="61" spans="1:6" x14ac:dyDescent="0.3">
      <c r="A61" s="34">
        <v>52</v>
      </c>
      <c r="B61" s="34">
        <v>374</v>
      </c>
      <c r="C61" s="34" t="s">
        <v>54</v>
      </c>
      <c r="D61" s="39">
        <f>VLOOKUP('3.1 Losowanie warstwowe PROP'!B61,lw!$A$1:$G$1001,2,FALSE)</f>
        <v>60</v>
      </c>
      <c r="E61" s="34" t="str">
        <f>VLOOKUP(B61,Dane!$A$1:$G$1001,6,FALSE)</f>
        <v>za darmo</v>
      </c>
      <c r="F61" s="34">
        <f t="shared" si="0"/>
        <v>4.99</v>
      </c>
    </row>
    <row r="62" spans="1:6" x14ac:dyDescent="0.3">
      <c r="A62" s="34">
        <v>53</v>
      </c>
      <c r="B62" s="34">
        <v>157</v>
      </c>
      <c r="C62" s="34" t="s">
        <v>54</v>
      </c>
      <c r="D62" s="39">
        <f>VLOOKUP('3.1 Losowanie warstwowe PROP'!B62,lw!$A$1:$G$1001,2,FALSE)</f>
        <v>9</v>
      </c>
      <c r="E62" s="34" t="str">
        <f>VLOOKUP(B62,Dane!$A$1:$G$1001,6,FALSE)</f>
        <v>własność</v>
      </c>
      <c r="F62" s="34">
        <f t="shared" si="0"/>
        <v>4.99</v>
      </c>
    </row>
    <row r="63" spans="1:6" x14ac:dyDescent="0.3">
      <c r="A63" s="34">
        <v>54</v>
      </c>
      <c r="B63" s="34">
        <v>66</v>
      </c>
      <c r="C63" s="34" t="s">
        <v>54</v>
      </c>
      <c r="D63" s="39">
        <f>VLOOKUP('3.1 Losowanie warstwowe PROP'!B63,lw!$A$1:$G$1001,2,FALSE)</f>
        <v>27</v>
      </c>
      <c r="E63" s="34" t="str">
        <f>VLOOKUP(B63,Dane!$A$1:$G$1001,6,FALSE)</f>
        <v>własność</v>
      </c>
      <c r="F63" s="34">
        <f t="shared" si="0"/>
        <v>4.99</v>
      </c>
    </row>
    <row r="64" spans="1:6" x14ac:dyDescent="0.3">
      <c r="A64" s="34">
        <v>55</v>
      </c>
      <c r="B64" s="34">
        <v>799</v>
      </c>
      <c r="C64" s="34" t="s">
        <v>54</v>
      </c>
      <c r="D64" s="39">
        <f>VLOOKUP('3.1 Losowanie warstwowe PROP'!B64,lw!$A$1:$G$1001,2,FALSE)</f>
        <v>24</v>
      </c>
      <c r="E64" s="34" t="str">
        <f>VLOOKUP(B64,Dane!$A$1:$G$1001,6,FALSE)</f>
        <v>własność</v>
      </c>
      <c r="F64" s="34">
        <f t="shared" si="0"/>
        <v>4.99</v>
      </c>
    </row>
    <row r="65" spans="1:6" x14ac:dyDescent="0.3">
      <c r="A65" s="34">
        <v>56</v>
      </c>
      <c r="B65" s="34">
        <v>423</v>
      </c>
      <c r="C65" s="34" t="s">
        <v>54</v>
      </c>
      <c r="D65" s="39">
        <f>VLOOKUP('3.1 Losowanie warstwowe PROP'!B65,lw!$A$1:$G$1001,2,FALSE)</f>
        <v>12</v>
      </c>
      <c r="E65" s="34" t="str">
        <f>VLOOKUP(B65,Dane!$A$1:$G$1001,6,FALSE)</f>
        <v>własność</v>
      </c>
      <c r="F65" s="34">
        <f t="shared" si="0"/>
        <v>4.99</v>
      </c>
    </row>
    <row r="66" spans="1:6" x14ac:dyDescent="0.3">
      <c r="A66" s="34">
        <v>57</v>
      </c>
      <c r="B66" s="34">
        <v>68</v>
      </c>
      <c r="C66" s="34" t="s">
        <v>54</v>
      </c>
      <c r="D66" s="39">
        <f>VLOOKUP('3.1 Losowanie warstwowe PROP'!B66,lw!$A$1:$G$1001,2,FALSE)</f>
        <v>12</v>
      </c>
      <c r="E66" s="34" t="str">
        <f>VLOOKUP(B66,Dane!$A$1:$G$1001,6,FALSE)</f>
        <v>własność</v>
      </c>
      <c r="F66" s="34">
        <f t="shared" si="0"/>
        <v>4.99</v>
      </c>
    </row>
    <row r="67" spans="1:6" x14ac:dyDescent="0.3">
      <c r="A67" s="34">
        <v>58</v>
      </c>
      <c r="B67" s="34">
        <v>284</v>
      </c>
      <c r="C67" s="34" t="s">
        <v>54</v>
      </c>
      <c r="D67" s="39">
        <f>VLOOKUP('3.1 Losowanie warstwowe PROP'!B67,lw!$A$1:$G$1001,2,FALSE)</f>
        <v>15</v>
      </c>
      <c r="E67" s="34" t="str">
        <f>VLOOKUP(B67,Dane!$A$1:$G$1001,6,FALSE)</f>
        <v>własność</v>
      </c>
      <c r="F67" s="34">
        <f t="shared" si="0"/>
        <v>4.99</v>
      </c>
    </row>
    <row r="68" spans="1:6" x14ac:dyDescent="0.3">
      <c r="A68" s="34">
        <v>59</v>
      </c>
      <c r="B68" s="34">
        <v>215</v>
      </c>
      <c r="C68" s="34" t="s">
        <v>54</v>
      </c>
      <c r="D68" s="39">
        <f>VLOOKUP('3.1 Losowanie warstwowe PROP'!B68,lw!$A$1:$G$1001,2,FALSE)</f>
        <v>36</v>
      </c>
      <c r="E68" s="34" t="str">
        <f>VLOOKUP(B68,Dane!$A$1:$G$1001,6,FALSE)</f>
        <v>własność</v>
      </c>
      <c r="F68" s="34">
        <f t="shared" si="0"/>
        <v>4.99</v>
      </c>
    </row>
    <row r="69" spans="1:6" x14ac:dyDescent="0.3">
      <c r="A69" s="34">
        <v>60</v>
      </c>
      <c r="B69" s="34">
        <v>278</v>
      </c>
      <c r="C69" s="34" t="s">
        <v>54</v>
      </c>
      <c r="D69" s="39">
        <f>VLOOKUP('3.1 Losowanie warstwowe PROP'!B69,lw!$A$1:$G$1001,2,FALSE)</f>
        <v>12</v>
      </c>
      <c r="E69" s="34" t="str">
        <f>VLOOKUP(B69,Dane!$A$1:$G$1001,6,FALSE)</f>
        <v>własność</v>
      </c>
      <c r="F69" s="34">
        <f t="shared" si="0"/>
        <v>4.99</v>
      </c>
    </row>
    <row r="70" spans="1:6" x14ac:dyDescent="0.3">
      <c r="A70" s="34">
        <v>61</v>
      </c>
      <c r="B70" s="34">
        <v>470</v>
      </c>
      <c r="C70" s="34" t="s">
        <v>54</v>
      </c>
      <c r="D70" s="39">
        <f>VLOOKUP('3.1 Losowanie warstwowe PROP'!B70,lw!$A$1:$G$1001,2,FALSE)</f>
        <v>24</v>
      </c>
      <c r="E70" s="34" t="str">
        <f>VLOOKUP(B70,Dane!$A$1:$G$1001,6,FALSE)</f>
        <v>własność</v>
      </c>
      <c r="F70" s="34">
        <f t="shared" si="0"/>
        <v>4.99</v>
      </c>
    </row>
    <row r="71" spans="1:6" x14ac:dyDescent="0.3">
      <c r="A71" s="34">
        <v>62</v>
      </c>
      <c r="B71" s="34">
        <v>211</v>
      </c>
      <c r="C71" s="34" t="s">
        <v>54</v>
      </c>
      <c r="D71" s="39">
        <f>VLOOKUP('3.1 Losowanie warstwowe PROP'!B71,lw!$A$1:$G$1001,2,FALSE)</f>
        <v>9</v>
      </c>
      <c r="E71" s="34" t="str">
        <f>VLOOKUP(B71,Dane!$A$1:$G$1001,6,FALSE)</f>
        <v>własność</v>
      </c>
      <c r="F71" s="34">
        <f t="shared" si="0"/>
        <v>4.99</v>
      </c>
    </row>
    <row r="72" spans="1:6" x14ac:dyDescent="0.3">
      <c r="A72" s="34">
        <v>63</v>
      </c>
      <c r="B72" s="34">
        <v>686</v>
      </c>
      <c r="C72" s="34" t="s">
        <v>54</v>
      </c>
      <c r="D72" s="39">
        <f>VLOOKUP('3.1 Losowanie warstwowe PROP'!B72,lw!$A$1:$G$1001,2,FALSE)</f>
        <v>60</v>
      </c>
      <c r="E72" s="34" t="str">
        <f>VLOOKUP(B72,Dane!$A$1:$G$1001,6,FALSE)</f>
        <v>za darmo</v>
      </c>
      <c r="F72" s="34">
        <f t="shared" si="0"/>
        <v>4.99</v>
      </c>
    </row>
    <row r="73" spans="1:6" x14ac:dyDescent="0.3">
      <c r="A73" s="34">
        <v>64</v>
      </c>
      <c r="B73" s="34">
        <v>565</v>
      </c>
      <c r="C73" s="34" t="s">
        <v>54</v>
      </c>
      <c r="D73" s="39">
        <f>VLOOKUP('3.1 Losowanie warstwowe PROP'!B73,lw!$A$1:$G$1001,2,FALSE)</f>
        <v>24</v>
      </c>
      <c r="E73" s="34" t="str">
        <f>VLOOKUP(B73,Dane!$A$1:$G$1001,6,FALSE)</f>
        <v>własność</v>
      </c>
      <c r="F73" s="34">
        <f t="shared" si="0"/>
        <v>4.99</v>
      </c>
    </row>
    <row r="74" spans="1:6" x14ac:dyDescent="0.3">
      <c r="A74" s="34">
        <v>65</v>
      </c>
      <c r="B74" s="34">
        <v>345</v>
      </c>
      <c r="C74" s="34" t="s">
        <v>54</v>
      </c>
      <c r="D74" s="39">
        <f>VLOOKUP('3.1 Losowanie warstwowe PROP'!B74,lw!$A$1:$G$1001,2,FALSE)</f>
        <v>10</v>
      </c>
      <c r="E74" s="34" t="str">
        <f>VLOOKUP(B74,Dane!$A$1:$G$1001,6,FALSE)</f>
        <v>własność</v>
      </c>
      <c r="F74" s="34">
        <f t="shared" si="0"/>
        <v>4.99</v>
      </c>
    </row>
    <row r="75" spans="1:6" x14ac:dyDescent="0.3">
      <c r="A75" s="34">
        <v>66</v>
      </c>
      <c r="B75" s="34">
        <v>21</v>
      </c>
      <c r="C75" s="34" t="s">
        <v>54</v>
      </c>
      <c r="D75" s="39">
        <f>VLOOKUP('3.1 Losowanie warstwowe PROP'!B75,lw!$A$1:$G$1001,2,FALSE)</f>
        <v>9</v>
      </c>
      <c r="E75" s="34" t="str">
        <f>VLOOKUP(B75,Dane!$A$1:$G$1001,6,FALSE)</f>
        <v>własność</v>
      </c>
      <c r="F75" s="34">
        <f t="shared" ref="F75:F138" si="5">VLOOKUP(C75,$H$10:$L$13,5,FALSE)</f>
        <v>4.99</v>
      </c>
    </row>
    <row r="76" spans="1:6" x14ac:dyDescent="0.3">
      <c r="A76" s="34">
        <v>67</v>
      </c>
      <c r="B76" s="34">
        <v>310</v>
      </c>
      <c r="C76" s="34" t="s">
        <v>54</v>
      </c>
      <c r="D76" s="39">
        <f>VLOOKUP('3.1 Losowanie warstwowe PROP'!B76,lw!$A$1:$G$1001,2,FALSE)</f>
        <v>9</v>
      </c>
      <c r="E76" s="34" t="str">
        <f>VLOOKUP(B76,Dane!$A$1:$G$1001,6,FALSE)</f>
        <v>wynajem</v>
      </c>
      <c r="F76" s="34">
        <f t="shared" si="5"/>
        <v>4.99</v>
      </c>
    </row>
    <row r="77" spans="1:6" x14ac:dyDescent="0.3">
      <c r="A77" s="34">
        <v>68</v>
      </c>
      <c r="B77" s="34">
        <v>962</v>
      </c>
      <c r="C77" s="34" t="s">
        <v>54</v>
      </c>
      <c r="D77" s="39">
        <f>VLOOKUP('3.1 Losowanie warstwowe PROP'!B77,lw!$A$1:$G$1001,2,FALSE)</f>
        <v>21</v>
      </c>
      <c r="E77" s="34" t="str">
        <f>VLOOKUP(B77,Dane!$A$1:$G$1001,6,FALSE)</f>
        <v>własność</v>
      </c>
      <c r="F77" s="34">
        <f t="shared" si="5"/>
        <v>4.99</v>
      </c>
    </row>
    <row r="78" spans="1:6" x14ac:dyDescent="0.3">
      <c r="A78" s="34">
        <v>69</v>
      </c>
      <c r="B78" s="34">
        <v>225</v>
      </c>
      <c r="C78" s="34" t="s">
        <v>54</v>
      </c>
      <c r="D78" s="39">
        <f>VLOOKUP('3.1 Losowanie warstwowe PROP'!B78,lw!$A$1:$G$1001,2,FALSE)</f>
        <v>15</v>
      </c>
      <c r="E78" s="34" t="str">
        <f>VLOOKUP(B78,Dane!$A$1:$G$1001,6,FALSE)</f>
        <v>własność</v>
      </c>
      <c r="F78" s="34">
        <f t="shared" si="5"/>
        <v>4.99</v>
      </c>
    </row>
    <row r="79" spans="1:6" x14ac:dyDescent="0.3">
      <c r="A79" s="34">
        <v>70</v>
      </c>
      <c r="B79" s="34">
        <v>869</v>
      </c>
      <c r="C79" s="34" t="s">
        <v>54</v>
      </c>
      <c r="D79" s="39">
        <f>VLOOKUP('3.1 Losowanie warstwowe PROP'!B79,lw!$A$1:$G$1001,2,FALSE)</f>
        <v>36</v>
      </c>
      <c r="E79" s="34" t="str">
        <f>VLOOKUP(B79,Dane!$A$1:$G$1001,6,FALSE)</f>
        <v>własność</v>
      </c>
      <c r="F79" s="34">
        <f t="shared" si="5"/>
        <v>4.99</v>
      </c>
    </row>
    <row r="80" spans="1:6" x14ac:dyDescent="0.3">
      <c r="A80" s="34">
        <v>71</v>
      </c>
      <c r="B80" s="34">
        <v>922</v>
      </c>
      <c r="C80" s="34" t="s">
        <v>54</v>
      </c>
      <c r="D80" s="39">
        <f>VLOOKUP('3.1 Losowanie warstwowe PROP'!B80,lw!$A$1:$G$1001,2,FALSE)</f>
        <v>48</v>
      </c>
      <c r="E80" s="34" t="str">
        <f>VLOOKUP(B80,Dane!$A$1:$G$1001,6,FALSE)</f>
        <v>własność</v>
      </c>
      <c r="F80" s="34">
        <f t="shared" si="5"/>
        <v>4.99</v>
      </c>
    </row>
    <row r="81" spans="1:6" x14ac:dyDescent="0.3">
      <c r="A81" s="34">
        <v>72</v>
      </c>
      <c r="B81" s="34">
        <v>299</v>
      </c>
      <c r="C81" s="34" t="s">
        <v>54</v>
      </c>
      <c r="D81" s="39">
        <f>VLOOKUP('3.1 Losowanie warstwowe PROP'!B81,lw!$A$1:$G$1001,2,FALSE)</f>
        <v>18</v>
      </c>
      <c r="E81" s="34" t="str">
        <f>VLOOKUP(B81,Dane!$A$1:$G$1001,6,FALSE)</f>
        <v>własność</v>
      </c>
      <c r="F81" s="34">
        <f t="shared" si="5"/>
        <v>4.99</v>
      </c>
    </row>
    <row r="82" spans="1:6" x14ac:dyDescent="0.3">
      <c r="A82" s="34">
        <v>73</v>
      </c>
      <c r="B82" s="34">
        <v>388</v>
      </c>
      <c r="C82" s="34" t="s">
        <v>54</v>
      </c>
      <c r="D82" s="39">
        <f>VLOOKUP('3.1 Losowanie warstwowe PROP'!B82,lw!$A$1:$G$1001,2,FALSE)</f>
        <v>18</v>
      </c>
      <c r="E82" s="34" t="str">
        <f>VLOOKUP(B82,Dane!$A$1:$G$1001,6,FALSE)</f>
        <v>własność</v>
      </c>
      <c r="F82" s="34">
        <f t="shared" si="5"/>
        <v>4.99</v>
      </c>
    </row>
    <row r="83" spans="1:6" x14ac:dyDescent="0.3">
      <c r="A83" s="34">
        <v>74</v>
      </c>
      <c r="B83" s="34">
        <v>521</v>
      </c>
      <c r="C83" s="34" t="s">
        <v>54</v>
      </c>
      <c r="D83" s="39">
        <f>VLOOKUP('3.1 Losowanie warstwowe PROP'!B83,lw!$A$1:$G$1001,2,FALSE)</f>
        <v>24</v>
      </c>
      <c r="E83" s="34" t="str">
        <f>VLOOKUP(B83,Dane!$A$1:$G$1001,6,FALSE)</f>
        <v>za darmo</v>
      </c>
      <c r="F83" s="34">
        <f t="shared" si="5"/>
        <v>4.99</v>
      </c>
    </row>
    <row r="84" spans="1:6" x14ac:dyDescent="0.3">
      <c r="A84" s="34">
        <v>75</v>
      </c>
      <c r="B84" s="34">
        <v>291</v>
      </c>
      <c r="C84" s="34" t="s">
        <v>54</v>
      </c>
      <c r="D84" s="39">
        <f>VLOOKUP('3.1 Losowanie warstwowe PROP'!B84,lw!$A$1:$G$1001,2,FALSE)</f>
        <v>12</v>
      </c>
      <c r="E84" s="34" t="str">
        <f>VLOOKUP(B84,Dane!$A$1:$G$1001,6,FALSE)</f>
        <v>własność</v>
      </c>
      <c r="F84" s="34">
        <f t="shared" si="5"/>
        <v>4.99</v>
      </c>
    </row>
    <row r="85" spans="1:6" x14ac:dyDescent="0.3">
      <c r="A85" s="34">
        <v>76</v>
      </c>
      <c r="B85" s="34">
        <v>864</v>
      </c>
      <c r="C85" s="34" t="s">
        <v>54</v>
      </c>
      <c r="D85" s="39">
        <f>VLOOKUP('3.1 Losowanie warstwowe PROP'!B85,lw!$A$1:$G$1001,2,FALSE)</f>
        <v>27</v>
      </c>
      <c r="E85" s="34" t="str">
        <f>VLOOKUP(B85,Dane!$A$1:$G$1001,6,FALSE)</f>
        <v>własność</v>
      </c>
      <c r="F85" s="34">
        <f t="shared" si="5"/>
        <v>4.99</v>
      </c>
    </row>
    <row r="86" spans="1:6" x14ac:dyDescent="0.3">
      <c r="A86" s="34">
        <v>77</v>
      </c>
      <c r="B86" s="34">
        <v>146</v>
      </c>
      <c r="C86" s="34" t="s">
        <v>54</v>
      </c>
      <c r="D86" s="39">
        <f>VLOOKUP('3.1 Losowanie warstwowe PROP'!B86,lw!$A$1:$G$1001,2,FALSE)</f>
        <v>48</v>
      </c>
      <c r="E86" s="34" t="str">
        <f>VLOOKUP(B86,Dane!$A$1:$G$1001,6,FALSE)</f>
        <v>własność</v>
      </c>
      <c r="F86" s="34">
        <f t="shared" si="5"/>
        <v>4.99</v>
      </c>
    </row>
    <row r="87" spans="1:6" x14ac:dyDescent="0.3">
      <c r="A87" s="34">
        <v>78</v>
      </c>
      <c r="B87" s="34">
        <v>41</v>
      </c>
      <c r="C87" s="34" t="s">
        <v>54</v>
      </c>
      <c r="D87" s="39">
        <f>VLOOKUP('3.1 Losowanie warstwowe PROP'!B87,lw!$A$1:$G$1001,2,FALSE)</f>
        <v>30</v>
      </c>
      <c r="E87" s="34" t="str">
        <f>VLOOKUP(B87,Dane!$A$1:$G$1001,6,FALSE)</f>
        <v>własność</v>
      </c>
      <c r="F87" s="34">
        <f t="shared" si="5"/>
        <v>4.99</v>
      </c>
    </row>
    <row r="88" spans="1:6" x14ac:dyDescent="0.3">
      <c r="A88" s="34">
        <v>79</v>
      </c>
      <c r="B88" s="34">
        <v>530</v>
      </c>
      <c r="C88" s="34" t="s">
        <v>54</v>
      </c>
      <c r="D88" s="39">
        <f>VLOOKUP('3.1 Losowanie warstwowe PROP'!B88,lw!$A$1:$G$1001,2,FALSE)</f>
        <v>6</v>
      </c>
      <c r="E88" s="34" t="str">
        <f>VLOOKUP(B88,Dane!$A$1:$G$1001,6,FALSE)</f>
        <v>własność</v>
      </c>
      <c r="F88" s="34">
        <f t="shared" si="5"/>
        <v>4.99</v>
      </c>
    </row>
    <row r="89" spans="1:6" x14ac:dyDescent="0.3">
      <c r="A89" s="34">
        <v>80</v>
      </c>
      <c r="B89" s="34">
        <v>294</v>
      </c>
      <c r="C89" s="34" t="s">
        <v>54</v>
      </c>
      <c r="D89" s="39">
        <f>VLOOKUP('3.1 Losowanie warstwowe PROP'!B89,lw!$A$1:$G$1001,2,FALSE)</f>
        <v>42</v>
      </c>
      <c r="E89" s="34" t="str">
        <f>VLOOKUP(B89,Dane!$A$1:$G$1001,6,FALSE)</f>
        <v>za darmo</v>
      </c>
      <c r="F89" s="34">
        <f t="shared" si="5"/>
        <v>4.99</v>
      </c>
    </row>
    <row r="90" spans="1:6" x14ac:dyDescent="0.3">
      <c r="A90" s="34">
        <v>81</v>
      </c>
      <c r="B90" s="34">
        <v>164</v>
      </c>
      <c r="C90" s="34" t="s">
        <v>54</v>
      </c>
      <c r="D90" s="39">
        <f>VLOOKUP('3.1 Losowanie warstwowe PROP'!B90,lw!$A$1:$G$1001,2,FALSE)</f>
        <v>10</v>
      </c>
      <c r="E90" s="34" t="str">
        <f>VLOOKUP(B90,Dane!$A$1:$G$1001,6,FALSE)</f>
        <v>za darmo</v>
      </c>
      <c r="F90" s="34">
        <f t="shared" si="5"/>
        <v>4.99</v>
      </c>
    </row>
    <row r="91" spans="1:6" x14ac:dyDescent="0.3">
      <c r="A91" s="34">
        <v>82</v>
      </c>
      <c r="B91" s="34">
        <v>427</v>
      </c>
      <c r="C91" s="34" t="s">
        <v>54</v>
      </c>
      <c r="D91" s="39">
        <f>VLOOKUP('3.1 Losowanie warstwowe PROP'!B91,lw!$A$1:$G$1001,2,FALSE)</f>
        <v>28</v>
      </c>
      <c r="E91" s="34" t="str">
        <f>VLOOKUP(B91,Dane!$A$1:$G$1001,6,FALSE)</f>
        <v>własność</v>
      </c>
      <c r="F91" s="34">
        <f t="shared" si="5"/>
        <v>4.99</v>
      </c>
    </row>
    <row r="92" spans="1:6" x14ac:dyDescent="0.3">
      <c r="A92" s="34">
        <v>83</v>
      </c>
      <c r="B92" s="34">
        <v>235</v>
      </c>
      <c r="C92" s="34" t="s">
        <v>54</v>
      </c>
      <c r="D92" s="39">
        <f>VLOOKUP('3.1 Losowanie warstwowe PROP'!B92,lw!$A$1:$G$1001,2,FALSE)</f>
        <v>4</v>
      </c>
      <c r="E92" s="34" t="str">
        <f>VLOOKUP(B92,Dane!$A$1:$G$1001,6,FALSE)</f>
        <v>własność</v>
      </c>
      <c r="F92" s="34">
        <f t="shared" si="5"/>
        <v>4.99</v>
      </c>
    </row>
    <row r="93" spans="1:6" x14ac:dyDescent="0.3">
      <c r="A93" s="34">
        <v>84</v>
      </c>
      <c r="B93" s="34">
        <v>738</v>
      </c>
      <c r="C93" s="34" t="s">
        <v>54</v>
      </c>
      <c r="D93" s="39">
        <f>VLOOKUP('3.1 Losowanie warstwowe PROP'!B93,lw!$A$1:$G$1001,2,FALSE)</f>
        <v>18</v>
      </c>
      <c r="E93" s="34" t="str">
        <f>VLOOKUP(B93,Dane!$A$1:$G$1001,6,FALSE)</f>
        <v>własność</v>
      </c>
      <c r="F93" s="34">
        <f t="shared" si="5"/>
        <v>4.99</v>
      </c>
    </row>
    <row r="94" spans="1:6" x14ac:dyDescent="0.3">
      <c r="A94" s="34">
        <v>85</v>
      </c>
      <c r="B94" s="34">
        <v>391</v>
      </c>
      <c r="C94" s="34" t="s">
        <v>54</v>
      </c>
      <c r="D94" s="39">
        <f>VLOOKUP('3.1 Losowanie warstwowe PROP'!B94,lw!$A$1:$G$1001,2,FALSE)</f>
        <v>18</v>
      </c>
      <c r="E94" s="34" t="str">
        <f>VLOOKUP(B94,Dane!$A$1:$G$1001,6,FALSE)</f>
        <v>własność</v>
      </c>
      <c r="F94" s="34">
        <f t="shared" si="5"/>
        <v>4.99</v>
      </c>
    </row>
    <row r="95" spans="1:6" x14ac:dyDescent="0.3">
      <c r="A95" s="34">
        <v>86</v>
      </c>
      <c r="B95" s="34">
        <v>494</v>
      </c>
      <c r="C95" s="34" t="s">
        <v>54</v>
      </c>
      <c r="D95" s="39">
        <f>VLOOKUP('3.1 Losowanie warstwowe PROP'!B95,lw!$A$1:$G$1001,2,FALSE)</f>
        <v>6</v>
      </c>
      <c r="E95" s="34" t="str">
        <f>VLOOKUP(B95,Dane!$A$1:$G$1001,6,FALSE)</f>
        <v>własność</v>
      </c>
      <c r="F95" s="34">
        <f t="shared" si="5"/>
        <v>4.99</v>
      </c>
    </row>
    <row r="96" spans="1:6" x14ac:dyDescent="0.3">
      <c r="A96" s="34">
        <v>87</v>
      </c>
      <c r="B96" s="34">
        <v>9</v>
      </c>
      <c r="C96" s="34" t="s">
        <v>54</v>
      </c>
      <c r="D96" s="39">
        <f>VLOOKUP('3.1 Losowanie warstwowe PROP'!B96,lw!$A$1:$G$1001,2,FALSE)</f>
        <v>12</v>
      </c>
      <c r="E96" s="34" t="str">
        <f>VLOOKUP(B96,Dane!$A$1:$G$1001,6,FALSE)</f>
        <v>własność</v>
      </c>
      <c r="F96" s="34">
        <f t="shared" si="5"/>
        <v>4.99</v>
      </c>
    </row>
    <row r="97" spans="1:6" x14ac:dyDescent="0.3">
      <c r="A97" s="34">
        <v>88</v>
      </c>
      <c r="B97" s="34">
        <v>746</v>
      </c>
      <c r="C97" s="34" t="s">
        <v>54</v>
      </c>
      <c r="D97" s="39">
        <f>VLOOKUP('3.1 Losowanie warstwowe PROP'!B97,lw!$A$1:$G$1001,2,FALSE)</f>
        <v>13</v>
      </c>
      <c r="E97" s="34" t="str">
        <f>VLOOKUP(B97,Dane!$A$1:$G$1001,6,FALSE)</f>
        <v>własność</v>
      </c>
      <c r="F97" s="34">
        <f t="shared" si="5"/>
        <v>4.99</v>
      </c>
    </row>
    <row r="98" spans="1:6" x14ac:dyDescent="0.3">
      <c r="A98" s="34">
        <v>89</v>
      </c>
      <c r="B98" s="34">
        <v>61</v>
      </c>
      <c r="C98" s="34" t="s">
        <v>54</v>
      </c>
      <c r="D98" s="39">
        <f>VLOOKUP('3.1 Losowanie warstwowe PROP'!B98,lw!$A$1:$G$1001,2,FALSE)</f>
        <v>9</v>
      </c>
      <c r="E98" s="34" t="str">
        <f>VLOOKUP(B98,Dane!$A$1:$G$1001,6,FALSE)</f>
        <v>własność</v>
      </c>
      <c r="F98" s="34">
        <f t="shared" si="5"/>
        <v>4.99</v>
      </c>
    </row>
    <row r="99" spans="1:6" x14ac:dyDescent="0.3">
      <c r="A99" s="34">
        <v>90</v>
      </c>
      <c r="B99" s="34">
        <v>89</v>
      </c>
      <c r="C99" s="34" t="s">
        <v>54</v>
      </c>
      <c r="D99" s="39">
        <f>VLOOKUP('3.1 Losowanie warstwowe PROP'!B99,lw!$A$1:$G$1001,2,FALSE)</f>
        <v>18</v>
      </c>
      <c r="E99" s="34" t="str">
        <f>VLOOKUP(B99,Dane!$A$1:$G$1001,6,FALSE)</f>
        <v>własność</v>
      </c>
      <c r="F99" s="34">
        <f t="shared" si="5"/>
        <v>4.99</v>
      </c>
    </row>
    <row r="100" spans="1:6" x14ac:dyDescent="0.3">
      <c r="A100" s="34">
        <v>91</v>
      </c>
      <c r="B100" s="34">
        <v>441</v>
      </c>
      <c r="C100" s="34" t="s">
        <v>54</v>
      </c>
      <c r="D100" s="39">
        <f>VLOOKUP('3.1 Losowanie warstwowe PROP'!B100,lw!$A$1:$G$1001,2,FALSE)</f>
        <v>12</v>
      </c>
      <c r="E100" s="34" t="str">
        <f>VLOOKUP(B100,Dane!$A$1:$G$1001,6,FALSE)</f>
        <v>własność</v>
      </c>
      <c r="F100" s="34">
        <f t="shared" si="5"/>
        <v>4.99</v>
      </c>
    </row>
    <row r="101" spans="1:6" x14ac:dyDescent="0.3">
      <c r="A101" s="34">
        <v>92</v>
      </c>
      <c r="B101" s="34">
        <v>26</v>
      </c>
      <c r="C101" s="34" t="s">
        <v>54</v>
      </c>
      <c r="D101" s="39">
        <f>VLOOKUP('3.1 Losowanie warstwowe PROP'!B101,lw!$A$1:$G$1001,2,FALSE)</f>
        <v>6</v>
      </c>
      <c r="E101" s="34" t="str">
        <f>VLOOKUP(B101,Dane!$A$1:$G$1001,6,FALSE)</f>
        <v>własność</v>
      </c>
      <c r="F101" s="34">
        <f t="shared" si="5"/>
        <v>4.99</v>
      </c>
    </row>
    <row r="102" spans="1:6" x14ac:dyDescent="0.3">
      <c r="A102" s="34">
        <v>93</v>
      </c>
      <c r="B102" s="34">
        <v>7</v>
      </c>
      <c r="C102" s="34" t="s">
        <v>54</v>
      </c>
      <c r="D102" s="39">
        <f>VLOOKUP('3.1 Losowanie warstwowe PROP'!B102,lw!$A$1:$G$1001,2,FALSE)</f>
        <v>24</v>
      </c>
      <c r="E102" s="34" t="str">
        <f>VLOOKUP(B102,Dane!$A$1:$G$1001,6,FALSE)</f>
        <v>własność</v>
      </c>
      <c r="F102" s="34">
        <f t="shared" si="5"/>
        <v>4.99</v>
      </c>
    </row>
    <row r="103" spans="1:6" x14ac:dyDescent="0.3">
      <c r="A103" s="34">
        <v>94</v>
      </c>
      <c r="B103" s="34">
        <v>989</v>
      </c>
      <c r="C103" s="34" t="s">
        <v>54</v>
      </c>
      <c r="D103" s="39">
        <f>VLOOKUP('3.1 Losowanie warstwowe PROP'!B103,lw!$A$1:$G$1001,2,FALSE)</f>
        <v>24</v>
      </c>
      <c r="E103" s="34" t="str">
        <f>VLOOKUP(B103,Dane!$A$1:$G$1001,6,FALSE)</f>
        <v>za darmo</v>
      </c>
      <c r="F103" s="34">
        <f t="shared" si="5"/>
        <v>4.99</v>
      </c>
    </row>
    <row r="104" spans="1:6" x14ac:dyDescent="0.3">
      <c r="A104" s="34">
        <v>95</v>
      </c>
      <c r="B104" s="34">
        <v>42</v>
      </c>
      <c r="C104" s="34" t="s">
        <v>54</v>
      </c>
      <c r="D104" s="39">
        <f>VLOOKUP('3.1 Losowanie warstwowe PROP'!B104,lw!$A$1:$G$1001,2,FALSE)</f>
        <v>12</v>
      </c>
      <c r="E104" s="34" t="str">
        <f>VLOOKUP(B104,Dane!$A$1:$G$1001,6,FALSE)</f>
        <v>własność</v>
      </c>
      <c r="F104" s="34">
        <f t="shared" si="5"/>
        <v>4.99</v>
      </c>
    </row>
    <row r="105" spans="1:6" x14ac:dyDescent="0.3">
      <c r="A105" s="34">
        <v>96</v>
      </c>
      <c r="B105" s="34">
        <v>163</v>
      </c>
      <c r="C105" s="34" t="s">
        <v>54</v>
      </c>
      <c r="D105" s="39">
        <f>VLOOKUP('3.1 Losowanie warstwowe PROP'!B105,lw!$A$1:$G$1001,2,FALSE)</f>
        <v>15</v>
      </c>
      <c r="E105" s="34" t="str">
        <f>VLOOKUP(B105,Dane!$A$1:$G$1001,6,FALSE)</f>
        <v>własność</v>
      </c>
      <c r="F105" s="34">
        <f t="shared" si="5"/>
        <v>4.99</v>
      </c>
    </row>
    <row r="106" spans="1:6" x14ac:dyDescent="0.3">
      <c r="A106" s="34">
        <v>97</v>
      </c>
      <c r="B106" s="34">
        <v>969</v>
      </c>
      <c r="C106" s="34" t="s">
        <v>54</v>
      </c>
      <c r="D106" s="39">
        <f>VLOOKUP('3.1 Losowanie warstwowe PROP'!B106,lw!$A$1:$G$1001,2,FALSE)</f>
        <v>42</v>
      </c>
      <c r="E106" s="34" t="str">
        <f>VLOOKUP(B106,Dane!$A$1:$G$1001,6,FALSE)</f>
        <v>wynajem</v>
      </c>
      <c r="F106" s="34">
        <f t="shared" si="5"/>
        <v>4.99</v>
      </c>
    </row>
    <row r="107" spans="1:6" x14ac:dyDescent="0.3">
      <c r="A107" s="34">
        <v>98</v>
      </c>
      <c r="B107" s="34">
        <v>155</v>
      </c>
      <c r="C107" s="34" t="s">
        <v>54</v>
      </c>
      <c r="D107" s="39">
        <f>VLOOKUP('3.1 Losowanie warstwowe PROP'!B107,lw!$A$1:$G$1001,2,FALSE)</f>
        <v>24</v>
      </c>
      <c r="E107" s="34" t="str">
        <f>VLOOKUP(B107,Dane!$A$1:$G$1001,6,FALSE)</f>
        <v>wynajem</v>
      </c>
      <c r="F107" s="34">
        <f t="shared" si="5"/>
        <v>4.99</v>
      </c>
    </row>
    <row r="108" spans="1:6" x14ac:dyDescent="0.3">
      <c r="A108" s="34">
        <v>99</v>
      </c>
      <c r="B108" s="34">
        <v>311</v>
      </c>
      <c r="C108" s="34" t="s">
        <v>54</v>
      </c>
      <c r="D108" s="39">
        <f>VLOOKUP('3.1 Losowanie warstwowe PROP'!B108,lw!$A$1:$G$1001,2,FALSE)</f>
        <v>48</v>
      </c>
      <c r="E108" s="34" t="str">
        <f>VLOOKUP(B108,Dane!$A$1:$G$1001,6,FALSE)</f>
        <v>za darmo</v>
      </c>
      <c r="F108" s="34">
        <f t="shared" si="5"/>
        <v>4.99</v>
      </c>
    </row>
    <row r="109" spans="1:6" x14ac:dyDescent="0.3">
      <c r="A109" s="34">
        <v>100</v>
      </c>
      <c r="B109" s="34">
        <v>49</v>
      </c>
      <c r="C109" s="34" t="s">
        <v>54</v>
      </c>
      <c r="D109" s="39">
        <f>VLOOKUP('3.1 Losowanie warstwowe PROP'!B109,lw!$A$1:$G$1001,2,FALSE)</f>
        <v>11</v>
      </c>
      <c r="E109" s="34" t="str">
        <f>VLOOKUP(B109,Dane!$A$1:$G$1001,6,FALSE)</f>
        <v>własność</v>
      </c>
      <c r="F109" s="34">
        <f t="shared" si="5"/>
        <v>4.99</v>
      </c>
    </row>
    <row r="110" spans="1:6" x14ac:dyDescent="0.3">
      <c r="A110" s="34">
        <v>101</v>
      </c>
      <c r="B110" s="34">
        <v>553</v>
      </c>
      <c r="C110" s="34" t="s">
        <v>55</v>
      </c>
      <c r="D110" s="39">
        <f>VLOOKUP('3.1 Losowanie warstwowe PROP'!B110,lw!$A$1:$G$1001,2,FALSE)</f>
        <v>48</v>
      </c>
      <c r="E110" s="34" t="str">
        <f>VLOOKUP(B110,Dane!$A$1:$G$1001,6,FALSE)</f>
        <v>własność</v>
      </c>
      <c r="F110" s="34">
        <f t="shared" si="5"/>
        <v>5.026315789473685</v>
      </c>
    </row>
    <row r="111" spans="1:6" x14ac:dyDescent="0.3">
      <c r="A111" s="34">
        <v>102</v>
      </c>
      <c r="B111" s="34">
        <v>590</v>
      </c>
      <c r="C111" s="34" t="s">
        <v>55</v>
      </c>
      <c r="D111" s="39">
        <f>VLOOKUP('3.1 Losowanie warstwowe PROP'!B111,lw!$A$1:$G$1001,2,FALSE)</f>
        <v>12</v>
      </c>
      <c r="E111" s="34" t="str">
        <f>VLOOKUP(B111,Dane!$A$1:$G$1001,6,FALSE)</f>
        <v>własność</v>
      </c>
      <c r="F111" s="34">
        <f t="shared" si="5"/>
        <v>5.026315789473685</v>
      </c>
    </row>
    <row r="112" spans="1:6" x14ac:dyDescent="0.3">
      <c r="A112" s="34">
        <v>103</v>
      </c>
      <c r="B112" s="34">
        <v>274</v>
      </c>
      <c r="C112" s="34" t="s">
        <v>55</v>
      </c>
      <c r="D112" s="39">
        <f>VLOOKUP('3.1 Losowanie warstwowe PROP'!B112,lw!$A$1:$G$1001,2,FALSE)</f>
        <v>48</v>
      </c>
      <c r="E112" s="34" t="str">
        <f>VLOOKUP(B112,Dane!$A$1:$G$1001,6,FALSE)</f>
        <v>własność</v>
      </c>
      <c r="F112" s="34">
        <f t="shared" si="5"/>
        <v>5.026315789473685</v>
      </c>
    </row>
    <row r="113" spans="1:6" x14ac:dyDescent="0.3">
      <c r="A113" s="34">
        <v>104</v>
      </c>
      <c r="B113" s="34">
        <v>399</v>
      </c>
      <c r="C113" s="34" t="s">
        <v>55</v>
      </c>
      <c r="D113" s="39">
        <f>VLOOKUP('3.1 Losowanie warstwowe PROP'!B113,lw!$A$1:$G$1001,2,FALSE)</f>
        <v>12</v>
      </c>
      <c r="E113" s="34" t="str">
        <f>VLOOKUP(B113,Dane!$A$1:$G$1001,6,FALSE)</f>
        <v>wynajem</v>
      </c>
      <c r="F113" s="34">
        <f t="shared" si="5"/>
        <v>5.026315789473685</v>
      </c>
    </row>
    <row r="114" spans="1:6" x14ac:dyDescent="0.3">
      <c r="A114" s="34">
        <v>105</v>
      </c>
      <c r="B114" s="34">
        <v>191</v>
      </c>
      <c r="C114" s="34" t="s">
        <v>55</v>
      </c>
      <c r="D114" s="39">
        <f>VLOOKUP('3.1 Losowanie warstwowe PROP'!B114,lw!$A$1:$G$1001,2,FALSE)</f>
        <v>24</v>
      </c>
      <c r="E114" s="34" t="str">
        <f>VLOOKUP(B114,Dane!$A$1:$G$1001,6,FALSE)</f>
        <v>własność</v>
      </c>
      <c r="F114" s="34">
        <f t="shared" si="5"/>
        <v>5.026315789473685</v>
      </c>
    </row>
    <row r="115" spans="1:6" x14ac:dyDescent="0.3">
      <c r="A115" s="34">
        <v>106</v>
      </c>
      <c r="B115" s="34">
        <v>138</v>
      </c>
      <c r="C115" s="34" t="s">
        <v>55</v>
      </c>
      <c r="D115" s="39">
        <f>VLOOKUP('3.1 Losowanie warstwowe PROP'!B115,lw!$A$1:$G$1001,2,FALSE)</f>
        <v>12</v>
      </c>
      <c r="E115" s="34" t="str">
        <f>VLOOKUP(B115,Dane!$A$1:$G$1001,6,FALSE)</f>
        <v>własność</v>
      </c>
      <c r="F115" s="34">
        <f t="shared" si="5"/>
        <v>5.026315789473685</v>
      </c>
    </row>
    <row r="116" spans="1:6" x14ac:dyDescent="0.3">
      <c r="A116" s="34">
        <v>107</v>
      </c>
      <c r="B116" s="34">
        <v>541</v>
      </c>
      <c r="C116" s="34" t="s">
        <v>55</v>
      </c>
      <c r="D116" s="39">
        <f>VLOOKUP('3.1 Losowanie warstwowe PROP'!B116,lw!$A$1:$G$1001,2,FALSE)</f>
        <v>12</v>
      </c>
      <c r="E116" s="34" t="str">
        <f>VLOOKUP(B116,Dane!$A$1:$G$1001,6,FALSE)</f>
        <v>wynajem</v>
      </c>
      <c r="F116" s="34">
        <f t="shared" si="5"/>
        <v>5.026315789473685</v>
      </c>
    </row>
    <row r="117" spans="1:6" x14ac:dyDescent="0.3">
      <c r="A117" s="34">
        <v>108</v>
      </c>
      <c r="B117" s="34">
        <v>475</v>
      </c>
      <c r="C117" s="34" t="s">
        <v>55</v>
      </c>
      <c r="D117" s="39">
        <f>VLOOKUP('3.1 Losowanie warstwowe PROP'!B117,lw!$A$1:$G$1001,2,FALSE)</f>
        <v>18</v>
      </c>
      <c r="E117" s="34" t="str">
        <f>VLOOKUP(B117,Dane!$A$1:$G$1001,6,FALSE)</f>
        <v>własność</v>
      </c>
      <c r="F117" s="34">
        <f t="shared" si="5"/>
        <v>5.026315789473685</v>
      </c>
    </row>
    <row r="118" spans="1:6" x14ac:dyDescent="0.3">
      <c r="A118" s="34">
        <v>109</v>
      </c>
      <c r="B118" s="34">
        <v>231</v>
      </c>
      <c r="C118" s="34" t="s">
        <v>55</v>
      </c>
      <c r="D118" s="39">
        <f>VLOOKUP('3.1 Losowanie warstwowe PROP'!B118,lw!$A$1:$G$1001,2,FALSE)</f>
        <v>36</v>
      </c>
      <c r="E118" s="34" t="str">
        <f>VLOOKUP(B118,Dane!$A$1:$G$1001,6,FALSE)</f>
        <v>własność</v>
      </c>
      <c r="F118" s="34">
        <f t="shared" si="5"/>
        <v>5.026315789473685</v>
      </c>
    </row>
    <row r="119" spans="1:6" x14ac:dyDescent="0.3">
      <c r="A119" s="34">
        <v>110</v>
      </c>
      <c r="B119" s="34">
        <v>598</v>
      </c>
      <c r="C119" s="34" t="s">
        <v>55</v>
      </c>
      <c r="D119" s="39">
        <f>VLOOKUP('3.1 Losowanie warstwowe PROP'!B119,lw!$A$1:$G$1001,2,FALSE)</f>
        <v>24</v>
      </c>
      <c r="E119" s="34" t="str">
        <f>VLOOKUP(B119,Dane!$A$1:$G$1001,6,FALSE)</f>
        <v>własność</v>
      </c>
      <c r="F119" s="34">
        <f t="shared" si="5"/>
        <v>5.026315789473685</v>
      </c>
    </row>
    <row r="120" spans="1:6" x14ac:dyDescent="0.3">
      <c r="A120" s="34">
        <v>111</v>
      </c>
      <c r="B120" s="34">
        <v>290</v>
      </c>
      <c r="C120" s="34" t="s">
        <v>55</v>
      </c>
      <c r="D120" s="39">
        <f>VLOOKUP('3.1 Losowanie warstwowe PROP'!B120,lw!$A$1:$G$1001,2,FALSE)</f>
        <v>24</v>
      </c>
      <c r="E120" s="34" t="str">
        <f>VLOOKUP(B120,Dane!$A$1:$G$1001,6,FALSE)</f>
        <v>własność</v>
      </c>
      <c r="F120" s="34">
        <f t="shared" si="5"/>
        <v>5.026315789473685</v>
      </c>
    </row>
    <row r="121" spans="1:6" x14ac:dyDescent="0.3">
      <c r="A121" s="34">
        <v>112</v>
      </c>
      <c r="B121" s="34">
        <v>132</v>
      </c>
      <c r="C121" s="34" t="s">
        <v>55</v>
      </c>
      <c r="D121" s="39">
        <f>VLOOKUP('3.1 Losowanie warstwowe PROP'!B121,lw!$A$1:$G$1001,2,FALSE)</f>
        <v>36</v>
      </c>
      <c r="E121" s="34" t="str">
        <f>VLOOKUP(B121,Dane!$A$1:$G$1001,6,FALSE)</f>
        <v>własność</v>
      </c>
      <c r="F121" s="34">
        <f t="shared" si="5"/>
        <v>5.026315789473685</v>
      </c>
    </row>
    <row r="122" spans="1:6" x14ac:dyDescent="0.3">
      <c r="A122" s="34">
        <v>113</v>
      </c>
      <c r="B122" s="34">
        <v>760</v>
      </c>
      <c r="C122" s="34" t="s">
        <v>55</v>
      </c>
      <c r="D122" s="39">
        <f>VLOOKUP('3.1 Losowanie warstwowe PROP'!B122,lw!$A$1:$G$1001,2,FALSE)</f>
        <v>12</v>
      </c>
      <c r="E122" s="34" t="str">
        <f>VLOOKUP(B122,Dane!$A$1:$G$1001,6,FALSE)</f>
        <v>własność</v>
      </c>
      <c r="F122" s="34">
        <f t="shared" si="5"/>
        <v>5.026315789473685</v>
      </c>
    </row>
    <row r="123" spans="1:6" x14ac:dyDescent="0.3">
      <c r="A123" s="34">
        <v>114</v>
      </c>
      <c r="B123" s="34">
        <v>625</v>
      </c>
      <c r="C123" s="34" t="s">
        <v>55</v>
      </c>
      <c r="D123" s="39">
        <f>VLOOKUP('3.1 Losowanie warstwowe PROP'!B123,lw!$A$1:$G$1001,2,FALSE)</f>
        <v>18</v>
      </c>
      <c r="E123" s="34" t="str">
        <f>VLOOKUP(B123,Dane!$A$1:$G$1001,6,FALSE)</f>
        <v>za darmo</v>
      </c>
      <c r="F123" s="34">
        <f t="shared" si="5"/>
        <v>5.026315789473685</v>
      </c>
    </row>
    <row r="124" spans="1:6" x14ac:dyDescent="0.3">
      <c r="A124" s="34">
        <v>115</v>
      </c>
      <c r="B124" s="34">
        <v>496</v>
      </c>
      <c r="C124" s="34" t="s">
        <v>55</v>
      </c>
      <c r="D124" s="39">
        <f>VLOOKUP('3.1 Losowanie warstwowe PROP'!B124,lw!$A$1:$G$1001,2,FALSE)</f>
        <v>24</v>
      </c>
      <c r="E124" s="34" t="str">
        <f>VLOOKUP(B124,Dane!$A$1:$G$1001,6,FALSE)</f>
        <v>własność</v>
      </c>
      <c r="F124" s="34">
        <f t="shared" si="5"/>
        <v>5.026315789473685</v>
      </c>
    </row>
    <row r="125" spans="1:6" x14ac:dyDescent="0.3">
      <c r="A125" s="34">
        <v>116</v>
      </c>
      <c r="B125" s="34">
        <v>504</v>
      </c>
      <c r="C125" s="34" t="s">
        <v>55</v>
      </c>
      <c r="D125" s="39">
        <f>VLOOKUP('3.1 Losowanie warstwowe PROP'!B125,lw!$A$1:$G$1001,2,FALSE)</f>
        <v>24</v>
      </c>
      <c r="E125" s="34" t="str">
        <f>VLOOKUP(B125,Dane!$A$1:$G$1001,6,FALSE)</f>
        <v>własność</v>
      </c>
      <c r="F125" s="34">
        <f t="shared" si="5"/>
        <v>5.026315789473685</v>
      </c>
    </row>
    <row r="126" spans="1:6" x14ac:dyDescent="0.3">
      <c r="A126" s="34">
        <v>117</v>
      </c>
      <c r="B126" s="34">
        <v>662</v>
      </c>
      <c r="C126" s="34" t="s">
        <v>55</v>
      </c>
      <c r="D126" s="39">
        <f>VLOOKUP('3.1 Losowanie warstwowe PROP'!B126,lw!$A$1:$G$1001,2,FALSE)</f>
        <v>12</v>
      </c>
      <c r="E126" s="34" t="str">
        <f>VLOOKUP(B126,Dane!$A$1:$G$1001,6,FALSE)</f>
        <v>własność</v>
      </c>
      <c r="F126" s="34">
        <f t="shared" si="5"/>
        <v>5.026315789473685</v>
      </c>
    </row>
    <row r="127" spans="1:6" x14ac:dyDescent="0.3">
      <c r="A127" s="34">
        <v>118</v>
      </c>
      <c r="B127" s="34">
        <v>269</v>
      </c>
      <c r="C127" s="34" t="s">
        <v>55</v>
      </c>
      <c r="D127" s="39">
        <f>VLOOKUP('3.1 Losowanie warstwowe PROP'!B127,lw!$A$1:$G$1001,2,FALSE)</f>
        <v>14</v>
      </c>
      <c r="E127" s="34" t="str">
        <f>VLOOKUP(B127,Dane!$A$1:$G$1001,6,FALSE)</f>
        <v>własność</v>
      </c>
      <c r="F127" s="34">
        <f t="shared" si="5"/>
        <v>5.026315789473685</v>
      </c>
    </row>
    <row r="128" spans="1:6" x14ac:dyDescent="0.3">
      <c r="A128" s="34">
        <v>119</v>
      </c>
      <c r="B128" s="34">
        <v>654</v>
      </c>
      <c r="C128" s="34" t="s">
        <v>55</v>
      </c>
      <c r="D128" s="39">
        <f>VLOOKUP('3.1 Losowanie warstwowe PROP'!B128,lw!$A$1:$G$1001,2,FALSE)</f>
        <v>36</v>
      </c>
      <c r="E128" s="34" t="str">
        <f>VLOOKUP(B128,Dane!$A$1:$G$1001,6,FALSE)</f>
        <v>własność</v>
      </c>
      <c r="F128" s="34">
        <f t="shared" si="5"/>
        <v>5.026315789473685</v>
      </c>
    </row>
    <row r="129" spans="1:6" x14ac:dyDescent="0.3">
      <c r="A129" s="34">
        <v>120</v>
      </c>
      <c r="B129" s="34">
        <v>764</v>
      </c>
      <c r="C129" s="34" t="s">
        <v>55</v>
      </c>
      <c r="D129" s="39">
        <f>VLOOKUP('3.1 Losowanie warstwowe PROP'!B129,lw!$A$1:$G$1001,2,FALSE)</f>
        <v>21</v>
      </c>
      <c r="E129" s="34" t="str">
        <f>VLOOKUP(B129,Dane!$A$1:$G$1001,6,FALSE)</f>
        <v>za darmo</v>
      </c>
      <c r="F129" s="34">
        <f t="shared" si="5"/>
        <v>5.026315789473685</v>
      </c>
    </row>
    <row r="130" spans="1:6" x14ac:dyDescent="0.3">
      <c r="A130" s="34">
        <v>121</v>
      </c>
      <c r="B130" s="34">
        <v>984</v>
      </c>
      <c r="C130" s="34" t="s">
        <v>55</v>
      </c>
      <c r="D130" s="39">
        <f>VLOOKUP('3.1 Losowanie warstwowe PROP'!B130,lw!$A$1:$G$1001,2,FALSE)</f>
        <v>36</v>
      </c>
      <c r="E130" s="34" t="str">
        <f>VLOOKUP(B130,Dane!$A$1:$G$1001,6,FALSE)</f>
        <v>własność</v>
      </c>
      <c r="F130" s="34">
        <f t="shared" si="5"/>
        <v>5.026315789473685</v>
      </c>
    </row>
    <row r="131" spans="1:6" x14ac:dyDescent="0.3">
      <c r="A131" s="34">
        <v>122</v>
      </c>
      <c r="B131" s="34">
        <v>523</v>
      </c>
      <c r="C131" s="34" t="s">
        <v>55</v>
      </c>
      <c r="D131" s="39">
        <f>VLOOKUP('3.1 Losowanie warstwowe PROP'!B131,lw!$A$1:$G$1001,2,FALSE)</f>
        <v>48</v>
      </c>
      <c r="E131" s="34" t="str">
        <f>VLOOKUP(B131,Dane!$A$1:$G$1001,6,FALSE)</f>
        <v>za darmo</v>
      </c>
      <c r="F131" s="34">
        <f t="shared" si="5"/>
        <v>5.026315789473685</v>
      </c>
    </row>
    <row r="132" spans="1:6" x14ac:dyDescent="0.3">
      <c r="A132" s="34">
        <v>123</v>
      </c>
      <c r="B132" s="34">
        <v>813</v>
      </c>
      <c r="C132" s="34" t="s">
        <v>55</v>
      </c>
      <c r="D132" s="39">
        <f>VLOOKUP('3.1 Losowanie warstwowe PROP'!B132,lw!$A$1:$G$1001,2,FALSE)</f>
        <v>36</v>
      </c>
      <c r="E132" s="34" t="str">
        <f>VLOOKUP(B132,Dane!$A$1:$G$1001,6,FALSE)</f>
        <v>własność</v>
      </c>
      <c r="F132" s="34">
        <f t="shared" si="5"/>
        <v>5.026315789473685</v>
      </c>
    </row>
    <row r="133" spans="1:6" x14ac:dyDescent="0.3">
      <c r="A133" s="34">
        <v>124</v>
      </c>
      <c r="B133" s="34">
        <v>107</v>
      </c>
      <c r="C133" s="34" t="s">
        <v>55</v>
      </c>
      <c r="D133" s="39">
        <f>VLOOKUP('3.1 Losowanie warstwowe PROP'!B133,lw!$A$1:$G$1001,2,FALSE)</f>
        <v>18</v>
      </c>
      <c r="E133" s="34" t="str">
        <f>VLOOKUP(B133,Dane!$A$1:$G$1001,6,FALSE)</f>
        <v>własność</v>
      </c>
      <c r="F133" s="34">
        <f t="shared" si="5"/>
        <v>5.026315789473685</v>
      </c>
    </row>
    <row r="134" spans="1:6" x14ac:dyDescent="0.3">
      <c r="A134" s="34">
        <v>125</v>
      </c>
      <c r="B134" s="34">
        <v>640</v>
      </c>
      <c r="C134" s="34" t="s">
        <v>55</v>
      </c>
      <c r="D134" s="39">
        <f>VLOOKUP('3.1 Losowanie warstwowe PROP'!B134,lw!$A$1:$G$1001,2,FALSE)</f>
        <v>42</v>
      </c>
      <c r="E134" s="34" t="str">
        <f>VLOOKUP(B134,Dane!$A$1:$G$1001,6,FALSE)</f>
        <v>własność</v>
      </c>
      <c r="F134" s="34">
        <f t="shared" si="5"/>
        <v>5.026315789473685</v>
      </c>
    </row>
    <row r="135" spans="1:6" x14ac:dyDescent="0.3">
      <c r="A135" s="34">
        <v>126</v>
      </c>
      <c r="B135" s="34">
        <v>815</v>
      </c>
      <c r="C135" s="34" t="s">
        <v>55</v>
      </c>
      <c r="D135" s="39">
        <f>VLOOKUP('3.1 Losowanie warstwowe PROP'!B135,lw!$A$1:$G$1001,2,FALSE)</f>
        <v>48</v>
      </c>
      <c r="E135" s="34" t="str">
        <f>VLOOKUP(B135,Dane!$A$1:$G$1001,6,FALSE)</f>
        <v>za darmo</v>
      </c>
      <c r="F135" s="34">
        <f t="shared" si="5"/>
        <v>5.026315789473685</v>
      </c>
    </row>
    <row r="136" spans="1:6" x14ac:dyDescent="0.3">
      <c r="A136" s="34">
        <v>127</v>
      </c>
      <c r="B136" s="34">
        <v>854</v>
      </c>
      <c r="C136" s="34" t="s">
        <v>55</v>
      </c>
      <c r="D136" s="39">
        <f>VLOOKUP('3.1 Losowanie warstwowe PROP'!B136,lw!$A$1:$G$1001,2,FALSE)</f>
        <v>18</v>
      </c>
      <c r="E136" s="34" t="str">
        <f>VLOOKUP(B136,Dane!$A$1:$G$1001,6,FALSE)</f>
        <v>za darmo</v>
      </c>
      <c r="F136" s="34">
        <f t="shared" si="5"/>
        <v>5.026315789473685</v>
      </c>
    </row>
    <row r="137" spans="1:6" x14ac:dyDescent="0.3">
      <c r="A137" s="34">
        <v>128</v>
      </c>
      <c r="B137" s="34">
        <v>308</v>
      </c>
      <c r="C137" s="34" t="s">
        <v>55</v>
      </c>
      <c r="D137" s="39">
        <f>VLOOKUP('3.1 Losowanie warstwowe PROP'!B137,lw!$A$1:$G$1001,2,FALSE)</f>
        <v>12</v>
      </c>
      <c r="E137" s="34" t="str">
        <f>VLOOKUP(B137,Dane!$A$1:$G$1001,6,FALSE)</f>
        <v>własność</v>
      </c>
      <c r="F137" s="34">
        <f t="shared" si="5"/>
        <v>5.026315789473685</v>
      </c>
    </row>
    <row r="138" spans="1:6" x14ac:dyDescent="0.3">
      <c r="A138" s="34">
        <v>129</v>
      </c>
      <c r="B138" s="34">
        <v>599</v>
      </c>
      <c r="C138" s="34" t="s">
        <v>55</v>
      </c>
      <c r="D138" s="39">
        <f>VLOOKUP('3.1 Losowanie warstwowe PROP'!B138,lw!$A$1:$G$1001,2,FALSE)</f>
        <v>18</v>
      </c>
      <c r="E138" s="34" t="str">
        <f>VLOOKUP(B138,Dane!$A$1:$G$1001,6,FALSE)</f>
        <v>własność</v>
      </c>
      <c r="F138" s="34">
        <f t="shared" si="5"/>
        <v>5.026315789473685</v>
      </c>
    </row>
    <row r="139" spans="1:6" x14ac:dyDescent="0.3">
      <c r="A139" s="34">
        <v>130</v>
      </c>
      <c r="B139" s="34">
        <v>721</v>
      </c>
      <c r="C139" s="34" t="s">
        <v>55</v>
      </c>
      <c r="D139" s="39">
        <f>VLOOKUP('3.1 Losowanie warstwowe PROP'!B139,lw!$A$1:$G$1001,2,FALSE)</f>
        <v>9</v>
      </c>
      <c r="E139" s="34" t="str">
        <f>VLOOKUP(B139,Dane!$A$1:$G$1001,6,FALSE)</f>
        <v>własność</v>
      </c>
      <c r="F139" s="34">
        <f t="shared" ref="F139:F202" si="6">VLOOKUP(C139,$H$10:$L$13,5,FALSE)</f>
        <v>5.026315789473685</v>
      </c>
    </row>
    <row r="140" spans="1:6" x14ac:dyDescent="0.3">
      <c r="A140" s="34">
        <v>131</v>
      </c>
      <c r="B140" s="34">
        <v>928</v>
      </c>
      <c r="C140" s="34" t="s">
        <v>55</v>
      </c>
      <c r="D140" s="39">
        <f>VLOOKUP('3.1 Losowanie warstwowe PROP'!B140,lw!$A$1:$G$1001,2,FALSE)</f>
        <v>48</v>
      </c>
      <c r="E140" s="34" t="str">
        <f>VLOOKUP(B140,Dane!$A$1:$G$1001,6,FALSE)</f>
        <v>za darmo</v>
      </c>
      <c r="F140" s="34">
        <f t="shared" si="6"/>
        <v>5.026315789473685</v>
      </c>
    </row>
    <row r="141" spans="1:6" x14ac:dyDescent="0.3">
      <c r="A141" s="34">
        <v>132</v>
      </c>
      <c r="B141" s="34">
        <v>354</v>
      </c>
      <c r="C141" s="34" t="s">
        <v>55</v>
      </c>
      <c r="D141" s="39">
        <f>VLOOKUP('3.1 Losowanie warstwowe PROP'!B141,lw!$A$1:$G$1001,2,FALSE)</f>
        <v>12</v>
      </c>
      <c r="E141" s="34" t="str">
        <f>VLOOKUP(B141,Dane!$A$1:$G$1001,6,FALSE)</f>
        <v>wynajem</v>
      </c>
      <c r="F141" s="34">
        <f t="shared" si="6"/>
        <v>5.026315789473685</v>
      </c>
    </row>
    <row r="142" spans="1:6" x14ac:dyDescent="0.3">
      <c r="A142" s="34">
        <v>133</v>
      </c>
      <c r="B142" s="34">
        <v>292</v>
      </c>
      <c r="C142" s="34" t="s">
        <v>55</v>
      </c>
      <c r="D142" s="39">
        <f>VLOOKUP('3.1 Losowanie warstwowe PROP'!B142,lw!$A$1:$G$1001,2,FALSE)</f>
        <v>36</v>
      </c>
      <c r="E142" s="34" t="str">
        <f>VLOOKUP(B142,Dane!$A$1:$G$1001,6,FALSE)</f>
        <v>wynajem</v>
      </c>
      <c r="F142" s="34">
        <f t="shared" si="6"/>
        <v>5.026315789473685</v>
      </c>
    </row>
    <row r="143" spans="1:6" x14ac:dyDescent="0.3">
      <c r="A143" s="34">
        <v>134</v>
      </c>
      <c r="B143" s="34">
        <v>632</v>
      </c>
      <c r="C143" s="34" t="s">
        <v>55</v>
      </c>
      <c r="D143" s="39">
        <f>VLOOKUP('3.1 Losowanie warstwowe PROP'!B143,lw!$A$1:$G$1001,2,FALSE)</f>
        <v>18</v>
      </c>
      <c r="E143" s="34" t="str">
        <f>VLOOKUP(B143,Dane!$A$1:$G$1001,6,FALSE)</f>
        <v>własność</v>
      </c>
      <c r="F143" s="34">
        <f t="shared" si="6"/>
        <v>5.026315789473685</v>
      </c>
    </row>
    <row r="144" spans="1:6" x14ac:dyDescent="0.3">
      <c r="A144" s="34">
        <v>135</v>
      </c>
      <c r="B144" s="34">
        <v>236</v>
      </c>
      <c r="C144" s="34" t="s">
        <v>55</v>
      </c>
      <c r="D144" s="39">
        <f>VLOOKUP('3.1 Losowanie warstwowe PROP'!B144,lw!$A$1:$G$1001,2,FALSE)</f>
        <v>24</v>
      </c>
      <c r="E144" s="34" t="str">
        <f>VLOOKUP(B144,Dane!$A$1:$G$1001,6,FALSE)</f>
        <v>własność</v>
      </c>
      <c r="F144" s="34">
        <f t="shared" si="6"/>
        <v>5.026315789473685</v>
      </c>
    </row>
    <row r="145" spans="1:6" x14ac:dyDescent="0.3">
      <c r="A145" s="34">
        <v>136</v>
      </c>
      <c r="B145" s="34">
        <v>243</v>
      </c>
      <c r="C145" s="34" t="s">
        <v>55</v>
      </c>
      <c r="D145" s="39">
        <f>VLOOKUP('3.1 Losowanie warstwowe PROP'!B145,lw!$A$1:$G$1001,2,FALSE)</f>
        <v>48</v>
      </c>
      <c r="E145" s="34" t="str">
        <f>VLOOKUP(B145,Dane!$A$1:$G$1001,6,FALSE)</f>
        <v>za darmo</v>
      </c>
      <c r="F145" s="34">
        <f t="shared" si="6"/>
        <v>5.026315789473685</v>
      </c>
    </row>
    <row r="146" spans="1:6" x14ac:dyDescent="0.3">
      <c r="A146" s="34">
        <v>137</v>
      </c>
      <c r="B146" s="34">
        <v>628</v>
      </c>
      <c r="C146" s="34" t="s">
        <v>55</v>
      </c>
      <c r="D146" s="39">
        <f>VLOOKUP('3.1 Losowanie warstwowe PROP'!B146,lw!$A$1:$G$1001,2,FALSE)</f>
        <v>9</v>
      </c>
      <c r="E146" s="34" t="str">
        <f>VLOOKUP(B146,Dane!$A$1:$G$1001,6,FALSE)</f>
        <v>własność</v>
      </c>
      <c r="F146" s="34">
        <f t="shared" si="6"/>
        <v>5.026315789473685</v>
      </c>
    </row>
    <row r="147" spans="1:6" x14ac:dyDescent="0.3">
      <c r="A147" s="34">
        <v>138</v>
      </c>
      <c r="B147" s="34">
        <v>379</v>
      </c>
      <c r="C147" s="34" t="s">
        <v>55</v>
      </c>
      <c r="D147" s="39">
        <f>VLOOKUP('3.1 Losowanie warstwowe PROP'!B147,lw!$A$1:$G$1001,2,FALSE)</f>
        <v>36</v>
      </c>
      <c r="E147" s="34" t="str">
        <f>VLOOKUP(B147,Dane!$A$1:$G$1001,6,FALSE)</f>
        <v>za darmo</v>
      </c>
      <c r="F147" s="34">
        <f t="shared" si="6"/>
        <v>5.026315789473685</v>
      </c>
    </row>
    <row r="148" spans="1:6" x14ac:dyDescent="0.3">
      <c r="A148" s="34">
        <v>139</v>
      </c>
      <c r="B148" s="34">
        <v>733</v>
      </c>
      <c r="C148" s="34" t="s">
        <v>56</v>
      </c>
      <c r="D148" s="39">
        <f>VLOOKUP('3.1 Losowanie warstwowe PROP'!B148,lw!$A$1:$G$1001,2,FALSE)</f>
        <v>8</v>
      </c>
      <c r="E148" s="34" t="str">
        <f>VLOOKUP(B148,Dane!$A$1:$G$1001,6,FALSE)</f>
        <v>własność</v>
      </c>
      <c r="F148" s="34">
        <f t="shared" si="6"/>
        <v>5.0249999999999995</v>
      </c>
    </row>
    <row r="149" spans="1:6" x14ac:dyDescent="0.3">
      <c r="A149" s="34">
        <v>140</v>
      </c>
      <c r="B149" s="34">
        <v>212</v>
      </c>
      <c r="C149" s="34" t="s">
        <v>56</v>
      </c>
      <c r="D149" s="39">
        <f>VLOOKUP('3.1 Losowanie warstwowe PROP'!B149,lw!$A$1:$G$1001,2,FALSE)</f>
        <v>36</v>
      </c>
      <c r="E149" s="34" t="str">
        <f>VLOOKUP(B149,Dane!$A$1:$G$1001,6,FALSE)</f>
        <v>własność</v>
      </c>
      <c r="F149" s="34">
        <f t="shared" si="6"/>
        <v>5.0249999999999995</v>
      </c>
    </row>
    <row r="150" spans="1:6" x14ac:dyDescent="0.3">
      <c r="A150" s="34">
        <v>141</v>
      </c>
      <c r="B150" s="34">
        <v>706</v>
      </c>
      <c r="C150" s="34" t="s">
        <v>56</v>
      </c>
      <c r="D150" s="39">
        <f>VLOOKUP('3.1 Losowanie warstwowe PROP'!B150,lw!$A$1:$G$1001,2,FALSE)</f>
        <v>15</v>
      </c>
      <c r="E150" s="34" t="str">
        <f>VLOOKUP(B150,Dane!$A$1:$G$1001,6,FALSE)</f>
        <v>za darmo</v>
      </c>
      <c r="F150" s="34">
        <f t="shared" si="6"/>
        <v>5.0249999999999995</v>
      </c>
    </row>
    <row r="151" spans="1:6" x14ac:dyDescent="0.3">
      <c r="A151" s="34">
        <v>142</v>
      </c>
      <c r="B151" s="34">
        <v>538</v>
      </c>
      <c r="C151" s="34" t="s">
        <v>56</v>
      </c>
      <c r="D151" s="39">
        <f>VLOOKUP('3.1 Losowanie warstwowe PROP'!B151,lw!$A$1:$G$1001,2,FALSE)</f>
        <v>18</v>
      </c>
      <c r="E151" s="34" t="str">
        <f>VLOOKUP(B151,Dane!$A$1:$G$1001,6,FALSE)</f>
        <v>własność</v>
      </c>
      <c r="F151" s="34">
        <f t="shared" si="6"/>
        <v>5.0249999999999995</v>
      </c>
    </row>
    <row r="152" spans="1:6" x14ac:dyDescent="0.3">
      <c r="A152" s="34">
        <v>143</v>
      </c>
      <c r="B152" s="34">
        <v>761</v>
      </c>
      <c r="C152" s="34" t="s">
        <v>56</v>
      </c>
      <c r="D152" s="39">
        <f>VLOOKUP('3.1 Losowanie warstwowe PROP'!B152,lw!$A$1:$G$1001,2,FALSE)</f>
        <v>15</v>
      </c>
      <c r="E152" s="34" t="str">
        <f>VLOOKUP(B152,Dane!$A$1:$G$1001,6,FALSE)</f>
        <v>własność</v>
      </c>
      <c r="F152" s="34">
        <f t="shared" si="6"/>
        <v>5.0249999999999995</v>
      </c>
    </row>
    <row r="153" spans="1:6" x14ac:dyDescent="0.3">
      <c r="A153" s="34">
        <v>144</v>
      </c>
      <c r="B153" s="34">
        <v>370</v>
      </c>
      <c r="C153" s="34" t="s">
        <v>56</v>
      </c>
      <c r="D153" s="39">
        <f>VLOOKUP('3.1 Losowanie warstwowe PROP'!B153,lw!$A$1:$G$1001,2,FALSE)</f>
        <v>18</v>
      </c>
      <c r="E153" s="34" t="str">
        <f>VLOOKUP(B153,Dane!$A$1:$G$1001,6,FALSE)</f>
        <v>wynajem</v>
      </c>
      <c r="F153" s="34">
        <f t="shared" si="6"/>
        <v>5.0249999999999995</v>
      </c>
    </row>
    <row r="154" spans="1:6" x14ac:dyDescent="0.3">
      <c r="A154" s="34">
        <v>145</v>
      </c>
      <c r="B154" s="34">
        <v>874</v>
      </c>
      <c r="C154" s="34" t="s">
        <v>56</v>
      </c>
      <c r="D154" s="39">
        <f>VLOOKUP('3.1 Losowanie warstwowe PROP'!B154,lw!$A$1:$G$1001,2,FALSE)</f>
        <v>15</v>
      </c>
      <c r="E154" s="34" t="str">
        <f>VLOOKUP(B154,Dane!$A$1:$G$1001,6,FALSE)</f>
        <v>własność</v>
      </c>
      <c r="F154" s="34">
        <f t="shared" si="6"/>
        <v>5.0249999999999995</v>
      </c>
    </row>
    <row r="155" spans="1:6" x14ac:dyDescent="0.3">
      <c r="A155" s="34">
        <v>146</v>
      </c>
      <c r="B155" s="34">
        <v>50</v>
      </c>
      <c r="C155" s="34" t="s">
        <v>56</v>
      </c>
      <c r="D155" s="39">
        <f>VLOOKUP('3.1 Losowanie warstwowe PROP'!B155,lw!$A$1:$G$1001,2,FALSE)</f>
        <v>12</v>
      </c>
      <c r="E155" s="34" t="str">
        <f>VLOOKUP(B155,Dane!$A$1:$G$1001,6,FALSE)</f>
        <v>własność</v>
      </c>
      <c r="F155" s="34">
        <f t="shared" si="6"/>
        <v>5.0249999999999995</v>
      </c>
    </row>
    <row r="156" spans="1:6" x14ac:dyDescent="0.3">
      <c r="A156" s="34">
        <v>147</v>
      </c>
      <c r="B156" s="34">
        <v>576</v>
      </c>
      <c r="C156" s="34" t="s">
        <v>56</v>
      </c>
      <c r="D156" s="39">
        <f>VLOOKUP('3.1 Losowanie warstwowe PROP'!B156,lw!$A$1:$G$1001,2,FALSE)</f>
        <v>15</v>
      </c>
      <c r="E156" s="34" t="str">
        <f>VLOOKUP(B156,Dane!$A$1:$G$1001,6,FALSE)</f>
        <v>własność</v>
      </c>
      <c r="F156" s="34">
        <f t="shared" si="6"/>
        <v>5.0249999999999995</v>
      </c>
    </row>
    <row r="157" spans="1:6" x14ac:dyDescent="0.3">
      <c r="A157" s="34">
        <v>148</v>
      </c>
      <c r="B157" s="34">
        <v>516</v>
      </c>
      <c r="C157" s="34" t="s">
        <v>56</v>
      </c>
      <c r="D157" s="39">
        <f>VLOOKUP('3.1 Losowanie warstwowe PROP'!B157,lw!$A$1:$G$1001,2,FALSE)</f>
        <v>6</v>
      </c>
      <c r="E157" s="34" t="str">
        <f>VLOOKUP(B157,Dane!$A$1:$G$1001,6,FALSE)</f>
        <v>własność</v>
      </c>
      <c r="F157" s="34">
        <f t="shared" si="6"/>
        <v>5.0249999999999995</v>
      </c>
    </row>
    <row r="158" spans="1:6" x14ac:dyDescent="0.3">
      <c r="A158" s="34">
        <v>149</v>
      </c>
      <c r="B158" s="34">
        <v>469</v>
      </c>
      <c r="C158" s="34" t="s">
        <v>56</v>
      </c>
      <c r="D158" s="39">
        <f>VLOOKUP('3.1 Losowanie warstwowe PROP'!B158,lw!$A$1:$G$1001,2,FALSE)</f>
        <v>33</v>
      </c>
      <c r="E158" s="34" t="str">
        <f>VLOOKUP(B158,Dane!$A$1:$G$1001,6,FALSE)</f>
        <v>własność</v>
      </c>
      <c r="F158" s="34">
        <f t="shared" si="6"/>
        <v>5.0249999999999995</v>
      </c>
    </row>
    <row r="159" spans="1:6" x14ac:dyDescent="0.3">
      <c r="A159" s="34">
        <v>150</v>
      </c>
      <c r="B159" s="34">
        <v>346</v>
      </c>
      <c r="C159" s="34" t="s">
        <v>56</v>
      </c>
      <c r="D159" s="39">
        <f>VLOOKUP('3.1 Losowanie warstwowe PROP'!B159,lw!$A$1:$G$1001,2,FALSE)</f>
        <v>15</v>
      </c>
      <c r="E159" s="34" t="str">
        <f>VLOOKUP(B159,Dane!$A$1:$G$1001,6,FALSE)</f>
        <v>własność</v>
      </c>
      <c r="F159" s="34">
        <f t="shared" si="6"/>
        <v>5.0249999999999995</v>
      </c>
    </row>
    <row r="160" spans="1:6" x14ac:dyDescent="0.3">
      <c r="A160" s="34">
        <v>151</v>
      </c>
      <c r="B160" s="34">
        <v>703</v>
      </c>
      <c r="C160" s="34" t="s">
        <v>56</v>
      </c>
      <c r="D160" s="39">
        <f>VLOOKUP('3.1 Losowanie warstwowe PROP'!B160,lw!$A$1:$G$1001,2,FALSE)</f>
        <v>24</v>
      </c>
      <c r="E160" s="34" t="str">
        <f>VLOOKUP(B160,Dane!$A$1:$G$1001,6,FALSE)</f>
        <v>za darmo</v>
      </c>
      <c r="F160" s="34">
        <f t="shared" si="6"/>
        <v>5.0249999999999995</v>
      </c>
    </row>
    <row r="161" spans="1:6" x14ac:dyDescent="0.3">
      <c r="A161" s="34">
        <v>152</v>
      </c>
      <c r="B161" s="34">
        <v>172</v>
      </c>
      <c r="C161" s="34" t="s">
        <v>56</v>
      </c>
      <c r="D161" s="39">
        <f>VLOOKUP('3.1 Losowanie warstwowe PROP'!B161,lw!$A$1:$G$1001,2,FALSE)</f>
        <v>12</v>
      </c>
      <c r="E161" s="34" t="str">
        <f>VLOOKUP(B161,Dane!$A$1:$G$1001,6,FALSE)</f>
        <v>własność</v>
      </c>
      <c r="F161" s="34">
        <f t="shared" si="6"/>
        <v>5.0249999999999995</v>
      </c>
    </row>
    <row r="162" spans="1:6" x14ac:dyDescent="0.3">
      <c r="A162" s="34">
        <v>153</v>
      </c>
      <c r="B162" s="34">
        <v>676</v>
      </c>
      <c r="C162" s="34" t="s">
        <v>56</v>
      </c>
      <c r="D162" s="39">
        <f>VLOOKUP('3.1 Losowanie warstwowe PROP'!B162,lw!$A$1:$G$1001,2,FALSE)</f>
        <v>30</v>
      </c>
      <c r="E162" s="34" t="str">
        <f>VLOOKUP(B162,Dane!$A$1:$G$1001,6,FALSE)</f>
        <v>wynajem</v>
      </c>
      <c r="F162" s="34">
        <f t="shared" si="6"/>
        <v>5.0249999999999995</v>
      </c>
    </row>
    <row r="163" spans="1:6" x14ac:dyDescent="0.3">
      <c r="A163" s="34">
        <v>154</v>
      </c>
      <c r="B163" s="34">
        <v>260</v>
      </c>
      <c r="C163" s="34" t="s">
        <v>56</v>
      </c>
      <c r="D163" s="39">
        <f>VLOOKUP('3.1 Losowanie warstwowe PROP'!B163,lw!$A$1:$G$1001,2,FALSE)</f>
        <v>11</v>
      </c>
      <c r="E163" s="34" t="str">
        <f>VLOOKUP(B163,Dane!$A$1:$G$1001,6,FALSE)</f>
        <v>własność</v>
      </c>
      <c r="F163" s="34">
        <f t="shared" si="6"/>
        <v>5.0249999999999995</v>
      </c>
    </row>
    <row r="164" spans="1:6" x14ac:dyDescent="0.3">
      <c r="A164" s="34">
        <v>155</v>
      </c>
      <c r="B164" s="34">
        <v>197</v>
      </c>
      <c r="C164" s="34" t="s">
        <v>56</v>
      </c>
      <c r="D164" s="39">
        <f>VLOOKUP('3.1 Losowanie warstwowe PROP'!B164,lw!$A$1:$G$1001,2,FALSE)</f>
        <v>6</v>
      </c>
      <c r="E164" s="34" t="str">
        <f>VLOOKUP(B164,Dane!$A$1:$G$1001,6,FALSE)</f>
        <v>własność</v>
      </c>
      <c r="F164" s="34">
        <f t="shared" si="6"/>
        <v>5.0249999999999995</v>
      </c>
    </row>
    <row r="165" spans="1:6" x14ac:dyDescent="0.3">
      <c r="A165" s="34">
        <v>156</v>
      </c>
      <c r="B165" s="34">
        <v>837</v>
      </c>
      <c r="C165" s="34" t="s">
        <v>56</v>
      </c>
      <c r="D165" s="39">
        <f>VLOOKUP('3.1 Losowanie warstwowe PROP'!B165,lw!$A$1:$G$1001,2,FALSE)</f>
        <v>12</v>
      </c>
      <c r="E165" s="34" t="str">
        <f>VLOOKUP(B165,Dane!$A$1:$G$1001,6,FALSE)</f>
        <v>własność</v>
      </c>
      <c r="F165" s="34">
        <f t="shared" si="6"/>
        <v>5.0249999999999995</v>
      </c>
    </row>
    <row r="166" spans="1:6" x14ac:dyDescent="0.3">
      <c r="A166" s="34">
        <v>157</v>
      </c>
      <c r="B166" s="34">
        <v>109</v>
      </c>
      <c r="C166" s="34" t="s">
        <v>56</v>
      </c>
      <c r="D166" s="39">
        <f>VLOOKUP('3.1 Losowanie warstwowe PROP'!B166,lw!$A$1:$G$1001,2,FALSE)</f>
        <v>24</v>
      </c>
      <c r="E166" s="34" t="str">
        <f>VLOOKUP(B166,Dane!$A$1:$G$1001,6,FALSE)</f>
        <v>własność</v>
      </c>
      <c r="F166" s="34">
        <f t="shared" si="6"/>
        <v>5.0249999999999995</v>
      </c>
    </row>
    <row r="167" spans="1:6" x14ac:dyDescent="0.3">
      <c r="A167" s="34">
        <v>158</v>
      </c>
      <c r="B167" s="34">
        <v>373</v>
      </c>
      <c r="C167" s="34" t="s">
        <v>56</v>
      </c>
      <c r="D167" s="39">
        <f>VLOOKUP('3.1 Losowanie warstwowe PROP'!B167,lw!$A$1:$G$1001,2,FALSE)</f>
        <v>10</v>
      </c>
      <c r="E167" s="34" t="str">
        <f>VLOOKUP(B167,Dane!$A$1:$G$1001,6,FALSE)</f>
        <v>wynajem</v>
      </c>
      <c r="F167" s="34">
        <f t="shared" si="6"/>
        <v>5.0249999999999995</v>
      </c>
    </row>
    <row r="168" spans="1:6" x14ac:dyDescent="0.3">
      <c r="A168" s="34">
        <v>159</v>
      </c>
      <c r="B168" s="34">
        <v>15</v>
      </c>
      <c r="C168" s="34" t="s">
        <v>56</v>
      </c>
      <c r="D168" s="39">
        <f>VLOOKUP('3.1 Losowanie warstwowe PROP'!B168,lw!$A$1:$G$1001,2,FALSE)</f>
        <v>15</v>
      </c>
      <c r="E168" s="34" t="str">
        <f>VLOOKUP(B168,Dane!$A$1:$G$1001,6,FALSE)</f>
        <v>wynajem</v>
      </c>
      <c r="F168" s="34">
        <f t="shared" si="6"/>
        <v>5.0249999999999995</v>
      </c>
    </row>
    <row r="169" spans="1:6" x14ac:dyDescent="0.3">
      <c r="A169" s="34">
        <v>160</v>
      </c>
      <c r="B169" s="34">
        <v>87</v>
      </c>
      <c r="C169" s="34" t="s">
        <v>56</v>
      </c>
      <c r="D169" s="39">
        <f>VLOOKUP('3.1 Losowanie warstwowe PROP'!B169,lw!$A$1:$G$1001,2,FALSE)</f>
        <v>18</v>
      </c>
      <c r="E169" s="34" t="str">
        <f>VLOOKUP(B169,Dane!$A$1:$G$1001,6,FALSE)</f>
        <v>własność</v>
      </c>
      <c r="F169" s="34">
        <f t="shared" si="6"/>
        <v>5.0249999999999995</v>
      </c>
    </row>
    <row r="170" spans="1:6" x14ac:dyDescent="0.3">
      <c r="A170" s="34">
        <v>161</v>
      </c>
      <c r="B170" s="34">
        <v>446</v>
      </c>
      <c r="C170" s="34" t="s">
        <v>56</v>
      </c>
      <c r="D170" s="39">
        <f>VLOOKUP('3.1 Losowanie warstwowe PROP'!B170,lw!$A$1:$G$1001,2,FALSE)</f>
        <v>9</v>
      </c>
      <c r="E170" s="34" t="str">
        <f>VLOOKUP(B170,Dane!$A$1:$G$1001,6,FALSE)</f>
        <v>wynajem</v>
      </c>
      <c r="F170" s="34">
        <f t="shared" si="6"/>
        <v>5.0249999999999995</v>
      </c>
    </row>
    <row r="171" spans="1:6" x14ac:dyDescent="0.3">
      <c r="A171" s="34">
        <v>162</v>
      </c>
      <c r="B171" s="34">
        <v>637</v>
      </c>
      <c r="C171" s="34" t="s">
        <v>56</v>
      </c>
      <c r="D171" s="39">
        <f>VLOOKUP('3.1 Losowanie warstwowe PROP'!B171,lw!$A$1:$G$1001,2,FALSE)</f>
        <v>24</v>
      </c>
      <c r="E171" s="34" t="str">
        <f>VLOOKUP(B171,Dane!$A$1:$G$1001,6,FALSE)</f>
        <v>własność</v>
      </c>
      <c r="F171" s="34">
        <f t="shared" si="6"/>
        <v>5.0249999999999995</v>
      </c>
    </row>
    <row r="172" spans="1:6" x14ac:dyDescent="0.3">
      <c r="A172" s="34">
        <v>163</v>
      </c>
      <c r="B172" s="34">
        <v>70</v>
      </c>
      <c r="C172" s="34" t="s">
        <v>56</v>
      </c>
      <c r="D172" s="39">
        <f>VLOOKUP('3.1 Losowanie warstwowe PROP'!B172,lw!$A$1:$G$1001,2,FALSE)</f>
        <v>36</v>
      </c>
      <c r="E172" s="34" t="str">
        <f>VLOOKUP(B172,Dane!$A$1:$G$1001,6,FALSE)</f>
        <v>własność</v>
      </c>
      <c r="F172" s="34">
        <f t="shared" si="6"/>
        <v>5.0249999999999995</v>
      </c>
    </row>
    <row r="173" spans="1:6" x14ac:dyDescent="0.3">
      <c r="A173" s="34">
        <v>164</v>
      </c>
      <c r="B173" s="34">
        <v>780</v>
      </c>
      <c r="C173" s="34" t="s">
        <v>56</v>
      </c>
      <c r="D173" s="39">
        <f>VLOOKUP('3.1 Losowanie warstwowe PROP'!B173,lw!$A$1:$G$1001,2,FALSE)</f>
        <v>18</v>
      </c>
      <c r="E173" s="34" t="str">
        <f>VLOOKUP(B173,Dane!$A$1:$G$1001,6,FALSE)</f>
        <v>własność</v>
      </c>
      <c r="F173" s="34">
        <f t="shared" si="6"/>
        <v>5.0249999999999995</v>
      </c>
    </row>
    <row r="174" spans="1:6" x14ac:dyDescent="0.3">
      <c r="A174" s="34">
        <v>165</v>
      </c>
      <c r="B174" s="34">
        <v>264</v>
      </c>
      <c r="C174" s="34" t="s">
        <v>56</v>
      </c>
      <c r="D174" s="39">
        <f>VLOOKUP('3.1 Losowanie warstwowe PROP'!B174,lw!$A$1:$G$1001,2,FALSE)</f>
        <v>12</v>
      </c>
      <c r="E174" s="34" t="str">
        <f>VLOOKUP(B174,Dane!$A$1:$G$1001,6,FALSE)</f>
        <v>za darmo</v>
      </c>
      <c r="F174" s="34">
        <f t="shared" si="6"/>
        <v>5.0249999999999995</v>
      </c>
    </row>
    <row r="175" spans="1:6" x14ac:dyDescent="0.3">
      <c r="A175" s="34">
        <v>166</v>
      </c>
      <c r="B175" s="34">
        <v>802</v>
      </c>
      <c r="C175" s="34" t="s">
        <v>56</v>
      </c>
      <c r="D175" s="39">
        <f>VLOOKUP('3.1 Losowanie warstwowe PROP'!B175,lw!$A$1:$G$1001,2,FALSE)</f>
        <v>18</v>
      </c>
      <c r="E175" s="34" t="str">
        <f>VLOOKUP(B175,Dane!$A$1:$G$1001,6,FALSE)</f>
        <v>wynajem</v>
      </c>
      <c r="F175" s="34">
        <f t="shared" si="6"/>
        <v>5.0249999999999995</v>
      </c>
    </row>
    <row r="176" spans="1:6" x14ac:dyDescent="0.3">
      <c r="A176" s="34">
        <v>167</v>
      </c>
      <c r="B176" s="34">
        <v>46</v>
      </c>
      <c r="C176" s="34" t="s">
        <v>56</v>
      </c>
      <c r="D176" s="39">
        <f>VLOOKUP('3.1 Losowanie warstwowe PROP'!B176,lw!$A$1:$G$1001,2,FALSE)</f>
        <v>11</v>
      </c>
      <c r="E176" s="34" t="str">
        <f>VLOOKUP(B176,Dane!$A$1:$G$1001,6,FALSE)</f>
        <v>własność</v>
      </c>
      <c r="F176" s="34">
        <f t="shared" si="6"/>
        <v>5.0249999999999995</v>
      </c>
    </row>
    <row r="177" spans="1:6" x14ac:dyDescent="0.3">
      <c r="A177" s="34">
        <v>168</v>
      </c>
      <c r="B177" s="34">
        <v>392</v>
      </c>
      <c r="C177" s="34" t="s">
        <v>56</v>
      </c>
      <c r="D177" s="39">
        <f>VLOOKUP('3.1 Losowanie warstwowe PROP'!B177,lw!$A$1:$G$1001,2,FALSE)</f>
        <v>12</v>
      </c>
      <c r="E177" s="34" t="str">
        <f>VLOOKUP(B177,Dane!$A$1:$G$1001,6,FALSE)</f>
        <v>wynajem</v>
      </c>
      <c r="F177" s="34">
        <f t="shared" si="6"/>
        <v>5.0249999999999995</v>
      </c>
    </row>
    <row r="178" spans="1:6" x14ac:dyDescent="0.3">
      <c r="A178" s="34">
        <v>169</v>
      </c>
      <c r="B178" s="34">
        <v>867</v>
      </c>
      <c r="C178" s="34" t="s">
        <v>56</v>
      </c>
      <c r="D178" s="39">
        <f>VLOOKUP('3.1 Losowanie warstwowe PROP'!B178,lw!$A$1:$G$1001,2,FALSE)</f>
        <v>18</v>
      </c>
      <c r="E178" s="34" t="str">
        <f>VLOOKUP(B178,Dane!$A$1:$G$1001,6,FALSE)</f>
        <v>własność</v>
      </c>
      <c r="F178" s="34">
        <f t="shared" si="6"/>
        <v>5.0249999999999995</v>
      </c>
    </row>
    <row r="179" spans="1:6" x14ac:dyDescent="0.3">
      <c r="A179" s="34">
        <v>170</v>
      </c>
      <c r="B179" s="34">
        <v>555</v>
      </c>
      <c r="C179" s="34" t="s">
        <v>56</v>
      </c>
      <c r="D179" s="39">
        <f>VLOOKUP('3.1 Losowanie warstwowe PROP'!B179,lw!$A$1:$G$1001,2,FALSE)</f>
        <v>9</v>
      </c>
      <c r="E179" s="34" t="str">
        <f>VLOOKUP(B179,Dane!$A$1:$G$1001,6,FALSE)</f>
        <v>własność</v>
      </c>
      <c r="F179" s="34">
        <f t="shared" si="6"/>
        <v>5.0249999999999995</v>
      </c>
    </row>
    <row r="180" spans="1:6" x14ac:dyDescent="0.3">
      <c r="A180" s="34">
        <v>171</v>
      </c>
      <c r="B180" s="34">
        <v>659</v>
      </c>
      <c r="C180" s="34" t="s">
        <v>56</v>
      </c>
      <c r="D180" s="39">
        <f>VLOOKUP('3.1 Losowanie warstwowe PROP'!B180,lw!$A$1:$G$1001,2,FALSE)</f>
        <v>30</v>
      </c>
      <c r="E180" s="34" t="str">
        <f>VLOOKUP(B180,Dane!$A$1:$G$1001,6,FALSE)</f>
        <v>własność</v>
      </c>
      <c r="F180" s="34">
        <f t="shared" si="6"/>
        <v>5.0249999999999995</v>
      </c>
    </row>
    <row r="181" spans="1:6" x14ac:dyDescent="0.3">
      <c r="A181" s="34">
        <v>172</v>
      </c>
      <c r="B181" s="34">
        <v>83</v>
      </c>
      <c r="C181" s="34" t="s">
        <v>56</v>
      </c>
      <c r="D181" s="39">
        <f>VLOOKUP('3.1 Losowanie warstwowe PROP'!B181,lw!$A$1:$G$1001,2,FALSE)</f>
        <v>18</v>
      </c>
      <c r="E181" s="34" t="str">
        <f>VLOOKUP(B181,Dane!$A$1:$G$1001,6,FALSE)</f>
        <v>wynajem</v>
      </c>
      <c r="F181" s="34">
        <f t="shared" si="6"/>
        <v>5.0249999999999995</v>
      </c>
    </row>
    <row r="182" spans="1:6" x14ac:dyDescent="0.3">
      <c r="A182" s="34">
        <v>173</v>
      </c>
      <c r="B182" s="34">
        <v>86</v>
      </c>
      <c r="C182" s="34" t="s">
        <v>56</v>
      </c>
      <c r="D182" s="39">
        <f>VLOOKUP('3.1 Losowanie warstwowe PROP'!B182,lw!$A$1:$G$1001,2,FALSE)</f>
        <v>12</v>
      </c>
      <c r="E182" s="34" t="str">
        <f>VLOOKUP(B182,Dane!$A$1:$G$1001,6,FALSE)</f>
        <v>własność</v>
      </c>
      <c r="F182" s="34">
        <f t="shared" si="6"/>
        <v>5.0249999999999995</v>
      </c>
    </row>
    <row r="183" spans="1:6" x14ac:dyDescent="0.3">
      <c r="A183" s="34">
        <v>174</v>
      </c>
      <c r="B183" s="34">
        <v>913</v>
      </c>
      <c r="C183" s="34" t="s">
        <v>56</v>
      </c>
      <c r="D183" s="39">
        <f>VLOOKUP('3.1 Losowanie warstwowe PROP'!B183,lw!$A$1:$G$1001,2,FALSE)</f>
        <v>30</v>
      </c>
      <c r="E183" s="34" t="str">
        <f>VLOOKUP(B183,Dane!$A$1:$G$1001,6,FALSE)</f>
        <v>własność</v>
      </c>
      <c r="F183" s="34">
        <f t="shared" si="6"/>
        <v>5.0249999999999995</v>
      </c>
    </row>
    <row r="184" spans="1:6" x14ac:dyDescent="0.3">
      <c r="A184" s="34">
        <v>175</v>
      </c>
      <c r="B184" s="34">
        <v>131</v>
      </c>
      <c r="C184" s="34" t="s">
        <v>56</v>
      </c>
      <c r="D184" s="39">
        <f>VLOOKUP('3.1 Losowanie warstwowe PROP'!B184,lw!$A$1:$G$1001,2,FALSE)</f>
        <v>48</v>
      </c>
      <c r="E184" s="34" t="str">
        <f>VLOOKUP(B184,Dane!$A$1:$G$1001,6,FALSE)</f>
        <v>własność</v>
      </c>
      <c r="F184" s="34">
        <f t="shared" si="6"/>
        <v>5.0249999999999995</v>
      </c>
    </row>
    <row r="185" spans="1:6" x14ac:dyDescent="0.3">
      <c r="A185" s="34">
        <v>176</v>
      </c>
      <c r="B185" s="34">
        <v>342</v>
      </c>
      <c r="C185" s="34" t="s">
        <v>56</v>
      </c>
      <c r="D185" s="39">
        <f>VLOOKUP('3.1 Losowanie warstwowe PROP'!B185,lw!$A$1:$G$1001,2,FALSE)</f>
        <v>21</v>
      </c>
      <c r="E185" s="34" t="str">
        <f>VLOOKUP(B185,Dane!$A$1:$G$1001,6,FALSE)</f>
        <v>wynajem</v>
      </c>
      <c r="F185" s="34">
        <f t="shared" si="6"/>
        <v>5.0249999999999995</v>
      </c>
    </row>
    <row r="186" spans="1:6" x14ac:dyDescent="0.3">
      <c r="A186" s="34">
        <v>177</v>
      </c>
      <c r="B186" s="34">
        <v>103</v>
      </c>
      <c r="C186" s="34" t="s">
        <v>56</v>
      </c>
      <c r="D186" s="39">
        <f>VLOOKUP('3.1 Losowanie warstwowe PROP'!B186,lw!$A$1:$G$1001,2,FALSE)</f>
        <v>6</v>
      </c>
      <c r="E186" s="34" t="str">
        <f>VLOOKUP(B186,Dane!$A$1:$G$1001,6,FALSE)</f>
        <v>własność</v>
      </c>
      <c r="F186" s="34">
        <f t="shared" si="6"/>
        <v>5.0249999999999995</v>
      </c>
    </row>
    <row r="187" spans="1:6" x14ac:dyDescent="0.3">
      <c r="A187" s="34">
        <v>178</v>
      </c>
      <c r="B187" s="34">
        <v>259</v>
      </c>
      <c r="C187" s="34" t="s">
        <v>56</v>
      </c>
      <c r="D187" s="39">
        <f>VLOOKUP('3.1 Losowanie warstwowe PROP'!B187,lw!$A$1:$G$1001,2,FALSE)</f>
        <v>15</v>
      </c>
      <c r="E187" s="34" t="str">
        <f>VLOOKUP(B187,Dane!$A$1:$G$1001,6,FALSE)</f>
        <v>własność</v>
      </c>
      <c r="F187" s="34">
        <f t="shared" si="6"/>
        <v>5.0249999999999995</v>
      </c>
    </row>
    <row r="188" spans="1:6" x14ac:dyDescent="0.3">
      <c r="A188" s="34">
        <v>179</v>
      </c>
      <c r="B188" s="34">
        <v>843</v>
      </c>
      <c r="C188" s="34" t="s">
        <v>57</v>
      </c>
      <c r="D188" s="39">
        <f>VLOOKUP('3.1 Losowanie warstwowe PROP'!B188,lw!$A$1:$G$1001,2,FALSE)</f>
        <v>18</v>
      </c>
      <c r="E188" s="34" t="str">
        <f>VLOOKUP(B188,Dane!$A$1:$G$1001,6,FALSE)</f>
        <v>własność</v>
      </c>
      <c r="F188" s="34">
        <f t="shared" si="6"/>
        <v>4.9545454545454541</v>
      </c>
    </row>
    <row r="189" spans="1:6" x14ac:dyDescent="0.3">
      <c r="A189" s="34">
        <v>180</v>
      </c>
      <c r="B189" s="34">
        <v>912</v>
      </c>
      <c r="C189" s="34" t="s">
        <v>57</v>
      </c>
      <c r="D189" s="39">
        <f>VLOOKUP('3.1 Losowanie warstwowe PROP'!B189,lw!$A$1:$G$1001,2,FALSE)</f>
        <v>24</v>
      </c>
      <c r="E189" s="34" t="str">
        <f>VLOOKUP(B189,Dane!$A$1:$G$1001,6,FALSE)</f>
        <v>własność</v>
      </c>
      <c r="F189" s="34">
        <f t="shared" si="6"/>
        <v>4.9545454545454541</v>
      </c>
    </row>
    <row r="190" spans="1:6" x14ac:dyDescent="0.3">
      <c r="A190" s="34">
        <v>181</v>
      </c>
      <c r="B190" s="34">
        <v>558</v>
      </c>
      <c r="C190" s="34" t="s">
        <v>57</v>
      </c>
      <c r="D190" s="39">
        <f>VLOOKUP('3.1 Losowanie warstwowe PROP'!B190,lw!$A$1:$G$1001,2,FALSE)</f>
        <v>21</v>
      </c>
      <c r="E190" s="34" t="str">
        <f>VLOOKUP(B190,Dane!$A$1:$G$1001,6,FALSE)</f>
        <v>własność</v>
      </c>
      <c r="F190" s="34">
        <f t="shared" si="6"/>
        <v>4.9545454545454541</v>
      </c>
    </row>
    <row r="191" spans="1:6" x14ac:dyDescent="0.3">
      <c r="A191" s="34">
        <v>182</v>
      </c>
      <c r="B191" s="34">
        <v>723</v>
      </c>
      <c r="C191" s="34" t="s">
        <v>57</v>
      </c>
      <c r="D191" s="39">
        <f>VLOOKUP('3.1 Losowanie warstwowe PROP'!B191,lw!$A$1:$G$1001,2,FALSE)</f>
        <v>12</v>
      </c>
      <c r="E191" s="34" t="str">
        <f>VLOOKUP(B191,Dane!$A$1:$G$1001,6,FALSE)</f>
        <v>własność</v>
      </c>
      <c r="F191" s="34">
        <f t="shared" si="6"/>
        <v>4.9545454545454541</v>
      </c>
    </row>
    <row r="192" spans="1:6" x14ac:dyDescent="0.3">
      <c r="A192" s="34">
        <v>183</v>
      </c>
      <c r="B192" s="34">
        <v>12</v>
      </c>
      <c r="C192" s="34" t="s">
        <v>57</v>
      </c>
      <c r="D192" s="39">
        <f>VLOOKUP('3.1 Losowanie warstwowe PROP'!B192,lw!$A$1:$G$1001,2,FALSE)</f>
        <v>48</v>
      </c>
      <c r="E192" s="34" t="str">
        <f>VLOOKUP(B192,Dane!$A$1:$G$1001,6,FALSE)</f>
        <v>wynajem</v>
      </c>
      <c r="F192" s="34">
        <f t="shared" si="6"/>
        <v>4.9545454545454541</v>
      </c>
    </row>
    <row r="193" spans="1:6" x14ac:dyDescent="0.3">
      <c r="A193" s="34">
        <v>184</v>
      </c>
      <c r="B193" s="34">
        <v>608</v>
      </c>
      <c r="C193" s="34" t="s">
        <v>57</v>
      </c>
      <c r="D193" s="39">
        <f>VLOOKUP('3.1 Losowanie warstwowe PROP'!B193,lw!$A$1:$G$1001,2,FALSE)</f>
        <v>36</v>
      </c>
      <c r="E193" s="34" t="str">
        <f>VLOOKUP(B193,Dane!$A$1:$G$1001,6,FALSE)</f>
        <v>za darmo</v>
      </c>
      <c r="F193" s="34">
        <f t="shared" si="6"/>
        <v>4.9545454545454541</v>
      </c>
    </row>
    <row r="194" spans="1:6" x14ac:dyDescent="0.3">
      <c r="A194" s="34">
        <v>185</v>
      </c>
      <c r="B194" s="34">
        <v>762</v>
      </c>
      <c r="C194" s="34" t="s">
        <v>57</v>
      </c>
      <c r="D194" s="39">
        <f>VLOOKUP('3.1 Losowanie warstwowe PROP'!B194,lw!$A$1:$G$1001,2,FALSE)</f>
        <v>18</v>
      </c>
      <c r="E194" s="34" t="str">
        <f>VLOOKUP(B194,Dane!$A$1:$G$1001,6,FALSE)</f>
        <v>wynajem</v>
      </c>
      <c r="F194" s="34">
        <f t="shared" si="6"/>
        <v>4.9545454545454541</v>
      </c>
    </row>
    <row r="195" spans="1:6" x14ac:dyDescent="0.3">
      <c r="A195" s="34">
        <v>186</v>
      </c>
      <c r="B195" s="34">
        <v>60</v>
      </c>
      <c r="C195" s="34" t="s">
        <v>57</v>
      </c>
      <c r="D195" s="39">
        <f>VLOOKUP('3.1 Losowanie warstwowe PROP'!B195,lw!$A$1:$G$1001,2,FALSE)</f>
        <v>36</v>
      </c>
      <c r="E195" s="34" t="str">
        <f>VLOOKUP(B195,Dane!$A$1:$G$1001,6,FALSE)</f>
        <v>wynajem</v>
      </c>
      <c r="F195" s="34">
        <f t="shared" si="6"/>
        <v>4.9545454545454541</v>
      </c>
    </row>
    <row r="196" spans="1:6" x14ac:dyDescent="0.3">
      <c r="A196" s="34">
        <v>187</v>
      </c>
      <c r="B196" s="34">
        <v>532</v>
      </c>
      <c r="C196" s="34" t="s">
        <v>57</v>
      </c>
      <c r="D196" s="39">
        <f>VLOOKUP('3.1 Losowanie warstwowe PROP'!B196,lw!$A$1:$G$1001,2,FALSE)</f>
        <v>15</v>
      </c>
      <c r="E196" s="34" t="str">
        <f>VLOOKUP(B196,Dane!$A$1:$G$1001,6,FALSE)</f>
        <v>wynajem</v>
      </c>
      <c r="F196" s="34">
        <f t="shared" si="6"/>
        <v>4.9545454545454541</v>
      </c>
    </row>
    <row r="197" spans="1:6" x14ac:dyDescent="0.3">
      <c r="A197" s="34">
        <v>188</v>
      </c>
      <c r="B197" s="34">
        <v>425</v>
      </c>
      <c r="C197" s="34" t="s">
        <v>57</v>
      </c>
      <c r="D197" s="39">
        <f>VLOOKUP('3.1 Losowanie warstwowe PROP'!B197,lw!$A$1:$G$1001,2,FALSE)</f>
        <v>12</v>
      </c>
      <c r="E197" s="34" t="str">
        <f>VLOOKUP(B197,Dane!$A$1:$G$1001,6,FALSE)</f>
        <v>własność</v>
      </c>
      <c r="F197" s="34">
        <f t="shared" si="6"/>
        <v>4.9545454545454541</v>
      </c>
    </row>
    <row r="198" spans="1:6" x14ac:dyDescent="0.3">
      <c r="A198" s="34">
        <v>189</v>
      </c>
      <c r="B198" s="34">
        <v>430</v>
      </c>
      <c r="C198" s="34" t="s">
        <v>57</v>
      </c>
      <c r="D198" s="39">
        <f>VLOOKUP('3.1 Losowanie warstwowe PROP'!B198,lw!$A$1:$G$1001,2,FALSE)</f>
        <v>18</v>
      </c>
      <c r="E198" s="34" t="str">
        <f>VLOOKUP(B198,Dane!$A$1:$G$1001,6,FALSE)</f>
        <v>za darmo</v>
      </c>
      <c r="F198" s="34">
        <f t="shared" si="6"/>
        <v>4.9545454545454541</v>
      </c>
    </row>
    <row r="199" spans="1:6" x14ac:dyDescent="0.3">
      <c r="A199" s="34">
        <v>190</v>
      </c>
      <c r="B199" s="34">
        <v>729</v>
      </c>
      <c r="C199" s="34" t="s">
        <v>57</v>
      </c>
      <c r="D199" s="39">
        <f>VLOOKUP('3.1 Losowanie warstwowe PROP'!B199,lw!$A$1:$G$1001,2,FALSE)</f>
        <v>48</v>
      </c>
      <c r="E199" s="34" t="str">
        <f>VLOOKUP(B199,Dane!$A$1:$G$1001,6,FALSE)</f>
        <v>wynajem</v>
      </c>
      <c r="F199" s="34">
        <f t="shared" si="6"/>
        <v>4.9545454545454541</v>
      </c>
    </row>
    <row r="200" spans="1:6" x14ac:dyDescent="0.3">
      <c r="A200" s="34">
        <v>191</v>
      </c>
      <c r="B200" s="34">
        <v>916</v>
      </c>
      <c r="C200" s="34" t="s">
        <v>57</v>
      </c>
      <c r="D200" s="39">
        <f>VLOOKUP('3.1 Losowanie warstwowe PROP'!B200,lw!$A$1:$G$1001,2,FALSE)</f>
        <v>48</v>
      </c>
      <c r="E200" s="34" t="str">
        <f>VLOOKUP(B200,Dane!$A$1:$G$1001,6,FALSE)</f>
        <v>własność</v>
      </c>
      <c r="F200" s="34">
        <f t="shared" si="6"/>
        <v>4.9545454545454541</v>
      </c>
    </row>
    <row r="201" spans="1:6" x14ac:dyDescent="0.3">
      <c r="A201" s="34">
        <v>192</v>
      </c>
      <c r="B201" s="34">
        <v>45</v>
      </c>
      <c r="C201" s="34" t="s">
        <v>57</v>
      </c>
      <c r="D201" s="39">
        <f>VLOOKUP('3.1 Losowanie warstwowe PROP'!B201,lw!$A$1:$G$1001,2,FALSE)</f>
        <v>48</v>
      </c>
      <c r="E201" s="34" t="str">
        <f>VLOOKUP(B201,Dane!$A$1:$G$1001,6,FALSE)</f>
        <v>za darmo</v>
      </c>
      <c r="F201" s="34">
        <f t="shared" si="6"/>
        <v>4.9545454545454541</v>
      </c>
    </row>
    <row r="202" spans="1:6" x14ac:dyDescent="0.3">
      <c r="A202" s="34">
        <v>193</v>
      </c>
      <c r="B202" s="34">
        <v>117</v>
      </c>
      <c r="C202" s="34" t="s">
        <v>57</v>
      </c>
      <c r="D202" s="39">
        <f>VLOOKUP('3.1 Losowanie warstwowe PROP'!B202,lw!$A$1:$G$1001,2,FALSE)</f>
        <v>42</v>
      </c>
      <c r="E202" s="34" t="str">
        <f>VLOOKUP(B202,Dane!$A$1:$G$1001,6,FALSE)</f>
        <v>własność</v>
      </c>
      <c r="F202" s="34">
        <f t="shared" si="6"/>
        <v>4.9545454545454541</v>
      </c>
    </row>
    <row r="203" spans="1:6" x14ac:dyDescent="0.3">
      <c r="A203" s="34">
        <v>194</v>
      </c>
      <c r="B203" s="34">
        <v>176</v>
      </c>
      <c r="C203" s="34" t="s">
        <v>57</v>
      </c>
      <c r="D203" s="39">
        <f>VLOOKUP('3.1 Losowanie warstwowe PROP'!B203,lw!$A$1:$G$1001,2,FALSE)</f>
        <v>30</v>
      </c>
      <c r="E203" s="34" t="str">
        <f>VLOOKUP(B203,Dane!$A$1:$G$1001,6,FALSE)</f>
        <v>własność</v>
      </c>
      <c r="F203" s="34">
        <f t="shared" ref="F203:F209" si="7">VLOOKUP(C203,$H$10:$L$13,5,FALSE)</f>
        <v>4.9545454545454541</v>
      </c>
    </row>
    <row r="204" spans="1:6" x14ac:dyDescent="0.3">
      <c r="A204" s="34">
        <v>195</v>
      </c>
      <c r="B204" s="34">
        <v>253</v>
      </c>
      <c r="C204" s="34" t="s">
        <v>57</v>
      </c>
      <c r="D204" s="39">
        <f>VLOOKUP('3.1 Losowanie warstwowe PROP'!B204,lw!$A$1:$G$1001,2,FALSE)</f>
        <v>30</v>
      </c>
      <c r="E204" s="34" t="str">
        <f>VLOOKUP(B204,Dane!$A$1:$G$1001,6,FALSE)</f>
        <v>własność</v>
      </c>
      <c r="F204" s="34">
        <f t="shared" si="7"/>
        <v>4.9545454545454541</v>
      </c>
    </row>
    <row r="205" spans="1:6" x14ac:dyDescent="0.3">
      <c r="A205" s="34">
        <v>196</v>
      </c>
      <c r="B205" s="34">
        <v>859</v>
      </c>
      <c r="C205" s="34" t="s">
        <v>57</v>
      </c>
      <c r="D205" s="39">
        <f>VLOOKUP('3.1 Losowanie warstwowe PROP'!B205,lw!$A$1:$G$1001,2,FALSE)</f>
        <v>15</v>
      </c>
      <c r="E205" s="34" t="str">
        <f>VLOOKUP(B205,Dane!$A$1:$G$1001,6,FALSE)</f>
        <v>własność</v>
      </c>
      <c r="F205" s="34">
        <f t="shared" si="7"/>
        <v>4.9545454545454541</v>
      </c>
    </row>
    <row r="206" spans="1:6" x14ac:dyDescent="0.3">
      <c r="A206" s="34">
        <v>197</v>
      </c>
      <c r="B206" s="34">
        <v>93</v>
      </c>
      <c r="C206" s="34" t="s">
        <v>57</v>
      </c>
      <c r="D206" s="39">
        <f>VLOOKUP('3.1 Losowanie warstwowe PROP'!B206,lw!$A$1:$G$1001,2,FALSE)</f>
        <v>12</v>
      </c>
      <c r="E206" s="34" t="str">
        <f>VLOOKUP(B206,Dane!$A$1:$G$1001,6,FALSE)</f>
        <v>własność</v>
      </c>
      <c r="F206" s="34">
        <f t="shared" si="7"/>
        <v>4.9545454545454541</v>
      </c>
    </row>
    <row r="207" spans="1:6" x14ac:dyDescent="0.3">
      <c r="A207" s="34">
        <v>198</v>
      </c>
      <c r="B207" s="34">
        <v>376</v>
      </c>
      <c r="C207" s="34" t="s">
        <v>57</v>
      </c>
      <c r="D207" s="39">
        <f>VLOOKUP('3.1 Losowanie warstwowe PROP'!B207,lw!$A$1:$G$1001,2,FALSE)</f>
        <v>48</v>
      </c>
      <c r="E207" s="34" t="str">
        <f>VLOOKUP(B207,Dane!$A$1:$G$1001,6,FALSE)</f>
        <v>wynajem</v>
      </c>
      <c r="F207" s="34">
        <f t="shared" si="7"/>
        <v>4.9545454545454541</v>
      </c>
    </row>
    <row r="208" spans="1:6" x14ac:dyDescent="0.3">
      <c r="A208" s="34">
        <v>199</v>
      </c>
      <c r="B208" s="34">
        <v>279</v>
      </c>
      <c r="C208" s="34" t="s">
        <v>57</v>
      </c>
      <c r="D208" s="39">
        <f>VLOOKUP('3.1 Losowanie warstwowe PROP'!B208,lw!$A$1:$G$1001,2,FALSE)</f>
        <v>6</v>
      </c>
      <c r="E208" s="34" t="str">
        <f>VLOOKUP(B208,Dane!$A$1:$G$1001,6,FALSE)</f>
        <v>własność</v>
      </c>
      <c r="F208" s="34">
        <f t="shared" si="7"/>
        <v>4.9545454545454541</v>
      </c>
    </row>
    <row r="209" spans="1:6" x14ac:dyDescent="0.3">
      <c r="A209" s="35">
        <v>200</v>
      </c>
      <c r="B209" s="35">
        <v>420</v>
      </c>
      <c r="C209" s="35" t="s">
        <v>57</v>
      </c>
      <c r="D209" s="40">
        <f>VLOOKUP('3.1 Losowanie warstwowe PROP'!B209,lw!$A$1:$G$1001,2,FALSE)</f>
        <v>18</v>
      </c>
      <c r="E209" s="35" t="str">
        <f>VLOOKUP(B209,Dane!$A$1:$G$1001,6,FALSE)</f>
        <v>własność</v>
      </c>
      <c r="F209" s="35">
        <f t="shared" si="7"/>
        <v>4.9545454545454541</v>
      </c>
    </row>
  </sheetData>
  <mergeCells count="2">
    <mergeCell ref="B2:K2"/>
    <mergeCell ref="B3:K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C919-B537-4ED8-BCED-4BECAD22C35D}">
  <sheetPr>
    <tabColor theme="4" tint="0.59999389629810485"/>
  </sheetPr>
  <dimension ref="A1:L209"/>
  <sheetViews>
    <sheetView zoomScale="130" zoomScaleNormal="130" workbookViewId="0">
      <selection activeCell="P8" sqref="P8"/>
    </sheetView>
  </sheetViews>
  <sheetFormatPr defaultRowHeight="14.4" x14ac:dyDescent="0.3"/>
  <cols>
    <col min="4" max="4" width="11.88671875" bestFit="1" customWidth="1"/>
    <col min="5" max="5" width="13.109375" customWidth="1"/>
    <col min="8" max="8" width="18.6640625" customWidth="1"/>
    <col min="9" max="9" width="15.44140625" customWidth="1"/>
    <col min="10" max="10" width="17" customWidth="1"/>
    <col min="11" max="11" width="21.88671875" customWidth="1"/>
    <col min="12" max="12" width="12.88671875" customWidth="1"/>
  </cols>
  <sheetData>
    <row r="1" spans="1:12" ht="15" thickBot="1" x14ac:dyDescent="0.35"/>
    <row r="2" spans="1:12" ht="15" thickBot="1" x14ac:dyDescent="0.35">
      <c r="B2" s="342" t="s">
        <v>176</v>
      </c>
      <c r="C2" s="343"/>
      <c r="D2" s="343"/>
      <c r="E2" s="343"/>
      <c r="F2" s="343"/>
      <c r="G2" s="343"/>
      <c r="H2" s="343"/>
      <c r="I2" s="343"/>
      <c r="J2" s="343"/>
      <c r="K2" s="344"/>
    </row>
    <row r="3" spans="1:12" ht="15" customHeight="1" x14ac:dyDescent="0.3">
      <c r="B3" s="345" t="s">
        <v>244</v>
      </c>
      <c r="C3" s="346"/>
      <c r="D3" s="346"/>
      <c r="E3" s="346"/>
      <c r="F3" s="346"/>
      <c r="G3" s="346"/>
      <c r="H3" s="346"/>
      <c r="I3" s="346"/>
      <c r="J3" s="346"/>
      <c r="K3" s="347"/>
    </row>
    <row r="4" spans="1:12" x14ac:dyDescent="0.3">
      <c r="B4" s="345"/>
      <c r="C4" s="346"/>
      <c r="D4" s="346"/>
      <c r="E4" s="346"/>
      <c r="F4" s="346"/>
      <c r="G4" s="346"/>
      <c r="H4" s="346"/>
      <c r="I4" s="346"/>
      <c r="J4" s="346"/>
      <c r="K4" s="347"/>
    </row>
    <row r="5" spans="1:12" x14ac:dyDescent="0.3">
      <c r="B5" s="345"/>
      <c r="C5" s="346"/>
      <c r="D5" s="346"/>
      <c r="E5" s="346"/>
      <c r="F5" s="346"/>
      <c r="G5" s="346"/>
      <c r="H5" s="346"/>
      <c r="I5" s="346"/>
      <c r="J5" s="346"/>
      <c r="K5" s="347"/>
    </row>
    <row r="6" spans="1:12" ht="15" thickBot="1" x14ac:dyDescent="0.35">
      <c r="B6" s="348"/>
      <c r="C6" s="349"/>
      <c r="D6" s="349"/>
      <c r="E6" s="349"/>
      <c r="F6" s="349"/>
      <c r="G6" s="349"/>
      <c r="H6" s="349"/>
      <c r="I6" s="349"/>
      <c r="J6" s="349"/>
      <c r="K6" s="350"/>
    </row>
    <row r="8" spans="1:12" x14ac:dyDescent="0.3">
      <c r="C8" t="s">
        <v>74</v>
      </c>
      <c r="D8" t="s">
        <v>23</v>
      </c>
      <c r="E8" t="s">
        <v>91</v>
      </c>
      <c r="H8" s="2" t="s">
        <v>92</v>
      </c>
    </row>
    <row r="9" spans="1:12" ht="30" x14ac:dyDescent="0.35">
      <c r="A9" s="37" t="s">
        <v>13</v>
      </c>
      <c r="B9" s="37" t="s">
        <v>12</v>
      </c>
      <c r="C9" s="37" t="s">
        <v>42</v>
      </c>
      <c r="D9" s="41" t="s">
        <v>63</v>
      </c>
      <c r="E9" s="37" t="s">
        <v>1</v>
      </c>
      <c r="F9" s="37" t="s">
        <v>227</v>
      </c>
      <c r="H9" s="103" t="s">
        <v>93</v>
      </c>
      <c r="I9" s="103" t="s">
        <v>94</v>
      </c>
      <c r="J9" s="103" t="s">
        <v>95</v>
      </c>
      <c r="K9" s="103" t="s">
        <v>96</v>
      </c>
      <c r="L9" s="103" t="s">
        <v>97</v>
      </c>
    </row>
    <row r="10" spans="1:12" x14ac:dyDescent="0.3">
      <c r="A10" s="34">
        <v>1</v>
      </c>
      <c r="B10" s="34">
        <v>249</v>
      </c>
      <c r="C10" s="34" t="s">
        <v>54</v>
      </c>
      <c r="D10" s="34">
        <v>24</v>
      </c>
      <c r="E10" s="38" t="str">
        <f>VLOOKUP(B10,Dane!$A$1:$G$1001,6,FALSE)</f>
        <v>własność</v>
      </c>
      <c r="F10" s="38">
        <f>VLOOKUP(C10,$H$10:$L$13,5,FALSE)</f>
        <v>9.98</v>
      </c>
      <c r="H10" s="17" t="s">
        <v>54</v>
      </c>
      <c r="I10" s="18">
        <v>499</v>
      </c>
      <c r="J10" s="12">
        <f>COUNTIF($C$10:$C$209,H10)</f>
        <v>50</v>
      </c>
      <c r="K10" s="104">
        <f>J10/I10</f>
        <v>0.10020040080160321</v>
      </c>
      <c r="L10" s="107">
        <f>1/K10</f>
        <v>9.98</v>
      </c>
    </row>
    <row r="11" spans="1:12" x14ac:dyDescent="0.3">
      <c r="A11" s="34">
        <v>2</v>
      </c>
      <c r="B11" s="34">
        <v>774</v>
      </c>
      <c r="C11" s="34" t="s">
        <v>54</v>
      </c>
      <c r="D11" s="34">
        <v>24</v>
      </c>
      <c r="E11" s="34" t="str">
        <f>VLOOKUP(B11,Dane!$A$1:$G$1001,6,FALSE)</f>
        <v>własność</v>
      </c>
      <c r="F11" s="34">
        <f t="shared" ref="F11:F74" si="0">VLOOKUP(C11,$H$10:$L$13,5,FALSE)</f>
        <v>9.98</v>
      </c>
      <c r="H11" s="21" t="s">
        <v>55</v>
      </c>
      <c r="I11" s="18">
        <v>191</v>
      </c>
      <c r="J11" s="75">
        <f t="shared" ref="J11:J13" si="1">COUNTIF($C$10:$C$209,H11)</f>
        <v>50</v>
      </c>
      <c r="K11" s="105">
        <f t="shared" ref="K11:K13" si="2">J11/I11</f>
        <v>0.26178010471204188</v>
      </c>
      <c r="L11" s="108">
        <f t="shared" ref="L11:L13" si="3">1/K11</f>
        <v>3.82</v>
      </c>
    </row>
    <row r="12" spans="1:12" x14ac:dyDescent="0.3">
      <c r="A12" s="34">
        <v>3</v>
      </c>
      <c r="B12" s="34">
        <v>894</v>
      </c>
      <c r="C12" s="34" t="s">
        <v>54</v>
      </c>
      <c r="D12" s="34">
        <v>36</v>
      </c>
      <c r="E12" s="34" t="str">
        <f>VLOOKUP(B12,Dane!$A$1:$G$1001,6,FALSE)</f>
        <v>własność</v>
      </c>
      <c r="F12" s="34">
        <f t="shared" si="0"/>
        <v>9.98</v>
      </c>
      <c r="H12" s="21" t="s">
        <v>56</v>
      </c>
      <c r="I12" s="18">
        <v>201</v>
      </c>
      <c r="J12" s="75">
        <f t="shared" si="1"/>
        <v>50</v>
      </c>
      <c r="K12" s="105">
        <f t="shared" si="2"/>
        <v>0.24875621890547264</v>
      </c>
      <c r="L12" s="108">
        <f t="shared" si="3"/>
        <v>4.0199999999999996</v>
      </c>
    </row>
    <row r="13" spans="1:12" x14ac:dyDescent="0.3">
      <c r="A13" s="34">
        <v>4</v>
      </c>
      <c r="B13" s="34">
        <v>124</v>
      </c>
      <c r="C13" s="34" t="s">
        <v>54</v>
      </c>
      <c r="D13" s="34">
        <v>10</v>
      </c>
      <c r="E13" s="34" t="str">
        <f>VLOOKUP(B13,Dane!$A$1:$G$1001,6,FALSE)</f>
        <v>za darmo</v>
      </c>
      <c r="F13" s="34">
        <f t="shared" si="0"/>
        <v>9.98</v>
      </c>
      <c r="H13" s="22" t="s">
        <v>57</v>
      </c>
      <c r="I13" s="23">
        <v>109</v>
      </c>
      <c r="J13" s="13">
        <f t="shared" si="1"/>
        <v>50</v>
      </c>
      <c r="K13" s="106">
        <f t="shared" si="2"/>
        <v>0.45871559633027525</v>
      </c>
      <c r="L13" s="109">
        <f t="shared" si="3"/>
        <v>2.1799999999999997</v>
      </c>
    </row>
    <row r="14" spans="1:12" x14ac:dyDescent="0.3">
      <c r="A14" s="34">
        <v>5</v>
      </c>
      <c r="B14" s="34">
        <v>887</v>
      </c>
      <c r="C14" s="34" t="s">
        <v>54</v>
      </c>
      <c r="D14" s="34">
        <v>24</v>
      </c>
      <c r="E14" s="34" t="str">
        <f>VLOOKUP(B14,Dane!$A$1:$G$1001,6,FALSE)</f>
        <v>własność</v>
      </c>
      <c r="F14" s="34">
        <f t="shared" si="0"/>
        <v>9.98</v>
      </c>
    </row>
    <row r="15" spans="1:12" x14ac:dyDescent="0.3">
      <c r="A15" s="34">
        <v>6</v>
      </c>
      <c r="B15" s="34">
        <v>265</v>
      </c>
      <c r="C15" s="34" t="s">
        <v>54</v>
      </c>
      <c r="D15" s="34">
        <v>10</v>
      </c>
      <c r="E15" s="34" t="str">
        <f>VLOOKUP(B15,Dane!$A$1:$G$1001,6,FALSE)</f>
        <v>własność</v>
      </c>
      <c r="F15" s="34">
        <f t="shared" si="0"/>
        <v>9.98</v>
      </c>
      <c r="H15" t="s">
        <v>177</v>
      </c>
    </row>
    <row r="16" spans="1:12" x14ac:dyDescent="0.3">
      <c r="A16" s="34">
        <v>7</v>
      </c>
      <c r="B16" s="34">
        <v>907</v>
      </c>
      <c r="C16" s="34" t="s">
        <v>54</v>
      </c>
      <c r="D16" s="34">
        <v>21</v>
      </c>
      <c r="E16" s="34" t="str">
        <f>VLOOKUP(B16,Dane!$A$1:$G$1001,6,FALSE)</f>
        <v>własność</v>
      </c>
      <c r="F16" s="34">
        <f t="shared" si="0"/>
        <v>9.98</v>
      </c>
    </row>
    <row r="17" spans="1:12" x14ac:dyDescent="0.3">
      <c r="A17" s="34">
        <v>8</v>
      </c>
      <c r="B17" s="34">
        <v>811</v>
      </c>
      <c r="C17" s="34" t="s">
        <v>54</v>
      </c>
      <c r="D17" s="34">
        <v>8</v>
      </c>
      <c r="E17" s="34" t="str">
        <f>VLOOKUP(B17,Dane!$A$1:$G$1001,6,FALSE)</f>
        <v>własność</v>
      </c>
      <c r="F17" s="34">
        <f t="shared" si="0"/>
        <v>9.98</v>
      </c>
      <c r="H17" t="s">
        <v>173</v>
      </c>
    </row>
    <row r="18" spans="1:12" x14ac:dyDescent="0.3">
      <c r="A18" s="34">
        <v>9</v>
      </c>
      <c r="B18" s="34">
        <v>831</v>
      </c>
      <c r="C18" s="34" t="s">
        <v>54</v>
      </c>
      <c r="D18" s="34">
        <v>24</v>
      </c>
      <c r="E18" s="34" t="str">
        <f>VLOOKUP(B18,Dane!$A$1:$G$1001,6,FALSE)</f>
        <v>własność</v>
      </c>
      <c r="F18" s="34">
        <f t="shared" si="0"/>
        <v>9.98</v>
      </c>
      <c r="H18" s="2" t="s">
        <v>171</v>
      </c>
      <c r="I18" s="2"/>
      <c r="J18" s="2"/>
      <c r="K18" s="2"/>
    </row>
    <row r="19" spans="1:12" ht="28.8" x14ac:dyDescent="0.3">
      <c r="A19" s="34">
        <v>10</v>
      </c>
      <c r="B19" s="34">
        <v>34</v>
      </c>
      <c r="C19" s="34" t="s">
        <v>54</v>
      </c>
      <c r="D19" s="34">
        <v>12</v>
      </c>
      <c r="E19" s="34" t="str">
        <f>VLOOKUP(B19,Dane!$A$1:$G$1001,6,FALSE)</f>
        <v>wynajem</v>
      </c>
      <c r="F19" s="34">
        <f t="shared" si="0"/>
        <v>9.98</v>
      </c>
      <c r="H19" s="110" t="s">
        <v>102</v>
      </c>
      <c r="I19" s="111" t="s">
        <v>98</v>
      </c>
      <c r="J19" s="112" t="s">
        <v>99</v>
      </c>
      <c r="K19" s="111" t="s">
        <v>100</v>
      </c>
      <c r="L19" s="111" t="s">
        <v>101</v>
      </c>
    </row>
    <row r="20" spans="1:12" x14ac:dyDescent="0.3">
      <c r="A20" s="34">
        <v>11</v>
      </c>
      <c r="B20" s="34">
        <v>587</v>
      </c>
      <c r="C20" s="34" t="s">
        <v>54</v>
      </c>
      <c r="D20" s="34">
        <v>9</v>
      </c>
      <c r="E20" s="34" t="str">
        <f>VLOOKUP(B20,Dane!$A$1:$G$1001,6,FALSE)</f>
        <v>wynajem</v>
      </c>
      <c r="F20" s="34">
        <f t="shared" si="0"/>
        <v>9.98</v>
      </c>
      <c r="H20" s="211" t="s">
        <v>4</v>
      </c>
      <c r="I20" s="12">
        <f>COUNTIF($E$10:$E$209,H20)</f>
        <v>134</v>
      </c>
      <c r="J20" s="212">
        <f>I20/$I$23</f>
        <v>0.67</v>
      </c>
      <c r="K20" s="107">
        <f>SUMIF($E$10:$E$209,H20,$F$10:$F$209)</f>
        <v>707.03999999999792</v>
      </c>
      <c r="L20" s="113">
        <f>K20/$K$23</f>
        <v>0.70703999999999934</v>
      </c>
    </row>
    <row r="21" spans="1:12" x14ac:dyDescent="0.3">
      <c r="A21" s="34">
        <v>12</v>
      </c>
      <c r="B21" s="34">
        <v>561</v>
      </c>
      <c r="C21" s="34" t="s">
        <v>54</v>
      </c>
      <c r="D21" s="34">
        <v>24</v>
      </c>
      <c r="E21" s="34" t="str">
        <f>VLOOKUP(B21,Dane!$A$1:$G$1001,6,FALSE)</f>
        <v>za darmo</v>
      </c>
      <c r="F21" s="34">
        <f t="shared" si="0"/>
        <v>9.98</v>
      </c>
      <c r="H21" s="118" t="s">
        <v>9</v>
      </c>
      <c r="I21" s="75">
        <f t="shared" ref="I21:I22" si="4">COUNTIF($E$10:$E$209,H21)</f>
        <v>40</v>
      </c>
      <c r="J21" s="213">
        <f>I21/$I$23</f>
        <v>0.2</v>
      </c>
      <c r="K21" s="108">
        <f>SUMIF($E$10:$E$209,H21,$F$10:$F$209)</f>
        <v>165.92000000000004</v>
      </c>
      <c r="L21" s="114">
        <f>K21/$K$23</f>
        <v>0.16592000000000037</v>
      </c>
    </row>
    <row r="22" spans="1:12" x14ac:dyDescent="0.3">
      <c r="A22" s="34">
        <v>13</v>
      </c>
      <c r="B22" s="34">
        <v>934</v>
      </c>
      <c r="C22" s="34" t="s">
        <v>54</v>
      </c>
      <c r="D22" s="34">
        <v>12</v>
      </c>
      <c r="E22" s="34" t="str">
        <f>VLOOKUP(B22,Dane!$A$1:$G$1001,6,FALSE)</f>
        <v>własność</v>
      </c>
      <c r="F22" s="34">
        <f t="shared" si="0"/>
        <v>9.98</v>
      </c>
      <c r="H22" s="119" t="s">
        <v>8</v>
      </c>
      <c r="I22" s="13">
        <f t="shared" si="4"/>
        <v>26</v>
      </c>
      <c r="J22" s="214">
        <f>I22/$I$23</f>
        <v>0.13</v>
      </c>
      <c r="K22" s="109">
        <f>SUMIF($E$10:$E$209,H22,$F$10:$F$209)</f>
        <v>127.03999999999996</v>
      </c>
      <c r="L22" s="115">
        <f>K22/$K$23</f>
        <v>0.12704000000000024</v>
      </c>
    </row>
    <row r="23" spans="1:12" x14ac:dyDescent="0.3">
      <c r="A23" s="34">
        <v>14</v>
      </c>
      <c r="B23" s="34">
        <v>515</v>
      </c>
      <c r="C23" s="34" t="s">
        <v>54</v>
      </c>
      <c r="D23" s="34">
        <v>24</v>
      </c>
      <c r="E23" s="34" t="str">
        <f>VLOOKUP(B23,Dane!$A$1:$G$1001,6,FALSE)</f>
        <v>własność</v>
      </c>
      <c r="F23" s="34">
        <f t="shared" si="0"/>
        <v>9.98</v>
      </c>
      <c r="H23" s="116" t="s">
        <v>53</v>
      </c>
      <c r="I23" s="117">
        <f>SUM(I20:I22)</f>
        <v>200</v>
      </c>
      <c r="J23" s="82">
        <f>SUM(J20:J22)</f>
        <v>1</v>
      </c>
      <c r="K23" s="117">
        <f>SUM(K20:K22)</f>
        <v>999.99999999999795</v>
      </c>
      <c r="L23" s="82">
        <f>SUM(L20:L22)</f>
        <v>1</v>
      </c>
    </row>
    <row r="24" spans="1:12" x14ac:dyDescent="0.3">
      <c r="A24" s="34">
        <v>15</v>
      </c>
      <c r="B24" s="34">
        <v>8</v>
      </c>
      <c r="C24" s="34" t="s">
        <v>54</v>
      </c>
      <c r="D24" s="34">
        <v>36</v>
      </c>
      <c r="E24" s="34" t="str">
        <f>VLOOKUP(B24,Dane!$A$1:$G$1001,6,FALSE)</f>
        <v>wynajem</v>
      </c>
      <c r="F24" s="34">
        <f t="shared" si="0"/>
        <v>9.98</v>
      </c>
    </row>
    <row r="25" spans="1:12" x14ac:dyDescent="0.3">
      <c r="A25" s="34">
        <v>16</v>
      </c>
      <c r="B25" s="34">
        <v>610</v>
      </c>
      <c r="C25" s="34" t="s">
        <v>54</v>
      </c>
      <c r="D25" s="34">
        <v>15</v>
      </c>
      <c r="E25" s="34" t="str">
        <f>VLOOKUP(B25,Dane!$A$1:$G$1001,6,FALSE)</f>
        <v>za darmo</v>
      </c>
      <c r="F25" s="34">
        <f t="shared" si="0"/>
        <v>9.98</v>
      </c>
      <c r="H25" t="s">
        <v>178</v>
      </c>
    </row>
    <row r="26" spans="1:12" x14ac:dyDescent="0.3">
      <c r="A26" s="34">
        <v>17</v>
      </c>
      <c r="B26" s="34">
        <v>40</v>
      </c>
      <c r="C26" s="34" t="s">
        <v>54</v>
      </c>
      <c r="D26" s="34">
        <v>9</v>
      </c>
      <c r="E26" s="34" t="str">
        <f>VLOOKUP(B26,Dane!$A$1:$G$1001,6,FALSE)</f>
        <v>własność</v>
      </c>
      <c r="F26" s="34">
        <f t="shared" si="0"/>
        <v>9.98</v>
      </c>
    </row>
    <row r="27" spans="1:12" x14ac:dyDescent="0.3">
      <c r="A27" s="34">
        <v>18</v>
      </c>
      <c r="B27" s="34">
        <v>324</v>
      </c>
      <c r="C27" s="34" t="s">
        <v>54</v>
      </c>
      <c r="D27" s="34">
        <v>18</v>
      </c>
      <c r="E27" s="34" t="str">
        <f>VLOOKUP(B27,Dane!$A$1:$G$1001,6,FALSE)</f>
        <v>własność</v>
      </c>
      <c r="F27" s="34">
        <f t="shared" si="0"/>
        <v>9.98</v>
      </c>
    </row>
    <row r="28" spans="1:12" x14ac:dyDescent="0.3">
      <c r="A28" s="34">
        <v>19</v>
      </c>
      <c r="B28" s="34">
        <v>158</v>
      </c>
      <c r="C28" s="34" t="s">
        <v>54</v>
      </c>
      <c r="D28" s="34">
        <v>12</v>
      </c>
      <c r="E28" s="34" t="str">
        <f>VLOOKUP(B28,Dane!$A$1:$G$1001,6,FALSE)</f>
        <v>własność</v>
      </c>
      <c r="F28" s="34">
        <f t="shared" si="0"/>
        <v>9.98</v>
      </c>
    </row>
    <row r="29" spans="1:12" x14ac:dyDescent="0.3">
      <c r="A29" s="34">
        <v>20</v>
      </c>
      <c r="B29" s="34">
        <v>208</v>
      </c>
      <c r="C29" s="34" t="s">
        <v>54</v>
      </c>
      <c r="D29" s="34">
        <v>12</v>
      </c>
      <c r="E29" s="34" t="str">
        <f>VLOOKUP(B29,Dane!$A$1:$G$1001,6,FALSE)</f>
        <v>własność</v>
      </c>
      <c r="F29" s="34">
        <f t="shared" si="0"/>
        <v>9.98</v>
      </c>
    </row>
    <row r="30" spans="1:12" x14ac:dyDescent="0.3">
      <c r="A30" s="34">
        <v>21</v>
      </c>
      <c r="B30" s="34">
        <v>699</v>
      </c>
      <c r="C30" s="34" t="s">
        <v>54</v>
      </c>
      <c r="D30" s="34">
        <v>18</v>
      </c>
      <c r="E30" s="34" t="str">
        <f>VLOOKUP(B30,Dane!$A$1:$G$1001,6,FALSE)</f>
        <v>własność</v>
      </c>
      <c r="F30" s="34">
        <f t="shared" si="0"/>
        <v>9.98</v>
      </c>
    </row>
    <row r="31" spans="1:12" x14ac:dyDescent="0.3">
      <c r="A31" s="34">
        <v>22</v>
      </c>
      <c r="B31" s="34">
        <v>246</v>
      </c>
      <c r="C31" s="34" t="s">
        <v>54</v>
      </c>
      <c r="D31" s="34">
        <v>24</v>
      </c>
      <c r="E31" s="34" t="str">
        <f>VLOOKUP(B31,Dane!$A$1:$G$1001,6,FALSE)</f>
        <v>własność</v>
      </c>
      <c r="F31" s="34">
        <f t="shared" si="0"/>
        <v>9.98</v>
      </c>
    </row>
    <row r="32" spans="1:12" x14ac:dyDescent="0.3">
      <c r="A32" s="34">
        <v>23</v>
      </c>
      <c r="B32" s="34">
        <v>801</v>
      </c>
      <c r="C32" s="34" t="s">
        <v>54</v>
      </c>
      <c r="D32" s="34">
        <v>24</v>
      </c>
      <c r="E32" s="34" t="str">
        <f>VLOOKUP(B32,Dane!$A$1:$G$1001,6,FALSE)</f>
        <v>za darmo</v>
      </c>
      <c r="F32" s="34">
        <f t="shared" si="0"/>
        <v>9.98</v>
      </c>
    </row>
    <row r="33" spans="1:6" x14ac:dyDescent="0.3">
      <c r="A33" s="34">
        <v>24</v>
      </c>
      <c r="B33" s="34">
        <v>914</v>
      </c>
      <c r="C33" s="34" t="s">
        <v>54</v>
      </c>
      <c r="D33" s="34">
        <v>11</v>
      </c>
      <c r="E33" s="34" t="str">
        <f>VLOOKUP(B33,Dane!$A$1:$G$1001,6,FALSE)</f>
        <v>własność</v>
      </c>
      <c r="F33" s="34">
        <f t="shared" si="0"/>
        <v>9.98</v>
      </c>
    </row>
    <row r="34" spans="1:6" x14ac:dyDescent="0.3">
      <c r="A34" s="34">
        <v>25</v>
      </c>
      <c r="B34" s="34">
        <v>519</v>
      </c>
      <c r="C34" s="34" t="s">
        <v>54</v>
      </c>
      <c r="D34" s="34">
        <v>6</v>
      </c>
      <c r="E34" s="34" t="str">
        <f>VLOOKUP(B34,Dane!$A$1:$G$1001,6,FALSE)</f>
        <v>własność</v>
      </c>
      <c r="F34" s="34">
        <f t="shared" si="0"/>
        <v>9.98</v>
      </c>
    </row>
    <row r="35" spans="1:6" x14ac:dyDescent="0.3">
      <c r="A35" s="34">
        <v>26</v>
      </c>
      <c r="B35" s="34">
        <v>217</v>
      </c>
      <c r="C35" s="34" t="s">
        <v>54</v>
      </c>
      <c r="D35" s="34">
        <v>18</v>
      </c>
      <c r="E35" s="34" t="str">
        <f>VLOOKUP(B35,Dane!$A$1:$G$1001,6,FALSE)</f>
        <v>własność</v>
      </c>
      <c r="F35" s="34">
        <f t="shared" si="0"/>
        <v>9.98</v>
      </c>
    </row>
    <row r="36" spans="1:6" x14ac:dyDescent="0.3">
      <c r="A36" s="34">
        <v>27</v>
      </c>
      <c r="B36" s="34">
        <v>892</v>
      </c>
      <c r="C36" s="34" t="s">
        <v>54</v>
      </c>
      <c r="D36" s="34">
        <v>15</v>
      </c>
      <c r="E36" s="34" t="str">
        <f>VLOOKUP(B36,Dane!$A$1:$G$1001,6,FALSE)</f>
        <v>własność</v>
      </c>
      <c r="F36" s="34">
        <f t="shared" si="0"/>
        <v>9.98</v>
      </c>
    </row>
    <row r="37" spans="1:6" x14ac:dyDescent="0.3">
      <c r="A37" s="34">
        <v>28</v>
      </c>
      <c r="B37" s="34">
        <v>609</v>
      </c>
      <c r="C37" s="34" t="s">
        <v>54</v>
      </c>
      <c r="D37" s="34">
        <v>18</v>
      </c>
      <c r="E37" s="34" t="str">
        <f>VLOOKUP(B37,Dane!$A$1:$G$1001,6,FALSE)</f>
        <v>własność</v>
      </c>
      <c r="F37" s="34">
        <f t="shared" si="0"/>
        <v>9.98</v>
      </c>
    </row>
    <row r="38" spans="1:6" x14ac:dyDescent="0.3">
      <c r="A38" s="34">
        <v>29</v>
      </c>
      <c r="B38" s="34">
        <v>548</v>
      </c>
      <c r="C38" s="34" t="s">
        <v>54</v>
      </c>
      <c r="D38" s="34">
        <v>24</v>
      </c>
      <c r="E38" s="34" t="str">
        <f>VLOOKUP(B38,Dane!$A$1:$G$1001,6,FALSE)</f>
        <v>własność</v>
      </c>
      <c r="F38" s="34">
        <f t="shared" si="0"/>
        <v>9.98</v>
      </c>
    </row>
    <row r="39" spans="1:6" x14ac:dyDescent="0.3">
      <c r="A39" s="34">
        <v>30</v>
      </c>
      <c r="B39" s="34">
        <v>719</v>
      </c>
      <c r="C39" s="34" t="s">
        <v>54</v>
      </c>
      <c r="D39" s="34">
        <v>24</v>
      </c>
      <c r="E39" s="34" t="str">
        <f>VLOOKUP(B39,Dane!$A$1:$G$1001,6,FALSE)</f>
        <v>własność</v>
      </c>
      <c r="F39" s="34">
        <f t="shared" si="0"/>
        <v>9.98</v>
      </c>
    </row>
    <row r="40" spans="1:6" x14ac:dyDescent="0.3">
      <c r="A40" s="34">
        <v>31</v>
      </c>
      <c r="B40" s="34">
        <v>679</v>
      </c>
      <c r="C40" s="34" t="s">
        <v>54</v>
      </c>
      <c r="D40" s="34">
        <v>24</v>
      </c>
      <c r="E40" s="34" t="str">
        <f>VLOOKUP(B40,Dane!$A$1:$G$1001,6,FALSE)</f>
        <v>wynajem</v>
      </c>
      <c r="F40" s="34">
        <f t="shared" si="0"/>
        <v>9.98</v>
      </c>
    </row>
    <row r="41" spans="1:6" x14ac:dyDescent="0.3">
      <c r="A41" s="34">
        <v>32</v>
      </c>
      <c r="B41" s="34">
        <v>32</v>
      </c>
      <c r="C41" s="34" t="s">
        <v>54</v>
      </c>
      <c r="D41" s="34">
        <v>24</v>
      </c>
      <c r="E41" s="34" t="str">
        <f>VLOOKUP(B41,Dane!$A$1:$G$1001,6,FALSE)</f>
        <v>własność</v>
      </c>
      <c r="F41" s="34">
        <f t="shared" si="0"/>
        <v>9.98</v>
      </c>
    </row>
    <row r="42" spans="1:6" x14ac:dyDescent="0.3">
      <c r="A42" s="34">
        <v>33</v>
      </c>
      <c r="B42" s="34">
        <v>340</v>
      </c>
      <c r="C42" s="34" t="s">
        <v>54</v>
      </c>
      <c r="D42" s="34">
        <v>10</v>
      </c>
      <c r="E42" s="34" t="str">
        <f>VLOOKUP(B42,Dane!$A$1:$G$1001,6,FALSE)</f>
        <v>własność</v>
      </c>
      <c r="F42" s="34">
        <f t="shared" si="0"/>
        <v>9.98</v>
      </c>
    </row>
    <row r="43" spans="1:6" x14ac:dyDescent="0.3">
      <c r="A43" s="34">
        <v>34</v>
      </c>
      <c r="B43" s="34">
        <v>785</v>
      </c>
      <c r="C43" s="34" t="s">
        <v>54</v>
      </c>
      <c r="D43" s="34">
        <v>20</v>
      </c>
      <c r="E43" s="34" t="str">
        <f>VLOOKUP(B43,Dane!$A$1:$G$1001,6,FALSE)</f>
        <v>własność</v>
      </c>
      <c r="F43" s="34">
        <f t="shared" si="0"/>
        <v>9.98</v>
      </c>
    </row>
    <row r="44" spans="1:6" x14ac:dyDescent="0.3">
      <c r="A44" s="34">
        <v>35</v>
      </c>
      <c r="B44" s="34">
        <v>454</v>
      </c>
      <c r="C44" s="34" t="s">
        <v>54</v>
      </c>
      <c r="D44" s="34">
        <v>24</v>
      </c>
      <c r="E44" s="34" t="str">
        <f>VLOOKUP(B44,Dane!$A$1:$G$1001,6,FALSE)</f>
        <v>własność</v>
      </c>
      <c r="F44" s="34">
        <f t="shared" si="0"/>
        <v>9.98</v>
      </c>
    </row>
    <row r="45" spans="1:6" x14ac:dyDescent="0.3">
      <c r="A45" s="34">
        <v>36</v>
      </c>
      <c r="B45" s="34">
        <v>285</v>
      </c>
      <c r="C45" s="34" t="s">
        <v>54</v>
      </c>
      <c r="D45" s="34">
        <v>24</v>
      </c>
      <c r="E45" s="34" t="str">
        <f>VLOOKUP(B45,Dane!$A$1:$G$1001,6,FALSE)</f>
        <v>własność</v>
      </c>
      <c r="F45" s="34">
        <f t="shared" si="0"/>
        <v>9.98</v>
      </c>
    </row>
    <row r="46" spans="1:6" x14ac:dyDescent="0.3">
      <c r="A46" s="34">
        <v>37</v>
      </c>
      <c r="B46" s="34">
        <v>108</v>
      </c>
      <c r="C46" s="34" t="s">
        <v>54</v>
      </c>
      <c r="D46" s="34">
        <v>12</v>
      </c>
      <c r="E46" s="34" t="str">
        <f>VLOOKUP(B46,Dane!$A$1:$G$1001,6,FALSE)</f>
        <v>własność</v>
      </c>
      <c r="F46" s="34">
        <f t="shared" si="0"/>
        <v>9.98</v>
      </c>
    </row>
    <row r="47" spans="1:6" x14ac:dyDescent="0.3">
      <c r="A47" s="34">
        <v>38</v>
      </c>
      <c r="B47" s="34">
        <v>160</v>
      </c>
      <c r="C47" s="34" t="s">
        <v>54</v>
      </c>
      <c r="D47" s="34">
        <v>6</v>
      </c>
      <c r="E47" s="34" t="str">
        <f>VLOOKUP(B47,Dane!$A$1:$G$1001,6,FALSE)</f>
        <v>własność</v>
      </c>
      <c r="F47" s="34">
        <f t="shared" si="0"/>
        <v>9.98</v>
      </c>
    </row>
    <row r="48" spans="1:6" x14ac:dyDescent="0.3">
      <c r="A48" s="34">
        <v>39</v>
      </c>
      <c r="B48" s="34">
        <v>393</v>
      </c>
      <c r="C48" s="34" t="s">
        <v>54</v>
      </c>
      <c r="D48" s="34">
        <v>36</v>
      </c>
      <c r="E48" s="34" t="str">
        <f>VLOOKUP(B48,Dane!$A$1:$G$1001,6,FALSE)</f>
        <v>za darmo</v>
      </c>
      <c r="F48" s="34">
        <f t="shared" si="0"/>
        <v>9.98</v>
      </c>
    </row>
    <row r="49" spans="1:6" x14ac:dyDescent="0.3">
      <c r="A49" s="34">
        <v>40</v>
      </c>
      <c r="B49" s="34">
        <v>378</v>
      </c>
      <c r="C49" s="34" t="s">
        <v>54</v>
      </c>
      <c r="D49" s="34">
        <v>7</v>
      </c>
      <c r="E49" s="34" t="str">
        <f>VLOOKUP(B49,Dane!$A$1:$G$1001,6,FALSE)</f>
        <v>za darmo</v>
      </c>
      <c r="F49" s="34">
        <f t="shared" si="0"/>
        <v>9.98</v>
      </c>
    </row>
    <row r="50" spans="1:6" x14ac:dyDescent="0.3">
      <c r="A50" s="34">
        <v>41</v>
      </c>
      <c r="B50" s="34">
        <v>477</v>
      </c>
      <c r="C50" s="34" t="s">
        <v>54</v>
      </c>
      <c r="D50" s="34">
        <v>39</v>
      </c>
      <c r="E50" s="34" t="str">
        <f>VLOOKUP(B50,Dane!$A$1:$G$1001,6,FALSE)</f>
        <v>własność</v>
      </c>
      <c r="F50" s="34">
        <f t="shared" si="0"/>
        <v>9.98</v>
      </c>
    </row>
    <row r="51" spans="1:6" x14ac:dyDescent="0.3">
      <c r="A51" s="34">
        <v>42</v>
      </c>
      <c r="B51" s="34">
        <v>994</v>
      </c>
      <c r="C51" s="34" t="s">
        <v>54</v>
      </c>
      <c r="D51" s="34">
        <v>36</v>
      </c>
      <c r="E51" s="34" t="str">
        <f>VLOOKUP(B51,Dane!$A$1:$G$1001,6,FALSE)</f>
        <v>własność</v>
      </c>
      <c r="F51" s="34">
        <f t="shared" si="0"/>
        <v>9.98</v>
      </c>
    </row>
    <row r="52" spans="1:6" x14ac:dyDescent="0.3">
      <c r="A52" s="34">
        <v>43</v>
      </c>
      <c r="B52" s="34">
        <v>126</v>
      </c>
      <c r="C52" s="34" t="s">
        <v>54</v>
      </c>
      <c r="D52" s="34">
        <v>12</v>
      </c>
      <c r="E52" s="34" t="str">
        <f>VLOOKUP(B52,Dane!$A$1:$G$1001,6,FALSE)</f>
        <v>własność</v>
      </c>
      <c r="F52" s="34">
        <f t="shared" si="0"/>
        <v>9.98</v>
      </c>
    </row>
    <row r="53" spans="1:6" x14ac:dyDescent="0.3">
      <c r="A53" s="34">
        <v>44</v>
      </c>
      <c r="B53" s="34">
        <v>24</v>
      </c>
      <c r="C53" s="34" t="s">
        <v>54</v>
      </c>
      <c r="D53" s="34">
        <v>12</v>
      </c>
      <c r="E53" s="34" t="str">
        <f>VLOOKUP(B53,Dane!$A$1:$G$1001,6,FALSE)</f>
        <v>własność</v>
      </c>
      <c r="F53" s="34">
        <f t="shared" si="0"/>
        <v>9.98</v>
      </c>
    </row>
    <row r="54" spans="1:6" x14ac:dyDescent="0.3">
      <c r="A54" s="34">
        <v>45</v>
      </c>
      <c r="B54" s="34">
        <v>443</v>
      </c>
      <c r="C54" s="34" t="s">
        <v>54</v>
      </c>
      <c r="D54" s="34">
        <v>20</v>
      </c>
      <c r="E54" s="34" t="str">
        <f>VLOOKUP(B54,Dane!$A$1:$G$1001,6,FALSE)</f>
        <v>własność</v>
      </c>
      <c r="F54" s="34">
        <f t="shared" si="0"/>
        <v>9.98</v>
      </c>
    </row>
    <row r="55" spans="1:6" x14ac:dyDescent="0.3">
      <c r="A55" s="34">
        <v>46</v>
      </c>
      <c r="B55" s="34">
        <v>700</v>
      </c>
      <c r="C55" s="34" t="s">
        <v>54</v>
      </c>
      <c r="D55" s="34">
        <v>15</v>
      </c>
      <c r="E55" s="34" t="str">
        <f>VLOOKUP(B55,Dane!$A$1:$G$1001,6,FALSE)</f>
        <v>wynajem</v>
      </c>
      <c r="F55" s="34">
        <f t="shared" si="0"/>
        <v>9.98</v>
      </c>
    </row>
    <row r="56" spans="1:6" x14ac:dyDescent="0.3">
      <c r="A56" s="34">
        <v>47</v>
      </c>
      <c r="B56" s="34">
        <v>503</v>
      </c>
      <c r="C56" s="34" t="s">
        <v>54</v>
      </c>
      <c r="D56" s="34">
        <v>9</v>
      </c>
      <c r="E56" s="34" t="str">
        <f>VLOOKUP(B56,Dane!$A$1:$G$1001,6,FALSE)</f>
        <v>własność</v>
      </c>
      <c r="F56" s="34">
        <f t="shared" si="0"/>
        <v>9.98</v>
      </c>
    </row>
    <row r="57" spans="1:6" x14ac:dyDescent="0.3">
      <c r="A57" s="34">
        <v>48</v>
      </c>
      <c r="B57" s="34">
        <v>283</v>
      </c>
      <c r="C57" s="34" t="s">
        <v>54</v>
      </c>
      <c r="D57" s="34">
        <v>18</v>
      </c>
      <c r="E57" s="34" t="str">
        <f>VLOOKUP(B57,Dane!$A$1:$G$1001,6,FALSE)</f>
        <v>własność</v>
      </c>
      <c r="F57" s="34">
        <f t="shared" si="0"/>
        <v>9.98</v>
      </c>
    </row>
    <row r="58" spans="1:6" x14ac:dyDescent="0.3">
      <c r="A58" s="34">
        <v>49</v>
      </c>
      <c r="B58" s="34">
        <v>23</v>
      </c>
      <c r="C58" s="34" t="s">
        <v>54</v>
      </c>
      <c r="D58" s="34">
        <v>10</v>
      </c>
      <c r="E58" s="34" t="str">
        <f>VLOOKUP(B58,Dane!$A$1:$G$1001,6,FALSE)</f>
        <v>wynajem</v>
      </c>
      <c r="F58" s="34">
        <f t="shared" si="0"/>
        <v>9.98</v>
      </c>
    </row>
    <row r="59" spans="1:6" x14ac:dyDescent="0.3">
      <c r="A59" s="34">
        <v>50</v>
      </c>
      <c r="B59" s="34">
        <v>479</v>
      </c>
      <c r="C59" s="34" t="s">
        <v>54</v>
      </c>
      <c r="D59" s="34">
        <v>12</v>
      </c>
      <c r="E59" s="34" t="str">
        <f>VLOOKUP(B59,Dane!$A$1:$G$1001,6,FALSE)</f>
        <v>własność</v>
      </c>
      <c r="F59" s="34">
        <f t="shared" si="0"/>
        <v>9.98</v>
      </c>
    </row>
    <row r="60" spans="1:6" x14ac:dyDescent="0.3">
      <c r="A60" s="34">
        <v>51</v>
      </c>
      <c r="B60" s="34">
        <v>553</v>
      </c>
      <c r="C60" s="34" t="s">
        <v>55</v>
      </c>
      <c r="D60" s="34">
        <v>48</v>
      </c>
      <c r="E60" s="34" t="str">
        <f>VLOOKUP(B60,Dane!$A$1:$G$1001,6,FALSE)</f>
        <v>własność</v>
      </c>
      <c r="F60" s="34">
        <f t="shared" si="0"/>
        <v>3.82</v>
      </c>
    </row>
    <row r="61" spans="1:6" x14ac:dyDescent="0.3">
      <c r="A61" s="34">
        <v>52</v>
      </c>
      <c r="B61" s="34">
        <v>590</v>
      </c>
      <c r="C61" s="34" t="s">
        <v>55</v>
      </c>
      <c r="D61" s="34">
        <v>12</v>
      </c>
      <c r="E61" s="34" t="str">
        <f>VLOOKUP(B61,Dane!$A$1:$G$1001,6,FALSE)</f>
        <v>własność</v>
      </c>
      <c r="F61" s="34">
        <f t="shared" si="0"/>
        <v>3.82</v>
      </c>
    </row>
    <row r="62" spans="1:6" x14ac:dyDescent="0.3">
      <c r="A62" s="34">
        <v>53</v>
      </c>
      <c r="B62" s="34">
        <v>274</v>
      </c>
      <c r="C62" s="34" t="s">
        <v>55</v>
      </c>
      <c r="D62" s="34">
        <v>48</v>
      </c>
      <c r="E62" s="34" t="str">
        <f>VLOOKUP(B62,Dane!$A$1:$G$1001,6,FALSE)</f>
        <v>własność</v>
      </c>
      <c r="F62" s="34">
        <f t="shared" si="0"/>
        <v>3.82</v>
      </c>
    </row>
    <row r="63" spans="1:6" x14ac:dyDescent="0.3">
      <c r="A63" s="34">
        <v>54</v>
      </c>
      <c r="B63" s="34">
        <v>399</v>
      </c>
      <c r="C63" s="34" t="s">
        <v>55</v>
      </c>
      <c r="D63" s="34">
        <v>12</v>
      </c>
      <c r="E63" s="34" t="str">
        <f>VLOOKUP(B63,Dane!$A$1:$G$1001,6,FALSE)</f>
        <v>wynajem</v>
      </c>
      <c r="F63" s="34">
        <f t="shared" si="0"/>
        <v>3.82</v>
      </c>
    </row>
    <row r="64" spans="1:6" x14ac:dyDescent="0.3">
      <c r="A64" s="34">
        <v>55</v>
      </c>
      <c r="B64" s="34">
        <v>191</v>
      </c>
      <c r="C64" s="34" t="s">
        <v>55</v>
      </c>
      <c r="D64" s="34">
        <v>24</v>
      </c>
      <c r="E64" s="34" t="str">
        <f>VLOOKUP(B64,Dane!$A$1:$G$1001,6,FALSE)</f>
        <v>własność</v>
      </c>
      <c r="F64" s="34">
        <f t="shared" si="0"/>
        <v>3.82</v>
      </c>
    </row>
    <row r="65" spans="1:6" x14ac:dyDescent="0.3">
      <c r="A65" s="34">
        <v>56</v>
      </c>
      <c r="B65" s="34">
        <v>138</v>
      </c>
      <c r="C65" s="34" t="s">
        <v>55</v>
      </c>
      <c r="D65" s="34">
        <v>12</v>
      </c>
      <c r="E65" s="34" t="str">
        <f>VLOOKUP(B65,Dane!$A$1:$G$1001,6,FALSE)</f>
        <v>własność</v>
      </c>
      <c r="F65" s="34">
        <f t="shared" si="0"/>
        <v>3.82</v>
      </c>
    </row>
    <row r="66" spans="1:6" x14ac:dyDescent="0.3">
      <c r="A66" s="34">
        <v>57</v>
      </c>
      <c r="B66" s="34">
        <v>541</v>
      </c>
      <c r="C66" s="34" t="s">
        <v>55</v>
      </c>
      <c r="D66" s="34">
        <v>12</v>
      </c>
      <c r="E66" s="34" t="str">
        <f>VLOOKUP(B66,Dane!$A$1:$G$1001,6,FALSE)</f>
        <v>wynajem</v>
      </c>
      <c r="F66" s="34">
        <f t="shared" si="0"/>
        <v>3.82</v>
      </c>
    </row>
    <row r="67" spans="1:6" x14ac:dyDescent="0.3">
      <c r="A67" s="34">
        <v>58</v>
      </c>
      <c r="B67" s="34">
        <v>475</v>
      </c>
      <c r="C67" s="34" t="s">
        <v>55</v>
      </c>
      <c r="D67" s="34">
        <v>18</v>
      </c>
      <c r="E67" s="34" t="str">
        <f>VLOOKUP(B67,Dane!$A$1:$G$1001,6,FALSE)</f>
        <v>własność</v>
      </c>
      <c r="F67" s="34">
        <f t="shared" si="0"/>
        <v>3.82</v>
      </c>
    </row>
    <row r="68" spans="1:6" x14ac:dyDescent="0.3">
      <c r="A68" s="34">
        <v>59</v>
      </c>
      <c r="B68" s="34">
        <v>231</v>
      </c>
      <c r="C68" s="34" t="s">
        <v>55</v>
      </c>
      <c r="D68" s="34">
        <v>36</v>
      </c>
      <c r="E68" s="34" t="str">
        <f>VLOOKUP(B68,Dane!$A$1:$G$1001,6,FALSE)</f>
        <v>własność</v>
      </c>
      <c r="F68" s="34">
        <f t="shared" si="0"/>
        <v>3.82</v>
      </c>
    </row>
    <row r="69" spans="1:6" x14ac:dyDescent="0.3">
      <c r="A69" s="34">
        <v>60</v>
      </c>
      <c r="B69" s="34">
        <v>598</v>
      </c>
      <c r="C69" s="34" t="s">
        <v>55</v>
      </c>
      <c r="D69" s="34">
        <v>24</v>
      </c>
      <c r="E69" s="34" t="str">
        <f>VLOOKUP(B69,Dane!$A$1:$G$1001,6,FALSE)</f>
        <v>własność</v>
      </c>
      <c r="F69" s="34">
        <f t="shared" si="0"/>
        <v>3.82</v>
      </c>
    </row>
    <row r="70" spans="1:6" x14ac:dyDescent="0.3">
      <c r="A70" s="34">
        <v>61</v>
      </c>
      <c r="B70" s="34">
        <v>290</v>
      </c>
      <c r="C70" s="34" t="s">
        <v>55</v>
      </c>
      <c r="D70" s="34">
        <v>24</v>
      </c>
      <c r="E70" s="34" t="str">
        <f>VLOOKUP(B70,Dane!$A$1:$G$1001,6,FALSE)</f>
        <v>własność</v>
      </c>
      <c r="F70" s="34">
        <f t="shared" si="0"/>
        <v>3.82</v>
      </c>
    </row>
    <row r="71" spans="1:6" x14ac:dyDescent="0.3">
      <c r="A71" s="34">
        <v>62</v>
      </c>
      <c r="B71" s="34">
        <v>132</v>
      </c>
      <c r="C71" s="34" t="s">
        <v>55</v>
      </c>
      <c r="D71" s="34">
        <v>36</v>
      </c>
      <c r="E71" s="34" t="str">
        <f>VLOOKUP(B71,Dane!$A$1:$G$1001,6,FALSE)</f>
        <v>własność</v>
      </c>
      <c r="F71" s="34">
        <f t="shared" si="0"/>
        <v>3.82</v>
      </c>
    </row>
    <row r="72" spans="1:6" x14ac:dyDescent="0.3">
      <c r="A72" s="34">
        <v>63</v>
      </c>
      <c r="B72" s="34">
        <v>760</v>
      </c>
      <c r="C72" s="34" t="s">
        <v>55</v>
      </c>
      <c r="D72" s="34">
        <v>12</v>
      </c>
      <c r="E72" s="34" t="str">
        <f>VLOOKUP(B72,Dane!$A$1:$G$1001,6,FALSE)</f>
        <v>własność</v>
      </c>
      <c r="F72" s="34">
        <f t="shared" si="0"/>
        <v>3.82</v>
      </c>
    </row>
    <row r="73" spans="1:6" x14ac:dyDescent="0.3">
      <c r="A73" s="34">
        <v>64</v>
      </c>
      <c r="B73" s="34">
        <v>625</v>
      </c>
      <c r="C73" s="34" t="s">
        <v>55</v>
      </c>
      <c r="D73" s="34">
        <v>18</v>
      </c>
      <c r="E73" s="34" t="str">
        <f>VLOOKUP(B73,Dane!$A$1:$G$1001,6,FALSE)</f>
        <v>za darmo</v>
      </c>
      <c r="F73" s="34">
        <f t="shared" si="0"/>
        <v>3.82</v>
      </c>
    </row>
    <row r="74" spans="1:6" x14ac:dyDescent="0.3">
      <c r="A74" s="34">
        <v>65</v>
      </c>
      <c r="B74" s="34">
        <v>496</v>
      </c>
      <c r="C74" s="34" t="s">
        <v>55</v>
      </c>
      <c r="D74" s="34">
        <v>24</v>
      </c>
      <c r="E74" s="34" t="str">
        <f>VLOOKUP(B74,Dane!$A$1:$G$1001,6,FALSE)</f>
        <v>własność</v>
      </c>
      <c r="F74" s="34">
        <f t="shared" si="0"/>
        <v>3.82</v>
      </c>
    </row>
    <row r="75" spans="1:6" x14ac:dyDescent="0.3">
      <c r="A75" s="34">
        <v>66</v>
      </c>
      <c r="B75" s="34">
        <v>504</v>
      </c>
      <c r="C75" s="34" t="s">
        <v>55</v>
      </c>
      <c r="D75" s="34">
        <v>24</v>
      </c>
      <c r="E75" s="34" t="str">
        <f>VLOOKUP(B75,Dane!$A$1:$G$1001,6,FALSE)</f>
        <v>własność</v>
      </c>
      <c r="F75" s="34">
        <f t="shared" ref="F75:F138" si="5">VLOOKUP(C75,$H$10:$L$13,5,FALSE)</f>
        <v>3.82</v>
      </c>
    </row>
    <row r="76" spans="1:6" x14ac:dyDescent="0.3">
      <c r="A76" s="34">
        <v>67</v>
      </c>
      <c r="B76" s="34">
        <v>662</v>
      </c>
      <c r="C76" s="34" t="s">
        <v>55</v>
      </c>
      <c r="D76" s="34">
        <v>12</v>
      </c>
      <c r="E76" s="34" t="str">
        <f>VLOOKUP(B76,Dane!$A$1:$G$1001,6,FALSE)</f>
        <v>własność</v>
      </c>
      <c r="F76" s="34">
        <f t="shared" si="5"/>
        <v>3.82</v>
      </c>
    </row>
    <row r="77" spans="1:6" x14ac:dyDescent="0.3">
      <c r="A77" s="34">
        <v>68</v>
      </c>
      <c r="B77" s="34">
        <v>269</v>
      </c>
      <c r="C77" s="34" t="s">
        <v>55</v>
      </c>
      <c r="D77" s="34">
        <v>14</v>
      </c>
      <c r="E77" s="34" t="str">
        <f>VLOOKUP(B77,Dane!$A$1:$G$1001,6,FALSE)</f>
        <v>własność</v>
      </c>
      <c r="F77" s="34">
        <f t="shared" si="5"/>
        <v>3.82</v>
      </c>
    </row>
    <row r="78" spans="1:6" x14ac:dyDescent="0.3">
      <c r="A78" s="34">
        <v>69</v>
      </c>
      <c r="B78" s="34">
        <v>654</v>
      </c>
      <c r="C78" s="34" t="s">
        <v>55</v>
      </c>
      <c r="D78" s="34">
        <v>36</v>
      </c>
      <c r="E78" s="34" t="str">
        <f>VLOOKUP(B78,Dane!$A$1:$G$1001,6,FALSE)</f>
        <v>własność</v>
      </c>
      <c r="F78" s="34">
        <f t="shared" si="5"/>
        <v>3.82</v>
      </c>
    </row>
    <row r="79" spans="1:6" x14ac:dyDescent="0.3">
      <c r="A79" s="34">
        <v>70</v>
      </c>
      <c r="B79" s="34">
        <v>764</v>
      </c>
      <c r="C79" s="34" t="s">
        <v>55</v>
      </c>
      <c r="D79" s="34">
        <v>21</v>
      </c>
      <c r="E79" s="34" t="str">
        <f>VLOOKUP(B79,Dane!$A$1:$G$1001,6,FALSE)</f>
        <v>za darmo</v>
      </c>
      <c r="F79" s="34">
        <f t="shared" si="5"/>
        <v>3.82</v>
      </c>
    </row>
    <row r="80" spans="1:6" x14ac:dyDescent="0.3">
      <c r="A80" s="34">
        <v>71</v>
      </c>
      <c r="B80" s="34">
        <v>984</v>
      </c>
      <c r="C80" s="34" t="s">
        <v>55</v>
      </c>
      <c r="D80" s="34">
        <v>36</v>
      </c>
      <c r="E80" s="34" t="str">
        <f>VLOOKUP(B80,Dane!$A$1:$G$1001,6,FALSE)</f>
        <v>własność</v>
      </c>
      <c r="F80" s="34">
        <f t="shared" si="5"/>
        <v>3.82</v>
      </c>
    </row>
    <row r="81" spans="1:6" x14ac:dyDescent="0.3">
      <c r="A81" s="34">
        <v>72</v>
      </c>
      <c r="B81" s="34">
        <v>523</v>
      </c>
      <c r="C81" s="34" t="s">
        <v>55</v>
      </c>
      <c r="D81" s="34">
        <v>48</v>
      </c>
      <c r="E81" s="34" t="str">
        <f>VLOOKUP(B81,Dane!$A$1:$G$1001,6,FALSE)</f>
        <v>za darmo</v>
      </c>
      <c r="F81" s="34">
        <f t="shared" si="5"/>
        <v>3.82</v>
      </c>
    </row>
    <row r="82" spans="1:6" x14ac:dyDescent="0.3">
      <c r="A82" s="34">
        <v>73</v>
      </c>
      <c r="B82" s="34">
        <v>813</v>
      </c>
      <c r="C82" s="34" t="s">
        <v>55</v>
      </c>
      <c r="D82" s="34">
        <v>36</v>
      </c>
      <c r="E82" s="34" t="str">
        <f>VLOOKUP(B82,Dane!$A$1:$G$1001,6,FALSE)</f>
        <v>własność</v>
      </c>
      <c r="F82" s="34">
        <f t="shared" si="5"/>
        <v>3.82</v>
      </c>
    </row>
    <row r="83" spans="1:6" x14ac:dyDescent="0.3">
      <c r="A83" s="34">
        <v>74</v>
      </c>
      <c r="B83" s="34">
        <v>107</v>
      </c>
      <c r="C83" s="34" t="s">
        <v>55</v>
      </c>
      <c r="D83" s="34">
        <v>18</v>
      </c>
      <c r="E83" s="34" t="str">
        <f>VLOOKUP(B83,Dane!$A$1:$G$1001,6,FALSE)</f>
        <v>własność</v>
      </c>
      <c r="F83" s="34">
        <f t="shared" si="5"/>
        <v>3.82</v>
      </c>
    </row>
    <row r="84" spans="1:6" x14ac:dyDescent="0.3">
      <c r="A84" s="34">
        <v>75</v>
      </c>
      <c r="B84" s="34">
        <v>640</v>
      </c>
      <c r="C84" s="34" t="s">
        <v>55</v>
      </c>
      <c r="D84" s="34">
        <v>42</v>
      </c>
      <c r="E84" s="34" t="str">
        <f>VLOOKUP(B84,Dane!$A$1:$G$1001,6,FALSE)</f>
        <v>własność</v>
      </c>
      <c r="F84" s="34">
        <f t="shared" si="5"/>
        <v>3.82</v>
      </c>
    </row>
    <row r="85" spans="1:6" x14ac:dyDescent="0.3">
      <c r="A85" s="34">
        <v>76</v>
      </c>
      <c r="B85" s="34">
        <v>815</v>
      </c>
      <c r="C85" s="34" t="s">
        <v>55</v>
      </c>
      <c r="D85" s="34">
        <v>48</v>
      </c>
      <c r="E85" s="34" t="str">
        <f>VLOOKUP(B85,Dane!$A$1:$G$1001,6,FALSE)</f>
        <v>za darmo</v>
      </c>
      <c r="F85" s="34">
        <f t="shared" si="5"/>
        <v>3.82</v>
      </c>
    </row>
    <row r="86" spans="1:6" x14ac:dyDescent="0.3">
      <c r="A86" s="34">
        <v>77</v>
      </c>
      <c r="B86" s="34">
        <v>854</v>
      </c>
      <c r="C86" s="34" t="s">
        <v>55</v>
      </c>
      <c r="D86" s="34">
        <v>18</v>
      </c>
      <c r="E86" s="34" t="str">
        <f>VLOOKUP(B86,Dane!$A$1:$G$1001,6,FALSE)</f>
        <v>za darmo</v>
      </c>
      <c r="F86" s="34">
        <f t="shared" si="5"/>
        <v>3.82</v>
      </c>
    </row>
    <row r="87" spans="1:6" x14ac:dyDescent="0.3">
      <c r="A87" s="34">
        <v>78</v>
      </c>
      <c r="B87" s="34">
        <v>308</v>
      </c>
      <c r="C87" s="34" t="s">
        <v>55</v>
      </c>
      <c r="D87" s="34">
        <v>12</v>
      </c>
      <c r="E87" s="34" t="str">
        <f>VLOOKUP(B87,Dane!$A$1:$G$1001,6,FALSE)</f>
        <v>własność</v>
      </c>
      <c r="F87" s="34">
        <f t="shared" si="5"/>
        <v>3.82</v>
      </c>
    </row>
    <row r="88" spans="1:6" x14ac:dyDescent="0.3">
      <c r="A88" s="34">
        <v>79</v>
      </c>
      <c r="B88" s="34">
        <v>599</v>
      </c>
      <c r="C88" s="34" t="s">
        <v>55</v>
      </c>
      <c r="D88" s="34">
        <v>18</v>
      </c>
      <c r="E88" s="34" t="str">
        <f>VLOOKUP(B88,Dane!$A$1:$G$1001,6,FALSE)</f>
        <v>własność</v>
      </c>
      <c r="F88" s="34">
        <f t="shared" si="5"/>
        <v>3.82</v>
      </c>
    </row>
    <row r="89" spans="1:6" x14ac:dyDescent="0.3">
      <c r="A89" s="34">
        <v>80</v>
      </c>
      <c r="B89" s="34">
        <v>721</v>
      </c>
      <c r="C89" s="34" t="s">
        <v>55</v>
      </c>
      <c r="D89" s="34">
        <v>9</v>
      </c>
      <c r="E89" s="34" t="str">
        <f>VLOOKUP(B89,Dane!$A$1:$G$1001,6,FALSE)</f>
        <v>własność</v>
      </c>
      <c r="F89" s="34">
        <f t="shared" si="5"/>
        <v>3.82</v>
      </c>
    </row>
    <row r="90" spans="1:6" x14ac:dyDescent="0.3">
      <c r="A90" s="34">
        <v>81</v>
      </c>
      <c r="B90" s="34">
        <v>928</v>
      </c>
      <c r="C90" s="34" t="s">
        <v>55</v>
      </c>
      <c r="D90" s="34">
        <v>48</v>
      </c>
      <c r="E90" s="34" t="str">
        <f>VLOOKUP(B90,Dane!$A$1:$G$1001,6,FALSE)</f>
        <v>za darmo</v>
      </c>
      <c r="F90" s="34">
        <f t="shared" si="5"/>
        <v>3.82</v>
      </c>
    </row>
    <row r="91" spans="1:6" x14ac:dyDescent="0.3">
      <c r="A91" s="34">
        <v>82</v>
      </c>
      <c r="B91" s="34">
        <v>354</v>
      </c>
      <c r="C91" s="34" t="s">
        <v>55</v>
      </c>
      <c r="D91" s="34">
        <v>12</v>
      </c>
      <c r="E91" s="34" t="str">
        <f>VLOOKUP(B91,Dane!$A$1:$G$1001,6,FALSE)</f>
        <v>wynajem</v>
      </c>
      <c r="F91" s="34">
        <f t="shared" si="5"/>
        <v>3.82</v>
      </c>
    </row>
    <row r="92" spans="1:6" x14ac:dyDescent="0.3">
      <c r="A92" s="34">
        <v>83</v>
      </c>
      <c r="B92" s="34">
        <v>292</v>
      </c>
      <c r="C92" s="34" t="s">
        <v>55</v>
      </c>
      <c r="D92" s="34">
        <v>36</v>
      </c>
      <c r="E92" s="34" t="str">
        <f>VLOOKUP(B92,Dane!$A$1:$G$1001,6,FALSE)</f>
        <v>wynajem</v>
      </c>
      <c r="F92" s="34">
        <f t="shared" si="5"/>
        <v>3.82</v>
      </c>
    </row>
    <row r="93" spans="1:6" x14ac:dyDescent="0.3">
      <c r="A93" s="34">
        <v>84</v>
      </c>
      <c r="B93" s="34">
        <v>632</v>
      </c>
      <c r="C93" s="34" t="s">
        <v>55</v>
      </c>
      <c r="D93" s="34">
        <v>18</v>
      </c>
      <c r="E93" s="34" t="str">
        <f>VLOOKUP(B93,Dane!$A$1:$G$1001,6,FALSE)</f>
        <v>własność</v>
      </c>
      <c r="F93" s="34">
        <f t="shared" si="5"/>
        <v>3.82</v>
      </c>
    </row>
    <row r="94" spans="1:6" x14ac:dyDescent="0.3">
      <c r="A94" s="34">
        <v>85</v>
      </c>
      <c r="B94" s="34">
        <v>236</v>
      </c>
      <c r="C94" s="34" t="s">
        <v>55</v>
      </c>
      <c r="D94" s="34">
        <v>24</v>
      </c>
      <c r="E94" s="34" t="str">
        <f>VLOOKUP(B94,Dane!$A$1:$G$1001,6,FALSE)</f>
        <v>własność</v>
      </c>
      <c r="F94" s="34">
        <f t="shared" si="5"/>
        <v>3.82</v>
      </c>
    </row>
    <row r="95" spans="1:6" x14ac:dyDescent="0.3">
      <c r="A95" s="34">
        <v>86</v>
      </c>
      <c r="B95" s="34">
        <v>243</v>
      </c>
      <c r="C95" s="34" t="s">
        <v>55</v>
      </c>
      <c r="D95" s="34">
        <v>48</v>
      </c>
      <c r="E95" s="34" t="str">
        <f>VLOOKUP(B95,Dane!$A$1:$G$1001,6,FALSE)</f>
        <v>za darmo</v>
      </c>
      <c r="F95" s="34">
        <f t="shared" si="5"/>
        <v>3.82</v>
      </c>
    </row>
    <row r="96" spans="1:6" x14ac:dyDescent="0.3">
      <c r="A96" s="34">
        <v>87</v>
      </c>
      <c r="B96" s="34">
        <v>628</v>
      </c>
      <c r="C96" s="34" t="s">
        <v>55</v>
      </c>
      <c r="D96" s="34">
        <v>9</v>
      </c>
      <c r="E96" s="34" t="str">
        <f>VLOOKUP(B96,Dane!$A$1:$G$1001,6,FALSE)</f>
        <v>własność</v>
      </c>
      <c r="F96" s="34">
        <f t="shared" si="5"/>
        <v>3.82</v>
      </c>
    </row>
    <row r="97" spans="1:6" x14ac:dyDescent="0.3">
      <c r="A97" s="34">
        <v>88</v>
      </c>
      <c r="B97" s="34">
        <v>379</v>
      </c>
      <c r="C97" s="34" t="s">
        <v>55</v>
      </c>
      <c r="D97" s="34">
        <v>36</v>
      </c>
      <c r="E97" s="34" t="str">
        <f>VLOOKUP(B97,Dane!$A$1:$G$1001,6,FALSE)</f>
        <v>za darmo</v>
      </c>
      <c r="F97" s="34">
        <f t="shared" si="5"/>
        <v>3.82</v>
      </c>
    </row>
    <row r="98" spans="1:6" x14ac:dyDescent="0.3">
      <c r="A98" s="34">
        <v>89</v>
      </c>
      <c r="B98" s="34">
        <v>96</v>
      </c>
      <c r="C98" s="34" t="s">
        <v>55</v>
      </c>
      <c r="D98" s="34">
        <v>54</v>
      </c>
      <c r="E98" s="34" t="str">
        <f>VLOOKUP(B98,Dane!$A$1:$G$1001,6,FALSE)</f>
        <v>wynajem</v>
      </c>
      <c r="F98" s="34">
        <f t="shared" si="5"/>
        <v>3.82</v>
      </c>
    </row>
    <row r="99" spans="1:6" x14ac:dyDescent="0.3">
      <c r="A99" s="34">
        <v>90</v>
      </c>
      <c r="B99" s="34">
        <v>238</v>
      </c>
      <c r="C99" s="34" t="s">
        <v>55</v>
      </c>
      <c r="D99" s="34">
        <v>21</v>
      </c>
      <c r="E99" s="34" t="str">
        <f>VLOOKUP(B99,Dane!$A$1:$G$1001,6,FALSE)</f>
        <v>wynajem</v>
      </c>
      <c r="F99" s="34">
        <f t="shared" si="5"/>
        <v>3.82</v>
      </c>
    </row>
    <row r="100" spans="1:6" x14ac:dyDescent="0.3">
      <c r="A100" s="34">
        <v>91</v>
      </c>
      <c r="B100" s="34">
        <v>314</v>
      </c>
      <c r="C100" s="34" t="s">
        <v>55</v>
      </c>
      <c r="D100" s="34">
        <v>12</v>
      </c>
      <c r="E100" s="34" t="str">
        <f>VLOOKUP(B100,Dane!$A$1:$G$1001,6,FALSE)</f>
        <v>własność</v>
      </c>
      <c r="F100" s="34">
        <f t="shared" si="5"/>
        <v>3.82</v>
      </c>
    </row>
    <row r="101" spans="1:6" x14ac:dyDescent="0.3">
      <c r="A101" s="34">
        <v>92</v>
      </c>
      <c r="B101" s="34">
        <v>879</v>
      </c>
      <c r="C101" s="34" t="s">
        <v>55</v>
      </c>
      <c r="D101" s="34">
        <v>9</v>
      </c>
      <c r="E101" s="34" t="str">
        <f>VLOOKUP(B101,Dane!$A$1:$G$1001,6,FALSE)</f>
        <v>za darmo</v>
      </c>
      <c r="F101" s="34">
        <f t="shared" si="5"/>
        <v>3.82</v>
      </c>
    </row>
    <row r="102" spans="1:6" x14ac:dyDescent="0.3">
      <c r="A102" s="34">
        <v>93</v>
      </c>
      <c r="B102" s="34">
        <v>622</v>
      </c>
      <c r="C102" s="34" t="s">
        <v>55</v>
      </c>
      <c r="D102" s="34">
        <v>18</v>
      </c>
      <c r="E102" s="34" t="str">
        <f>VLOOKUP(B102,Dane!$A$1:$G$1001,6,FALSE)</f>
        <v>własność</v>
      </c>
      <c r="F102" s="34">
        <f t="shared" si="5"/>
        <v>3.82</v>
      </c>
    </row>
    <row r="103" spans="1:6" x14ac:dyDescent="0.3">
      <c r="A103" s="34">
        <v>94</v>
      </c>
      <c r="B103" s="34">
        <v>229</v>
      </c>
      <c r="C103" s="34" t="s">
        <v>55</v>
      </c>
      <c r="D103" s="34">
        <v>9</v>
      </c>
      <c r="E103" s="34" t="str">
        <f>VLOOKUP(B103,Dane!$A$1:$G$1001,6,FALSE)</f>
        <v>własność</v>
      </c>
      <c r="F103" s="34">
        <f t="shared" si="5"/>
        <v>3.82</v>
      </c>
    </row>
    <row r="104" spans="1:6" x14ac:dyDescent="0.3">
      <c r="A104" s="34">
        <v>95</v>
      </c>
      <c r="B104" s="34">
        <v>829</v>
      </c>
      <c r="C104" s="34" t="s">
        <v>55</v>
      </c>
      <c r="D104" s="34">
        <v>36</v>
      </c>
      <c r="E104" s="34" t="str">
        <f>VLOOKUP(B104,Dane!$A$1:$G$1001,6,FALSE)</f>
        <v>za darmo</v>
      </c>
      <c r="F104" s="34">
        <f t="shared" si="5"/>
        <v>3.82</v>
      </c>
    </row>
    <row r="105" spans="1:6" x14ac:dyDescent="0.3">
      <c r="A105" s="34">
        <v>96</v>
      </c>
      <c r="B105" s="34">
        <v>814</v>
      </c>
      <c r="C105" s="34" t="s">
        <v>55</v>
      </c>
      <c r="D105" s="34">
        <v>48</v>
      </c>
      <c r="E105" s="34" t="str">
        <f>VLOOKUP(B105,Dane!$A$1:$G$1001,6,FALSE)</f>
        <v>własność</v>
      </c>
      <c r="F105" s="34">
        <f t="shared" si="5"/>
        <v>3.82</v>
      </c>
    </row>
    <row r="106" spans="1:6" x14ac:dyDescent="0.3">
      <c r="A106" s="34">
        <v>97</v>
      </c>
      <c r="B106" s="34">
        <v>556</v>
      </c>
      <c r="C106" s="34" t="s">
        <v>55</v>
      </c>
      <c r="D106" s="34">
        <v>12</v>
      </c>
      <c r="E106" s="34" t="str">
        <f>VLOOKUP(B106,Dane!$A$1:$G$1001,6,FALSE)</f>
        <v>własność</v>
      </c>
      <c r="F106" s="34">
        <f t="shared" si="5"/>
        <v>3.82</v>
      </c>
    </row>
    <row r="107" spans="1:6" x14ac:dyDescent="0.3">
      <c r="A107" s="34">
        <v>98</v>
      </c>
      <c r="B107" s="34">
        <v>949</v>
      </c>
      <c r="C107" s="34" t="s">
        <v>55</v>
      </c>
      <c r="D107" s="34">
        <v>18</v>
      </c>
      <c r="E107" s="34" t="str">
        <f>VLOOKUP(B107,Dane!$A$1:$G$1001,6,FALSE)</f>
        <v>własność</v>
      </c>
      <c r="F107" s="34">
        <f t="shared" si="5"/>
        <v>3.82</v>
      </c>
    </row>
    <row r="108" spans="1:6" x14ac:dyDescent="0.3">
      <c r="A108" s="34">
        <v>99</v>
      </c>
      <c r="B108" s="34">
        <v>36</v>
      </c>
      <c r="C108" s="34" t="s">
        <v>55</v>
      </c>
      <c r="D108" s="34">
        <v>45</v>
      </c>
      <c r="E108" s="34" t="str">
        <f>VLOOKUP(B108,Dane!$A$1:$G$1001,6,FALSE)</f>
        <v>własność</v>
      </c>
      <c r="F108" s="34">
        <f t="shared" si="5"/>
        <v>3.82</v>
      </c>
    </row>
    <row r="109" spans="1:6" x14ac:dyDescent="0.3">
      <c r="A109" s="34">
        <v>100</v>
      </c>
      <c r="B109" s="34">
        <v>305</v>
      </c>
      <c r="C109" s="34" t="s">
        <v>55</v>
      </c>
      <c r="D109" s="34">
        <v>48</v>
      </c>
      <c r="E109" s="34" t="str">
        <f>VLOOKUP(B109,Dane!$A$1:$G$1001,6,FALSE)</f>
        <v>za darmo</v>
      </c>
      <c r="F109" s="34">
        <f t="shared" si="5"/>
        <v>3.82</v>
      </c>
    </row>
    <row r="110" spans="1:6" x14ac:dyDescent="0.3">
      <c r="A110" s="34">
        <v>101</v>
      </c>
      <c r="B110" s="34">
        <v>733</v>
      </c>
      <c r="C110" s="34" t="s">
        <v>56</v>
      </c>
      <c r="D110" s="34">
        <v>8</v>
      </c>
      <c r="E110" s="34" t="str">
        <f>VLOOKUP(B110,Dane!$A$1:$G$1001,6,FALSE)</f>
        <v>własność</v>
      </c>
      <c r="F110" s="34">
        <f t="shared" si="5"/>
        <v>4.0199999999999996</v>
      </c>
    </row>
    <row r="111" spans="1:6" x14ac:dyDescent="0.3">
      <c r="A111" s="34">
        <v>102</v>
      </c>
      <c r="B111" s="34">
        <v>212</v>
      </c>
      <c r="C111" s="34" t="s">
        <v>56</v>
      </c>
      <c r="D111" s="34">
        <v>36</v>
      </c>
      <c r="E111" s="34" t="str">
        <f>VLOOKUP(B111,Dane!$A$1:$G$1001,6,FALSE)</f>
        <v>własność</v>
      </c>
      <c r="F111" s="34">
        <f t="shared" si="5"/>
        <v>4.0199999999999996</v>
      </c>
    </row>
    <row r="112" spans="1:6" x14ac:dyDescent="0.3">
      <c r="A112" s="34">
        <v>103</v>
      </c>
      <c r="B112" s="34">
        <v>706</v>
      </c>
      <c r="C112" s="34" t="s">
        <v>56</v>
      </c>
      <c r="D112" s="34">
        <v>15</v>
      </c>
      <c r="E112" s="34" t="str">
        <f>VLOOKUP(B112,Dane!$A$1:$G$1001,6,FALSE)</f>
        <v>za darmo</v>
      </c>
      <c r="F112" s="34">
        <f t="shared" si="5"/>
        <v>4.0199999999999996</v>
      </c>
    </row>
    <row r="113" spans="1:6" x14ac:dyDescent="0.3">
      <c r="A113" s="34">
        <v>104</v>
      </c>
      <c r="B113" s="34">
        <v>538</v>
      </c>
      <c r="C113" s="34" t="s">
        <v>56</v>
      </c>
      <c r="D113" s="34">
        <v>18</v>
      </c>
      <c r="E113" s="34" t="str">
        <f>VLOOKUP(B113,Dane!$A$1:$G$1001,6,FALSE)</f>
        <v>własność</v>
      </c>
      <c r="F113" s="34">
        <f t="shared" si="5"/>
        <v>4.0199999999999996</v>
      </c>
    </row>
    <row r="114" spans="1:6" x14ac:dyDescent="0.3">
      <c r="A114" s="34">
        <v>105</v>
      </c>
      <c r="B114" s="34">
        <v>761</v>
      </c>
      <c r="C114" s="34" t="s">
        <v>56</v>
      </c>
      <c r="D114" s="34">
        <v>15</v>
      </c>
      <c r="E114" s="34" t="str">
        <f>VLOOKUP(B114,Dane!$A$1:$G$1001,6,FALSE)</f>
        <v>własność</v>
      </c>
      <c r="F114" s="34">
        <f t="shared" si="5"/>
        <v>4.0199999999999996</v>
      </c>
    </row>
    <row r="115" spans="1:6" x14ac:dyDescent="0.3">
      <c r="A115" s="34">
        <v>106</v>
      </c>
      <c r="B115" s="34">
        <v>370</v>
      </c>
      <c r="C115" s="34" t="s">
        <v>56</v>
      </c>
      <c r="D115" s="34">
        <v>18</v>
      </c>
      <c r="E115" s="34" t="str">
        <f>VLOOKUP(B115,Dane!$A$1:$G$1001,6,FALSE)</f>
        <v>wynajem</v>
      </c>
      <c r="F115" s="34">
        <f t="shared" si="5"/>
        <v>4.0199999999999996</v>
      </c>
    </row>
    <row r="116" spans="1:6" x14ac:dyDescent="0.3">
      <c r="A116" s="34">
        <v>107</v>
      </c>
      <c r="B116" s="34">
        <v>874</v>
      </c>
      <c r="C116" s="34" t="s">
        <v>56</v>
      </c>
      <c r="D116" s="34">
        <v>15</v>
      </c>
      <c r="E116" s="34" t="str">
        <f>VLOOKUP(B116,Dane!$A$1:$G$1001,6,FALSE)</f>
        <v>własność</v>
      </c>
      <c r="F116" s="34">
        <f t="shared" si="5"/>
        <v>4.0199999999999996</v>
      </c>
    </row>
    <row r="117" spans="1:6" x14ac:dyDescent="0.3">
      <c r="A117" s="34">
        <v>108</v>
      </c>
      <c r="B117" s="34">
        <v>50</v>
      </c>
      <c r="C117" s="34" t="s">
        <v>56</v>
      </c>
      <c r="D117" s="34">
        <v>12</v>
      </c>
      <c r="E117" s="34" t="str">
        <f>VLOOKUP(B117,Dane!$A$1:$G$1001,6,FALSE)</f>
        <v>własność</v>
      </c>
      <c r="F117" s="34">
        <f t="shared" si="5"/>
        <v>4.0199999999999996</v>
      </c>
    </row>
    <row r="118" spans="1:6" x14ac:dyDescent="0.3">
      <c r="A118" s="34">
        <v>109</v>
      </c>
      <c r="B118" s="34">
        <v>576</v>
      </c>
      <c r="C118" s="34" t="s">
        <v>56</v>
      </c>
      <c r="D118" s="34">
        <v>15</v>
      </c>
      <c r="E118" s="34" t="str">
        <f>VLOOKUP(B118,Dane!$A$1:$G$1001,6,FALSE)</f>
        <v>własność</v>
      </c>
      <c r="F118" s="34">
        <f t="shared" si="5"/>
        <v>4.0199999999999996</v>
      </c>
    </row>
    <row r="119" spans="1:6" x14ac:dyDescent="0.3">
      <c r="A119" s="34">
        <v>110</v>
      </c>
      <c r="B119" s="34">
        <v>516</v>
      </c>
      <c r="C119" s="34" t="s">
        <v>56</v>
      </c>
      <c r="D119" s="34">
        <v>6</v>
      </c>
      <c r="E119" s="34" t="str">
        <f>VLOOKUP(B119,Dane!$A$1:$G$1001,6,FALSE)</f>
        <v>własność</v>
      </c>
      <c r="F119" s="34">
        <f t="shared" si="5"/>
        <v>4.0199999999999996</v>
      </c>
    </row>
    <row r="120" spans="1:6" x14ac:dyDescent="0.3">
      <c r="A120" s="34">
        <v>111</v>
      </c>
      <c r="B120" s="34">
        <v>469</v>
      </c>
      <c r="C120" s="34" t="s">
        <v>56</v>
      </c>
      <c r="D120" s="34">
        <v>33</v>
      </c>
      <c r="E120" s="34" t="str">
        <f>VLOOKUP(B120,Dane!$A$1:$G$1001,6,FALSE)</f>
        <v>własność</v>
      </c>
      <c r="F120" s="34">
        <f t="shared" si="5"/>
        <v>4.0199999999999996</v>
      </c>
    </row>
    <row r="121" spans="1:6" x14ac:dyDescent="0.3">
      <c r="A121" s="34">
        <v>112</v>
      </c>
      <c r="B121" s="34">
        <v>346</v>
      </c>
      <c r="C121" s="34" t="s">
        <v>56</v>
      </c>
      <c r="D121" s="34">
        <v>15</v>
      </c>
      <c r="E121" s="34" t="str">
        <f>VLOOKUP(B121,Dane!$A$1:$G$1001,6,FALSE)</f>
        <v>własność</v>
      </c>
      <c r="F121" s="34">
        <f t="shared" si="5"/>
        <v>4.0199999999999996</v>
      </c>
    </row>
    <row r="122" spans="1:6" x14ac:dyDescent="0.3">
      <c r="A122" s="34">
        <v>113</v>
      </c>
      <c r="B122" s="34">
        <v>703</v>
      </c>
      <c r="C122" s="34" t="s">
        <v>56</v>
      </c>
      <c r="D122" s="34">
        <v>24</v>
      </c>
      <c r="E122" s="34" t="str">
        <f>VLOOKUP(B122,Dane!$A$1:$G$1001,6,FALSE)</f>
        <v>za darmo</v>
      </c>
      <c r="F122" s="34">
        <f t="shared" si="5"/>
        <v>4.0199999999999996</v>
      </c>
    </row>
    <row r="123" spans="1:6" x14ac:dyDescent="0.3">
      <c r="A123" s="34">
        <v>114</v>
      </c>
      <c r="B123" s="34">
        <v>172</v>
      </c>
      <c r="C123" s="34" t="s">
        <v>56</v>
      </c>
      <c r="D123" s="34">
        <v>12</v>
      </c>
      <c r="E123" s="34" t="str">
        <f>VLOOKUP(B123,Dane!$A$1:$G$1001,6,FALSE)</f>
        <v>własność</v>
      </c>
      <c r="F123" s="34">
        <f t="shared" si="5"/>
        <v>4.0199999999999996</v>
      </c>
    </row>
    <row r="124" spans="1:6" x14ac:dyDescent="0.3">
      <c r="A124" s="34">
        <v>115</v>
      </c>
      <c r="B124" s="34">
        <v>676</v>
      </c>
      <c r="C124" s="34" t="s">
        <v>56</v>
      </c>
      <c r="D124" s="34">
        <v>30</v>
      </c>
      <c r="E124" s="34" t="str">
        <f>VLOOKUP(B124,Dane!$A$1:$G$1001,6,FALSE)</f>
        <v>wynajem</v>
      </c>
      <c r="F124" s="34">
        <f t="shared" si="5"/>
        <v>4.0199999999999996</v>
      </c>
    </row>
    <row r="125" spans="1:6" x14ac:dyDescent="0.3">
      <c r="A125" s="34">
        <v>116</v>
      </c>
      <c r="B125" s="34">
        <v>260</v>
      </c>
      <c r="C125" s="34" t="s">
        <v>56</v>
      </c>
      <c r="D125" s="34">
        <v>11</v>
      </c>
      <c r="E125" s="34" t="str">
        <f>VLOOKUP(B125,Dane!$A$1:$G$1001,6,FALSE)</f>
        <v>własność</v>
      </c>
      <c r="F125" s="34">
        <f t="shared" si="5"/>
        <v>4.0199999999999996</v>
      </c>
    </row>
    <row r="126" spans="1:6" x14ac:dyDescent="0.3">
      <c r="A126" s="34">
        <v>117</v>
      </c>
      <c r="B126" s="34">
        <v>197</v>
      </c>
      <c r="C126" s="34" t="s">
        <v>56</v>
      </c>
      <c r="D126" s="34">
        <v>6</v>
      </c>
      <c r="E126" s="34" t="str">
        <f>VLOOKUP(B126,Dane!$A$1:$G$1001,6,FALSE)</f>
        <v>własność</v>
      </c>
      <c r="F126" s="34">
        <f t="shared" si="5"/>
        <v>4.0199999999999996</v>
      </c>
    </row>
    <row r="127" spans="1:6" x14ac:dyDescent="0.3">
      <c r="A127" s="34">
        <v>118</v>
      </c>
      <c r="B127" s="34">
        <v>837</v>
      </c>
      <c r="C127" s="34" t="s">
        <v>56</v>
      </c>
      <c r="D127" s="34">
        <v>12</v>
      </c>
      <c r="E127" s="34" t="str">
        <f>VLOOKUP(B127,Dane!$A$1:$G$1001,6,FALSE)</f>
        <v>własność</v>
      </c>
      <c r="F127" s="34">
        <f t="shared" si="5"/>
        <v>4.0199999999999996</v>
      </c>
    </row>
    <row r="128" spans="1:6" x14ac:dyDescent="0.3">
      <c r="A128" s="34">
        <v>119</v>
      </c>
      <c r="B128" s="34">
        <v>109</v>
      </c>
      <c r="C128" s="34" t="s">
        <v>56</v>
      </c>
      <c r="D128" s="34">
        <v>24</v>
      </c>
      <c r="E128" s="34" t="str">
        <f>VLOOKUP(B128,Dane!$A$1:$G$1001,6,FALSE)</f>
        <v>własność</v>
      </c>
      <c r="F128" s="34">
        <f t="shared" si="5"/>
        <v>4.0199999999999996</v>
      </c>
    </row>
    <row r="129" spans="1:6" x14ac:dyDescent="0.3">
      <c r="A129" s="34">
        <v>120</v>
      </c>
      <c r="B129" s="34">
        <v>373</v>
      </c>
      <c r="C129" s="34" t="s">
        <v>56</v>
      </c>
      <c r="D129" s="34">
        <v>10</v>
      </c>
      <c r="E129" s="34" t="str">
        <f>VLOOKUP(B129,Dane!$A$1:$G$1001,6,FALSE)</f>
        <v>wynajem</v>
      </c>
      <c r="F129" s="34">
        <f t="shared" si="5"/>
        <v>4.0199999999999996</v>
      </c>
    </row>
    <row r="130" spans="1:6" x14ac:dyDescent="0.3">
      <c r="A130" s="34">
        <v>121</v>
      </c>
      <c r="B130" s="34">
        <v>15</v>
      </c>
      <c r="C130" s="34" t="s">
        <v>56</v>
      </c>
      <c r="D130" s="34">
        <v>15</v>
      </c>
      <c r="E130" s="34" t="str">
        <f>VLOOKUP(B130,Dane!$A$1:$G$1001,6,FALSE)</f>
        <v>wynajem</v>
      </c>
      <c r="F130" s="34">
        <f t="shared" si="5"/>
        <v>4.0199999999999996</v>
      </c>
    </row>
    <row r="131" spans="1:6" x14ac:dyDescent="0.3">
      <c r="A131" s="34">
        <v>122</v>
      </c>
      <c r="B131" s="34">
        <v>87</v>
      </c>
      <c r="C131" s="34" t="s">
        <v>56</v>
      </c>
      <c r="D131" s="34">
        <v>18</v>
      </c>
      <c r="E131" s="34" t="str">
        <f>VLOOKUP(B131,Dane!$A$1:$G$1001,6,FALSE)</f>
        <v>własność</v>
      </c>
      <c r="F131" s="34">
        <f t="shared" si="5"/>
        <v>4.0199999999999996</v>
      </c>
    </row>
    <row r="132" spans="1:6" x14ac:dyDescent="0.3">
      <c r="A132" s="34">
        <v>123</v>
      </c>
      <c r="B132" s="34">
        <v>446</v>
      </c>
      <c r="C132" s="34" t="s">
        <v>56</v>
      </c>
      <c r="D132" s="34">
        <v>9</v>
      </c>
      <c r="E132" s="34" t="str">
        <f>VLOOKUP(B132,Dane!$A$1:$G$1001,6,FALSE)</f>
        <v>wynajem</v>
      </c>
      <c r="F132" s="34">
        <f t="shared" si="5"/>
        <v>4.0199999999999996</v>
      </c>
    </row>
    <row r="133" spans="1:6" x14ac:dyDescent="0.3">
      <c r="A133" s="34">
        <v>124</v>
      </c>
      <c r="B133" s="34">
        <v>637</v>
      </c>
      <c r="C133" s="34" t="s">
        <v>56</v>
      </c>
      <c r="D133" s="34">
        <v>24</v>
      </c>
      <c r="E133" s="34" t="str">
        <f>VLOOKUP(B133,Dane!$A$1:$G$1001,6,FALSE)</f>
        <v>własność</v>
      </c>
      <c r="F133" s="34">
        <f t="shared" si="5"/>
        <v>4.0199999999999996</v>
      </c>
    </row>
    <row r="134" spans="1:6" x14ac:dyDescent="0.3">
      <c r="A134" s="34">
        <v>125</v>
      </c>
      <c r="B134" s="34">
        <v>70</v>
      </c>
      <c r="C134" s="34" t="s">
        <v>56</v>
      </c>
      <c r="D134" s="34">
        <v>36</v>
      </c>
      <c r="E134" s="34" t="str">
        <f>VLOOKUP(B134,Dane!$A$1:$G$1001,6,FALSE)</f>
        <v>własność</v>
      </c>
      <c r="F134" s="34">
        <f t="shared" si="5"/>
        <v>4.0199999999999996</v>
      </c>
    </row>
    <row r="135" spans="1:6" x14ac:dyDescent="0.3">
      <c r="A135" s="34">
        <v>126</v>
      </c>
      <c r="B135" s="34">
        <v>780</v>
      </c>
      <c r="C135" s="34" t="s">
        <v>56</v>
      </c>
      <c r="D135" s="34">
        <v>18</v>
      </c>
      <c r="E135" s="34" t="str">
        <f>VLOOKUP(B135,Dane!$A$1:$G$1001,6,FALSE)</f>
        <v>własność</v>
      </c>
      <c r="F135" s="34">
        <f t="shared" si="5"/>
        <v>4.0199999999999996</v>
      </c>
    </row>
    <row r="136" spans="1:6" x14ac:dyDescent="0.3">
      <c r="A136" s="34">
        <v>127</v>
      </c>
      <c r="B136" s="34">
        <v>264</v>
      </c>
      <c r="C136" s="34" t="s">
        <v>56</v>
      </c>
      <c r="D136" s="34">
        <v>12</v>
      </c>
      <c r="E136" s="34" t="str">
        <f>VLOOKUP(B136,Dane!$A$1:$G$1001,6,FALSE)</f>
        <v>za darmo</v>
      </c>
      <c r="F136" s="34">
        <f t="shared" si="5"/>
        <v>4.0199999999999996</v>
      </c>
    </row>
    <row r="137" spans="1:6" x14ac:dyDescent="0.3">
      <c r="A137" s="34">
        <v>128</v>
      </c>
      <c r="B137" s="34">
        <v>802</v>
      </c>
      <c r="C137" s="34" t="s">
        <v>56</v>
      </c>
      <c r="D137" s="34">
        <v>18</v>
      </c>
      <c r="E137" s="34" t="str">
        <f>VLOOKUP(B137,Dane!$A$1:$G$1001,6,FALSE)</f>
        <v>wynajem</v>
      </c>
      <c r="F137" s="34">
        <f t="shared" si="5"/>
        <v>4.0199999999999996</v>
      </c>
    </row>
    <row r="138" spans="1:6" x14ac:dyDescent="0.3">
      <c r="A138" s="34">
        <v>129</v>
      </c>
      <c r="B138" s="34">
        <v>46</v>
      </c>
      <c r="C138" s="34" t="s">
        <v>56</v>
      </c>
      <c r="D138" s="34">
        <v>11</v>
      </c>
      <c r="E138" s="34" t="str">
        <f>VLOOKUP(B138,Dane!$A$1:$G$1001,6,FALSE)</f>
        <v>własność</v>
      </c>
      <c r="F138" s="34">
        <f t="shared" si="5"/>
        <v>4.0199999999999996</v>
      </c>
    </row>
    <row r="139" spans="1:6" x14ac:dyDescent="0.3">
      <c r="A139" s="34">
        <v>130</v>
      </c>
      <c r="B139" s="34">
        <v>392</v>
      </c>
      <c r="C139" s="34" t="s">
        <v>56</v>
      </c>
      <c r="D139" s="34">
        <v>12</v>
      </c>
      <c r="E139" s="34" t="str">
        <f>VLOOKUP(B139,Dane!$A$1:$G$1001,6,FALSE)</f>
        <v>wynajem</v>
      </c>
      <c r="F139" s="34">
        <f t="shared" ref="F139:F202" si="6">VLOOKUP(C139,$H$10:$L$13,5,FALSE)</f>
        <v>4.0199999999999996</v>
      </c>
    </row>
    <row r="140" spans="1:6" x14ac:dyDescent="0.3">
      <c r="A140" s="34">
        <v>131</v>
      </c>
      <c r="B140" s="34">
        <v>867</v>
      </c>
      <c r="C140" s="34" t="s">
        <v>56</v>
      </c>
      <c r="D140" s="34">
        <v>18</v>
      </c>
      <c r="E140" s="34" t="str">
        <f>VLOOKUP(B140,Dane!$A$1:$G$1001,6,FALSE)</f>
        <v>własność</v>
      </c>
      <c r="F140" s="34">
        <f t="shared" si="6"/>
        <v>4.0199999999999996</v>
      </c>
    </row>
    <row r="141" spans="1:6" x14ac:dyDescent="0.3">
      <c r="A141" s="34">
        <v>132</v>
      </c>
      <c r="B141" s="34">
        <v>555</v>
      </c>
      <c r="C141" s="34" t="s">
        <v>56</v>
      </c>
      <c r="D141" s="34">
        <v>9</v>
      </c>
      <c r="E141" s="34" t="str">
        <f>VLOOKUP(B141,Dane!$A$1:$G$1001,6,FALSE)</f>
        <v>własność</v>
      </c>
      <c r="F141" s="34">
        <f t="shared" si="6"/>
        <v>4.0199999999999996</v>
      </c>
    </row>
    <row r="142" spans="1:6" x14ac:dyDescent="0.3">
      <c r="A142" s="34">
        <v>133</v>
      </c>
      <c r="B142" s="34">
        <v>659</v>
      </c>
      <c r="C142" s="34" t="s">
        <v>56</v>
      </c>
      <c r="D142" s="34">
        <v>30</v>
      </c>
      <c r="E142" s="34" t="str">
        <f>VLOOKUP(B142,Dane!$A$1:$G$1001,6,FALSE)</f>
        <v>własność</v>
      </c>
      <c r="F142" s="34">
        <f t="shared" si="6"/>
        <v>4.0199999999999996</v>
      </c>
    </row>
    <row r="143" spans="1:6" x14ac:dyDescent="0.3">
      <c r="A143" s="34">
        <v>134</v>
      </c>
      <c r="B143" s="34">
        <v>83</v>
      </c>
      <c r="C143" s="34" t="s">
        <v>56</v>
      </c>
      <c r="D143" s="34">
        <v>18</v>
      </c>
      <c r="E143" s="34" t="str">
        <f>VLOOKUP(B143,Dane!$A$1:$G$1001,6,FALSE)</f>
        <v>wynajem</v>
      </c>
      <c r="F143" s="34">
        <f t="shared" si="6"/>
        <v>4.0199999999999996</v>
      </c>
    </row>
    <row r="144" spans="1:6" x14ac:dyDescent="0.3">
      <c r="A144" s="34">
        <v>135</v>
      </c>
      <c r="B144" s="34">
        <v>86</v>
      </c>
      <c r="C144" s="34" t="s">
        <v>56</v>
      </c>
      <c r="D144" s="34">
        <v>12</v>
      </c>
      <c r="E144" s="34" t="str">
        <f>VLOOKUP(B144,Dane!$A$1:$G$1001,6,FALSE)</f>
        <v>własność</v>
      </c>
      <c r="F144" s="34">
        <f t="shared" si="6"/>
        <v>4.0199999999999996</v>
      </c>
    </row>
    <row r="145" spans="1:6" x14ac:dyDescent="0.3">
      <c r="A145" s="34">
        <v>136</v>
      </c>
      <c r="B145" s="34">
        <v>913</v>
      </c>
      <c r="C145" s="34" t="s">
        <v>56</v>
      </c>
      <c r="D145" s="34">
        <v>30</v>
      </c>
      <c r="E145" s="34" t="str">
        <f>VLOOKUP(B145,Dane!$A$1:$G$1001,6,FALSE)</f>
        <v>własność</v>
      </c>
      <c r="F145" s="34">
        <f t="shared" si="6"/>
        <v>4.0199999999999996</v>
      </c>
    </row>
    <row r="146" spans="1:6" x14ac:dyDescent="0.3">
      <c r="A146" s="34">
        <v>137</v>
      </c>
      <c r="B146" s="34">
        <v>131</v>
      </c>
      <c r="C146" s="34" t="s">
        <v>56</v>
      </c>
      <c r="D146" s="34">
        <v>48</v>
      </c>
      <c r="E146" s="34" t="str">
        <f>VLOOKUP(B146,Dane!$A$1:$G$1001,6,FALSE)</f>
        <v>własność</v>
      </c>
      <c r="F146" s="34">
        <f t="shared" si="6"/>
        <v>4.0199999999999996</v>
      </c>
    </row>
    <row r="147" spans="1:6" x14ac:dyDescent="0.3">
      <c r="A147" s="34">
        <v>138</v>
      </c>
      <c r="B147" s="34">
        <v>342</v>
      </c>
      <c r="C147" s="34" t="s">
        <v>56</v>
      </c>
      <c r="D147" s="34">
        <v>21</v>
      </c>
      <c r="E147" s="34" t="str">
        <f>VLOOKUP(B147,Dane!$A$1:$G$1001,6,FALSE)</f>
        <v>wynajem</v>
      </c>
      <c r="F147" s="34">
        <f t="shared" si="6"/>
        <v>4.0199999999999996</v>
      </c>
    </row>
    <row r="148" spans="1:6" x14ac:dyDescent="0.3">
      <c r="A148" s="34">
        <v>139</v>
      </c>
      <c r="B148" s="34">
        <v>103</v>
      </c>
      <c r="C148" s="34" t="s">
        <v>56</v>
      </c>
      <c r="D148" s="34">
        <v>6</v>
      </c>
      <c r="E148" s="34" t="str">
        <f>VLOOKUP(B148,Dane!$A$1:$G$1001,6,FALSE)</f>
        <v>własność</v>
      </c>
      <c r="F148" s="34">
        <f t="shared" si="6"/>
        <v>4.0199999999999996</v>
      </c>
    </row>
    <row r="149" spans="1:6" x14ac:dyDescent="0.3">
      <c r="A149" s="34">
        <v>140</v>
      </c>
      <c r="B149" s="34">
        <v>259</v>
      </c>
      <c r="C149" s="34" t="s">
        <v>56</v>
      </c>
      <c r="D149" s="34">
        <v>15</v>
      </c>
      <c r="E149" s="34" t="str">
        <f>VLOOKUP(B149,Dane!$A$1:$G$1001,6,FALSE)</f>
        <v>własność</v>
      </c>
      <c r="F149" s="34">
        <f t="shared" si="6"/>
        <v>4.0199999999999996</v>
      </c>
    </row>
    <row r="150" spans="1:6" x14ac:dyDescent="0.3">
      <c r="A150" s="34">
        <v>141</v>
      </c>
      <c r="B150" s="34">
        <v>320</v>
      </c>
      <c r="C150" s="34" t="s">
        <v>56</v>
      </c>
      <c r="D150" s="34">
        <v>15</v>
      </c>
      <c r="E150" s="34" t="str">
        <f>VLOOKUP(B150,Dane!$A$1:$G$1001,6,FALSE)</f>
        <v>własność</v>
      </c>
      <c r="F150" s="34">
        <f t="shared" si="6"/>
        <v>4.0199999999999996</v>
      </c>
    </row>
    <row r="151" spans="1:6" x14ac:dyDescent="0.3">
      <c r="A151" s="34">
        <v>142</v>
      </c>
      <c r="B151" s="34">
        <v>245</v>
      </c>
      <c r="C151" s="34" t="s">
        <v>56</v>
      </c>
      <c r="D151" s="34">
        <v>12</v>
      </c>
      <c r="E151" s="34" t="str">
        <f>VLOOKUP(B151,Dane!$A$1:$G$1001,6,FALSE)</f>
        <v>własność</v>
      </c>
      <c r="F151" s="34">
        <f t="shared" si="6"/>
        <v>4.0199999999999996</v>
      </c>
    </row>
    <row r="152" spans="1:6" x14ac:dyDescent="0.3">
      <c r="A152" s="34">
        <v>143</v>
      </c>
      <c r="B152" s="34">
        <v>438</v>
      </c>
      <c r="C152" s="34" t="s">
        <v>56</v>
      </c>
      <c r="D152" s="34">
        <v>24</v>
      </c>
      <c r="E152" s="34" t="str">
        <f>VLOOKUP(B152,Dane!$A$1:$G$1001,6,FALSE)</f>
        <v>własność</v>
      </c>
      <c r="F152" s="34">
        <f t="shared" si="6"/>
        <v>4.0199999999999996</v>
      </c>
    </row>
    <row r="153" spans="1:6" x14ac:dyDescent="0.3">
      <c r="A153" s="34">
        <v>144</v>
      </c>
      <c r="B153" s="34">
        <v>771</v>
      </c>
      <c r="C153" s="34" t="s">
        <v>56</v>
      </c>
      <c r="D153" s="34">
        <v>24</v>
      </c>
      <c r="E153" s="34" t="str">
        <f>VLOOKUP(B153,Dane!$A$1:$G$1001,6,FALSE)</f>
        <v>wynajem</v>
      </c>
      <c r="F153" s="34">
        <f t="shared" si="6"/>
        <v>4.0199999999999996</v>
      </c>
    </row>
    <row r="154" spans="1:6" x14ac:dyDescent="0.3">
      <c r="A154" s="34">
        <v>145</v>
      </c>
      <c r="B154" s="34">
        <v>927</v>
      </c>
      <c r="C154" s="34" t="s">
        <v>56</v>
      </c>
      <c r="D154" s="34">
        <v>18</v>
      </c>
      <c r="E154" s="34" t="str">
        <f>VLOOKUP(B154,Dane!$A$1:$G$1001,6,FALSE)</f>
        <v>wynajem</v>
      </c>
      <c r="F154" s="34">
        <f t="shared" si="6"/>
        <v>4.0199999999999996</v>
      </c>
    </row>
    <row r="155" spans="1:6" x14ac:dyDescent="0.3">
      <c r="A155" s="34">
        <v>146</v>
      </c>
      <c r="B155" s="34">
        <v>484</v>
      </c>
      <c r="C155" s="34" t="s">
        <v>56</v>
      </c>
      <c r="D155" s="34">
        <v>15</v>
      </c>
      <c r="E155" s="34" t="str">
        <f>VLOOKUP(B155,Dane!$A$1:$G$1001,6,FALSE)</f>
        <v>własność</v>
      </c>
      <c r="F155" s="34">
        <f t="shared" si="6"/>
        <v>4.0199999999999996</v>
      </c>
    </row>
    <row r="156" spans="1:6" x14ac:dyDescent="0.3">
      <c r="A156" s="34">
        <v>147</v>
      </c>
      <c r="B156" s="34">
        <v>328</v>
      </c>
      <c r="C156" s="34" t="s">
        <v>56</v>
      </c>
      <c r="D156" s="34">
        <v>24</v>
      </c>
      <c r="E156" s="34" t="str">
        <f>VLOOKUP(B156,Dane!$A$1:$G$1001,6,FALSE)</f>
        <v>własność</v>
      </c>
      <c r="F156" s="34">
        <f t="shared" si="6"/>
        <v>4.0199999999999996</v>
      </c>
    </row>
    <row r="157" spans="1:6" x14ac:dyDescent="0.3">
      <c r="A157" s="34">
        <v>148</v>
      </c>
      <c r="B157" s="34">
        <v>318</v>
      </c>
      <c r="C157" s="34" t="s">
        <v>56</v>
      </c>
      <c r="D157" s="34">
        <v>24</v>
      </c>
      <c r="E157" s="34" t="str">
        <f>VLOOKUP(B157,Dane!$A$1:$G$1001,6,FALSE)</f>
        <v>własność</v>
      </c>
      <c r="F157" s="34">
        <f t="shared" si="6"/>
        <v>4.0199999999999996</v>
      </c>
    </row>
    <row r="158" spans="1:6" x14ac:dyDescent="0.3">
      <c r="A158" s="34">
        <v>149</v>
      </c>
      <c r="B158" s="34">
        <v>899</v>
      </c>
      <c r="C158" s="34" t="s">
        <v>56</v>
      </c>
      <c r="D158" s="34">
        <v>15</v>
      </c>
      <c r="E158" s="34" t="str">
        <f>VLOOKUP(B158,Dane!$A$1:$G$1001,6,FALSE)</f>
        <v>wynajem</v>
      </c>
      <c r="F158" s="34">
        <f t="shared" si="6"/>
        <v>4.0199999999999996</v>
      </c>
    </row>
    <row r="159" spans="1:6" x14ac:dyDescent="0.3">
      <c r="A159" s="34">
        <v>150</v>
      </c>
      <c r="B159" s="34">
        <v>665</v>
      </c>
      <c r="C159" s="34" t="s">
        <v>56</v>
      </c>
      <c r="D159" s="34">
        <v>6</v>
      </c>
      <c r="E159" s="34" t="str">
        <f>VLOOKUP(B159,Dane!$A$1:$G$1001,6,FALSE)</f>
        <v>własność</v>
      </c>
      <c r="F159" s="34">
        <f t="shared" si="6"/>
        <v>4.0199999999999996</v>
      </c>
    </row>
    <row r="160" spans="1:6" x14ac:dyDescent="0.3">
      <c r="A160" s="34">
        <v>151</v>
      </c>
      <c r="B160" s="34">
        <v>843</v>
      </c>
      <c r="C160" s="34" t="s">
        <v>57</v>
      </c>
      <c r="D160" s="34">
        <v>18</v>
      </c>
      <c r="E160" s="34" t="str">
        <f>VLOOKUP(B160,Dane!$A$1:$G$1001,6,FALSE)</f>
        <v>własność</v>
      </c>
      <c r="F160" s="34">
        <f t="shared" si="6"/>
        <v>2.1799999999999997</v>
      </c>
    </row>
    <row r="161" spans="1:6" x14ac:dyDescent="0.3">
      <c r="A161" s="34">
        <v>152</v>
      </c>
      <c r="B161" s="34">
        <v>912</v>
      </c>
      <c r="C161" s="34" t="s">
        <v>57</v>
      </c>
      <c r="D161" s="34">
        <v>24</v>
      </c>
      <c r="E161" s="34" t="str">
        <f>VLOOKUP(B161,Dane!$A$1:$G$1001,6,FALSE)</f>
        <v>własność</v>
      </c>
      <c r="F161" s="34">
        <f t="shared" si="6"/>
        <v>2.1799999999999997</v>
      </c>
    </row>
    <row r="162" spans="1:6" x14ac:dyDescent="0.3">
      <c r="A162" s="34">
        <v>153</v>
      </c>
      <c r="B162" s="34">
        <v>558</v>
      </c>
      <c r="C162" s="34" t="s">
        <v>57</v>
      </c>
      <c r="D162" s="34">
        <v>21</v>
      </c>
      <c r="E162" s="34" t="str">
        <f>VLOOKUP(B162,Dane!$A$1:$G$1001,6,FALSE)</f>
        <v>własność</v>
      </c>
      <c r="F162" s="34">
        <f t="shared" si="6"/>
        <v>2.1799999999999997</v>
      </c>
    </row>
    <row r="163" spans="1:6" x14ac:dyDescent="0.3">
      <c r="A163" s="34">
        <v>154</v>
      </c>
      <c r="B163" s="34">
        <v>723</v>
      </c>
      <c r="C163" s="34" t="s">
        <v>57</v>
      </c>
      <c r="D163" s="34">
        <v>12</v>
      </c>
      <c r="E163" s="34" t="str">
        <f>VLOOKUP(B163,Dane!$A$1:$G$1001,6,FALSE)</f>
        <v>własność</v>
      </c>
      <c r="F163" s="34">
        <f t="shared" si="6"/>
        <v>2.1799999999999997</v>
      </c>
    </row>
    <row r="164" spans="1:6" x14ac:dyDescent="0.3">
      <c r="A164" s="34">
        <v>155</v>
      </c>
      <c r="B164" s="34">
        <v>12</v>
      </c>
      <c r="C164" s="34" t="s">
        <v>57</v>
      </c>
      <c r="D164" s="34">
        <v>48</v>
      </c>
      <c r="E164" s="34" t="str">
        <f>VLOOKUP(B164,Dane!$A$1:$G$1001,6,FALSE)</f>
        <v>wynajem</v>
      </c>
      <c r="F164" s="34">
        <f t="shared" si="6"/>
        <v>2.1799999999999997</v>
      </c>
    </row>
    <row r="165" spans="1:6" x14ac:dyDescent="0.3">
      <c r="A165" s="34">
        <v>156</v>
      </c>
      <c r="B165" s="34">
        <v>608</v>
      </c>
      <c r="C165" s="34" t="s">
        <v>57</v>
      </c>
      <c r="D165" s="34">
        <v>36</v>
      </c>
      <c r="E165" s="34" t="str">
        <f>VLOOKUP(B165,Dane!$A$1:$G$1001,6,FALSE)</f>
        <v>za darmo</v>
      </c>
      <c r="F165" s="34">
        <f t="shared" si="6"/>
        <v>2.1799999999999997</v>
      </c>
    </row>
    <row r="166" spans="1:6" x14ac:dyDescent="0.3">
      <c r="A166" s="34">
        <v>157</v>
      </c>
      <c r="B166" s="34">
        <v>762</v>
      </c>
      <c r="C166" s="34" t="s">
        <v>57</v>
      </c>
      <c r="D166" s="34">
        <v>18</v>
      </c>
      <c r="E166" s="34" t="str">
        <f>VLOOKUP(B166,Dane!$A$1:$G$1001,6,FALSE)</f>
        <v>wynajem</v>
      </c>
      <c r="F166" s="34">
        <f t="shared" si="6"/>
        <v>2.1799999999999997</v>
      </c>
    </row>
    <row r="167" spans="1:6" x14ac:dyDescent="0.3">
      <c r="A167" s="34">
        <v>158</v>
      </c>
      <c r="B167" s="34">
        <v>60</v>
      </c>
      <c r="C167" s="34" t="s">
        <v>57</v>
      </c>
      <c r="D167" s="34">
        <v>36</v>
      </c>
      <c r="E167" s="34" t="str">
        <f>VLOOKUP(B167,Dane!$A$1:$G$1001,6,FALSE)</f>
        <v>wynajem</v>
      </c>
      <c r="F167" s="34">
        <f t="shared" si="6"/>
        <v>2.1799999999999997</v>
      </c>
    </row>
    <row r="168" spans="1:6" x14ac:dyDescent="0.3">
      <c r="A168" s="34">
        <v>159</v>
      </c>
      <c r="B168" s="34">
        <v>532</v>
      </c>
      <c r="C168" s="34" t="s">
        <v>57</v>
      </c>
      <c r="D168" s="34">
        <v>15</v>
      </c>
      <c r="E168" s="34" t="str">
        <f>VLOOKUP(B168,Dane!$A$1:$G$1001,6,FALSE)</f>
        <v>wynajem</v>
      </c>
      <c r="F168" s="34">
        <f t="shared" si="6"/>
        <v>2.1799999999999997</v>
      </c>
    </row>
    <row r="169" spans="1:6" x14ac:dyDescent="0.3">
      <c r="A169" s="34">
        <v>160</v>
      </c>
      <c r="B169" s="34">
        <v>425</v>
      </c>
      <c r="C169" s="34" t="s">
        <v>57</v>
      </c>
      <c r="D169" s="34">
        <v>12</v>
      </c>
      <c r="E169" s="34" t="str">
        <f>VLOOKUP(B169,Dane!$A$1:$G$1001,6,FALSE)</f>
        <v>własność</v>
      </c>
      <c r="F169" s="34">
        <f t="shared" si="6"/>
        <v>2.1799999999999997</v>
      </c>
    </row>
    <row r="170" spans="1:6" x14ac:dyDescent="0.3">
      <c r="A170" s="34">
        <v>161</v>
      </c>
      <c r="B170" s="34">
        <v>430</v>
      </c>
      <c r="C170" s="34" t="s">
        <v>57</v>
      </c>
      <c r="D170" s="34">
        <v>18</v>
      </c>
      <c r="E170" s="34" t="str">
        <f>VLOOKUP(B170,Dane!$A$1:$G$1001,6,FALSE)</f>
        <v>za darmo</v>
      </c>
      <c r="F170" s="34">
        <f t="shared" si="6"/>
        <v>2.1799999999999997</v>
      </c>
    </row>
    <row r="171" spans="1:6" x14ac:dyDescent="0.3">
      <c r="A171" s="34">
        <v>162</v>
      </c>
      <c r="B171" s="34">
        <v>729</v>
      </c>
      <c r="C171" s="34" t="s">
        <v>57</v>
      </c>
      <c r="D171" s="34">
        <v>48</v>
      </c>
      <c r="E171" s="34" t="str">
        <f>VLOOKUP(B171,Dane!$A$1:$G$1001,6,FALSE)</f>
        <v>wynajem</v>
      </c>
      <c r="F171" s="34">
        <f t="shared" si="6"/>
        <v>2.1799999999999997</v>
      </c>
    </row>
    <row r="172" spans="1:6" x14ac:dyDescent="0.3">
      <c r="A172" s="34">
        <v>163</v>
      </c>
      <c r="B172" s="34">
        <v>916</v>
      </c>
      <c r="C172" s="34" t="s">
        <v>57</v>
      </c>
      <c r="D172" s="34">
        <v>48</v>
      </c>
      <c r="E172" s="34" t="str">
        <f>VLOOKUP(B172,Dane!$A$1:$G$1001,6,FALSE)</f>
        <v>własność</v>
      </c>
      <c r="F172" s="34">
        <f t="shared" si="6"/>
        <v>2.1799999999999997</v>
      </c>
    </row>
    <row r="173" spans="1:6" x14ac:dyDescent="0.3">
      <c r="A173" s="34">
        <v>164</v>
      </c>
      <c r="B173" s="34">
        <v>45</v>
      </c>
      <c r="C173" s="34" t="s">
        <v>57</v>
      </c>
      <c r="D173" s="34">
        <v>48</v>
      </c>
      <c r="E173" s="34" t="str">
        <f>VLOOKUP(B173,Dane!$A$1:$G$1001,6,FALSE)</f>
        <v>za darmo</v>
      </c>
      <c r="F173" s="34">
        <f t="shared" si="6"/>
        <v>2.1799999999999997</v>
      </c>
    </row>
    <row r="174" spans="1:6" x14ac:dyDescent="0.3">
      <c r="A174" s="34">
        <v>165</v>
      </c>
      <c r="B174" s="34">
        <v>117</v>
      </c>
      <c r="C174" s="34" t="s">
        <v>57</v>
      </c>
      <c r="D174" s="34">
        <v>42</v>
      </c>
      <c r="E174" s="34" t="str">
        <f>VLOOKUP(B174,Dane!$A$1:$G$1001,6,FALSE)</f>
        <v>własność</v>
      </c>
      <c r="F174" s="34">
        <f t="shared" si="6"/>
        <v>2.1799999999999997</v>
      </c>
    </row>
    <row r="175" spans="1:6" x14ac:dyDescent="0.3">
      <c r="A175" s="34">
        <v>166</v>
      </c>
      <c r="B175" s="34">
        <v>176</v>
      </c>
      <c r="C175" s="34" t="s">
        <v>57</v>
      </c>
      <c r="D175" s="34">
        <v>30</v>
      </c>
      <c r="E175" s="34" t="str">
        <f>VLOOKUP(B175,Dane!$A$1:$G$1001,6,FALSE)</f>
        <v>własność</v>
      </c>
      <c r="F175" s="34">
        <f t="shared" si="6"/>
        <v>2.1799999999999997</v>
      </c>
    </row>
    <row r="176" spans="1:6" x14ac:dyDescent="0.3">
      <c r="A176" s="34">
        <v>167</v>
      </c>
      <c r="B176" s="34">
        <v>253</v>
      </c>
      <c r="C176" s="34" t="s">
        <v>57</v>
      </c>
      <c r="D176" s="34">
        <v>30</v>
      </c>
      <c r="E176" s="34" t="str">
        <f>VLOOKUP(B176,Dane!$A$1:$G$1001,6,FALSE)</f>
        <v>własność</v>
      </c>
      <c r="F176" s="34">
        <f t="shared" si="6"/>
        <v>2.1799999999999997</v>
      </c>
    </row>
    <row r="177" spans="1:6" x14ac:dyDescent="0.3">
      <c r="A177" s="34">
        <v>168</v>
      </c>
      <c r="B177" s="34">
        <v>859</v>
      </c>
      <c r="C177" s="34" t="s">
        <v>57</v>
      </c>
      <c r="D177" s="34">
        <v>15</v>
      </c>
      <c r="E177" s="34" t="str">
        <f>VLOOKUP(B177,Dane!$A$1:$G$1001,6,FALSE)</f>
        <v>własność</v>
      </c>
      <c r="F177" s="34">
        <f t="shared" si="6"/>
        <v>2.1799999999999997</v>
      </c>
    </row>
    <row r="178" spans="1:6" x14ac:dyDescent="0.3">
      <c r="A178" s="34">
        <v>169</v>
      </c>
      <c r="B178" s="34">
        <v>93</v>
      </c>
      <c r="C178" s="34" t="s">
        <v>57</v>
      </c>
      <c r="D178" s="34">
        <v>12</v>
      </c>
      <c r="E178" s="34" t="str">
        <f>VLOOKUP(B178,Dane!$A$1:$G$1001,6,FALSE)</f>
        <v>własność</v>
      </c>
      <c r="F178" s="34">
        <f t="shared" si="6"/>
        <v>2.1799999999999997</v>
      </c>
    </row>
    <row r="179" spans="1:6" x14ac:dyDescent="0.3">
      <c r="A179" s="34">
        <v>170</v>
      </c>
      <c r="B179" s="34">
        <v>376</v>
      </c>
      <c r="C179" s="34" t="s">
        <v>57</v>
      </c>
      <c r="D179" s="34">
        <v>48</v>
      </c>
      <c r="E179" s="34" t="str">
        <f>VLOOKUP(B179,Dane!$A$1:$G$1001,6,FALSE)</f>
        <v>wynajem</v>
      </c>
      <c r="F179" s="34">
        <f t="shared" si="6"/>
        <v>2.1799999999999997</v>
      </c>
    </row>
    <row r="180" spans="1:6" x14ac:dyDescent="0.3">
      <c r="A180" s="34">
        <v>171</v>
      </c>
      <c r="B180" s="34">
        <v>279</v>
      </c>
      <c r="C180" s="34" t="s">
        <v>57</v>
      </c>
      <c r="D180" s="34">
        <v>6</v>
      </c>
      <c r="E180" s="34" t="str">
        <f>VLOOKUP(B180,Dane!$A$1:$G$1001,6,FALSE)</f>
        <v>własność</v>
      </c>
      <c r="F180" s="34">
        <f t="shared" si="6"/>
        <v>2.1799999999999997</v>
      </c>
    </row>
    <row r="181" spans="1:6" x14ac:dyDescent="0.3">
      <c r="A181" s="34">
        <v>172</v>
      </c>
      <c r="B181" s="34">
        <v>420</v>
      </c>
      <c r="C181" s="34" t="s">
        <v>57</v>
      </c>
      <c r="D181" s="34">
        <v>18</v>
      </c>
      <c r="E181" s="34" t="str">
        <f>VLOOKUP(B181,Dane!$A$1:$G$1001,6,FALSE)</f>
        <v>własność</v>
      </c>
      <c r="F181" s="34">
        <f t="shared" si="6"/>
        <v>2.1799999999999997</v>
      </c>
    </row>
    <row r="182" spans="1:6" x14ac:dyDescent="0.3">
      <c r="A182" s="34">
        <v>173</v>
      </c>
      <c r="B182" s="34">
        <v>196</v>
      </c>
      <c r="C182" s="34" t="s">
        <v>57</v>
      </c>
      <c r="D182" s="34">
        <v>9</v>
      </c>
      <c r="E182" s="34" t="str">
        <f>VLOOKUP(B182,Dane!$A$1:$G$1001,6,FALSE)</f>
        <v>własność</v>
      </c>
      <c r="F182" s="34">
        <f t="shared" si="6"/>
        <v>2.1799999999999997</v>
      </c>
    </row>
    <row r="183" spans="1:6" x14ac:dyDescent="0.3">
      <c r="A183" s="34">
        <v>174</v>
      </c>
      <c r="B183" s="34">
        <v>130</v>
      </c>
      <c r="C183" s="34" t="s">
        <v>57</v>
      </c>
      <c r="D183" s="34">
        <v>12</v>
      </c>
      <c r="E183" s="34" t="str">
        <f>VLOOKUP(B183,Dane!$A$1:$G$1001,6,FALSE)</f>
        <v>własność</v>
      </c>
      <c r="F183" s="34">
        <f t="shared" si="6"/>
        <v>2.1799999999999997</v>
      </c>
    </row>
    <row r="184" spans="1:6" x14ac:dyDescent="0.3">
      <c r="A184" s="34">
        <v>175</v>
      </c>
      <c r="B184" s="34">
        <v>375</v>
      </c>
      <c r="C184" s="34" t="s">
        <v>57</v>
      </c>
      <c r="D184" s="34">
        <v>60</v>
      </c>
      <c r="E184" s="34" t="str">
        <f>VLOOKUP(B184,Dane!$A$1:$G$1001,6,FALSE)</f>
        <v>za darmo</v>
      </c>
      <c r="F184" s="34">
        <f t="shared" si="6"/>
        <v>2.1799999999999997</v>
      </c>
    </row>
    <row r="185" spans="1:6" x14ac:dyDescent="0.3">
      <c r="A185" s="34">
        <v>176</v>
      </c>
      <c r="B185" s="34">
        <v>604</v>
      </c>
      <c r="C185" s="34" t="s">
        <v>57</v>
      </c>
      <c r="D185" s="34">
        <v>36</v>
      </c>
      <c r="E185" s="34" t="str">
        <f>VLOOKUP(B185,Dane!$A$1:$G$1001,6,FALSE)</f>
        <v>własność</v>
      </c>
      <c r="F185" s="34">
        <f t="shared" si="6"/>
        <v>2.1799999999999997</v>
      </c>
    </row>
    <row r="186" spans="1:6" x14ac:dyDescent="0.3">
      <c r="A186" s="34">
        <v>177</v>
      </c>
      <c r="B186" s="34">
        <v>748</v>
      </c>
      <c r="C186" s="34" t="s">
        <v>57</v>
      </c>
      <c r="D186" s="34">
        <v>12</v>
      </c>
      <c r="E186" s="34" t="str">
        <f>VLOOKUP(B186,Dane!$A$1:$G$1001,6,FALSE)</f>
        <v>własność</v>
      </c>
      <c r="F186" s="34">
        <f t="shared" si="6"/>
        <v>2.1799999999999997</v>
      </c>
    </row>
    <row r="187" spans="1:6" x14ac:dyDescent="0.3">
      <c r="A187" s="34">
        <v>178</v>
      </c>
      <c r="B187" s="34">
        <v>708</v>
      </c>
      <c r="C187" s="34" t="s">
        <v>57</v>
      </c>
      <c r="D187" s="34">
        <v>12</v>
      </c>
      <c r="E187" s="34" t="str">
        <f>VLOOKUP(B187,Dane!$A$1:$G$1001,6,FALSE)</f>
        <v>wynajem</v>
      </c>
      <c r="F187" s="34">
        <f t="shared" si="6"/>
        <v>2.1799999999999997</v>
      </c>
    </row>
    <row r="188" spans="1:6" x14ac:dyDescent="0.3">
      <c r="A188" s="34">
        <v>179</v>
      </c>
      <c r="B188" s="34">
        <v>863</v>
      </c>
      <c r="C188" s="34" t="s">
        <v>57</v>
      </c>
      <c r="D188" s="34">
        <v>24</v>
      </c>
      <c r="E188" s="34" t="str">
        <f>VLOOKUP(B188,Dane!$A$1:$G$1001,6,FALSE)</f>
        <v>własność</v>
      </c>
      <c r="F188" s="34">
        <f t="shared" si="6"/>
        <v>2.1799999999999997</v>
      </c>
    </row>
    <row r="189" spans="1:6" x14ac:dyDescent="0.3">
      <c r="A189" s="34">
        <v>180</v>
      </c>
      <c r="B189" s="34">
        <v>571</v>
      </c>
      <c r="C189" s="34" t="s">
        <v>57</v>
      </c>
      <c r="D189" s="34">
        <v>24</v>
      </c>
      <c r="E189" s="34" t="str">
        <f>VLOOKUP(B189,Dane!$A$1:$G$1001,6,FALSE)</f>
        <v>wynajem</v>
      </c>
      <c r="F189" s="34">
        <f t="shared" si="6"/>
        <v>2.1799999999999997</v>
      </c>
    </row>
    <row r="190" spans="1:6" x14ac:dyDescent="0.3">
      <c r="A190" s="34">
        <v>181</v>
      </c>
      <c r="B190" s="34">
        <v>827</v>
      </c>
      <c r="C190" s="34" t="s">
        <v>57</v>
      </c>
      <c r="D190" s="34">
        <v>18</v>
      </c>
      <c r="E190" s="34" t="str">
        <f>VLOOKUP(B190,Dane!$A$1:$G$1001,6,FALSE)</f>
        <v>wynajem</v>
      </c>
      <c r="F190" s="34">
        <f t="shared" si="6"/>
        <v>2.1799999999999997</v>
      </c>
    </row>
    <row r="191" spans="1:6" x14ac:dyDescent="0.3">
      <c r="A191" s="34">
        <v>182</v>
      </c>
      <c r="B191" s="34">
        <v>125</v>
      </c>
      <c r="C191" s="34" t="s">
        <v>57</v>
      </c>
      <c r="D191" s="34">
        <v>18</v>
      </c>
      <c r="E191" s="34" t="str">
        <f>VLOOKUP(B191,Dane!$A$1:$G$1001,6,FALSE)</f>
        <v>wynajem</v>
      </c>
      <c r="F191" s="34">
        <f t="shared" si="6"/>
        <v>2.1799999999999997</v>
      </c>
    </row>
    <row r="192" spans="1:6" x14ac:dyDescent="0.3">
      <c r="A192" s="34">
        <v>183</v>
      </c>
      <c r="B192" s="34">
        <v>725</v>
      </c>
      <c r="C192" s="34" t="s">
        <v>57</v>
      </c>
      <c r="D192" s="34">
        <v>27</v>
      </c>
      <c r="E192" s="34" t="str">
        <f>VLOOKUP(B192,Dane!$A$1:$G$1001,6,FALSE)</f>
        <v>wynajem</v>
      </c>
      <c r="F192" s="34">
        <f t="shared" si="6"/>
        <v>2.1799999999999997</v>
      </c>
    </row>
    <row r="193" spans="1:6" x14ac:dyDescent="0.3">
      <c r="A193" s="34">
        <v>184</v>
      </c>
      <c r="B193" s="34">
        <v>302</v>
      </c>
      <c r="C193" s="34" t="s">
        <v>57</v>
      </c>
      <c r="D193" s="34">
        <v>36</v>
      </c>
      <c r="E193" s="34" t="str">
        <f>VLOOKUP(B193,Dane!$A$1:$G$1001,6,FALSE)</f>
        <v>własność</v>
      </c>
      <c r="F193" s="34">
        <f t="shared" si="6"/>
        <v>2.1799999999999997</v>
      </c>
    </row>
    <row r="194" spans="1:6" x14ac:dyDescent="0.3">
      <c r="A194" s="34">
        <v>185</v>
      </c>
      <c r="B194" s="34">
        <v>923</v>
      </c>
      <c r="C194" s="34" t="s">
        <v>57</v>
      </c>
      <c r="D194" s="34">
        <v>9</v>
      </c>
      <c r="E194" s="34" t="str">
        <f>VLOOKUP(B194,Dane!$A$1:$G$1001,6,FALSE)</f>
        <v>wynajem</v>
      </c>
      <c r="F194" s="34">
        <f t="shared" si="6"/>
        <v>2.1799999999999997</v>
      </c>
    </row>
    <row r="195" spans="1:6" x14ac:dyDescent="0.3">
      <c r="A195" s="34">
        <v>186</v>
      </c>
      <c r="B195" s="34">
        <v>250</v>
      </c>
      <c r="C195" s="34" t="s">
        <v>57</v>
      </c>
      <c r="D195" s="34">
        <v>18</v>
      </c>
      <c r="E195" s="34" t="str">
        <f>VLOOKUP(B195,Dane!$A$1:$G$1001,6,FALSE)</f>
        <v>wynajem</v>
      </c>
      <c r="F195" s="34">
        <f t="shared" si="6"/>
        <v>2.1799999999999997</v>
      </c>
    </row>
    <row r="196" spans="1:6" x14ac:dyDescent="0.3">
      <c r="A196" s="34">
        <v>187</v>
      </c>
      <c r="B196" s="34">
        <v>382</v>
      </c>
      <c r="C196" s="34" t="s">
        <v>57</v>
      </c>
      <c r="D196" s="34">
        <v>18</v>
      </c>
      <c r="E196" s="34" t="str">
        <f>VLOOKUP(B196,Dane!$A$1:$G$1001,6,FALSE)</f>
        <v>za darmo</v>
      </c>
      <c r="F196" s="34">
        <f t="shared" si="6"/>
        <v>2.1799999999999997</v>
      </c>
    </row>
    <row r="197" spans="1:6" x14ac:dyDescent="0.3">
      <c r="A197" s="34">
        <v>188</v>
      </c>
      <c r="B197" s="34">
        <v>603</v>
      </c>
      <c r="C197" s="34" t="s">
        <v>57</v>
      </c>
      <c r="D197" s="34">
        <v>24</v>
      </c>
      <c r="E197" s="34" t="str">
        <f>VLOOKUP(B197,Dane!$A$1:$G$1001,6,FALSE)</f>
        <v>za darmo</v>
      </c>
      <c r="F197" s="34">
        <f t="shared" si="6"/>
        <v>2.1799999999999997</v>
      </c>
    </row>
    <row r="198" spans="1:6" x14ac:dyDescent="0.3">
      <c r="A198" s="34">
        <v>189</v>
      </c>
      <c r="B198" s="34">
        <v>415</v>
      </c>
      <c r="C198" s="34" t="s">
        <v>57</v>
      </c>
      <c r="D198" s="34">
        <v>24</v>
      </c>
      <c r="E198" s="34" t="str">
        <f>VLOOKUP(B198,Dane!$A$1:$G$1001,6,FALSE)</f>
        <v>własność</v>
      </c>
      <c r="F198" s="34">
        <f t="shared" si="6"/>
        <v>2.1799999999999997</v>
      </c>
    </row>
    <row r="199" spans="1:6" x14ac:dyDescent="0.3">
      <c r="A199" s="34">
        <v>190</v>
      </c>
      <c r="B199" s="34">
        <v>953</v>
      </c>
      <c r="C199" s="34" t="s">
        <v>57</v>
      </c>
      <c r="D199" s="34">
        <v>24</v>
      </c>
      <c r="E199" s="34" t="str">
        <f>VLOOKUP(B199,Dane!$A$1:$G$1001,6,FALSE)</f>
        <v>wynajem</v>
      </c>
      <c r="F199" s="34">
        <f t="shared" si="6"/>
        <v>2.1799999999999997</v>
      </c>
    </row>
    <row r="200" spans="1:6" x14ac:dyDescent="0.3">
      <c r="A200" s="34">
        <v>191</v>
      </c>
      <c r="B200" s="34">
        <v>772</v>
      </c>
      <c r="C200" s="34" t="s">
        <v>57</v>
      </c>
      <c r="D200" s="34">
        <v>36</v>
      </c>
      <c r="E200" s="34" t="str">
        <f>VLOOKUP(B200,Dane!$A$1:$G$1001,6,FALSE)</f>
        <v>własność</v>
      </c>
      <c r="F200" s="34">
        <f t="shared" si="6"/>
        <v>2.1799999999999997</v>
      </c>
    </row>
    <row r="201" spans="1:6" x14ac:dyDescent="0.3">
      <c r="A201" s="34">
        <v>192</v>
      </c>
      <c r="B201" s="34">
        <v>173</v>
      </c>
      <c r="C201" s="34" t="s">
        <v>57</v>
      </c>
      <c r="D201" s="34">
        <v>24</v>
      </c>
      <c r="E201" s="34" t="str">
        <f>VLOOKUP(B201,Dane!$A$1:$G$1001,6,FALSE)</f>
        <v>własność</v>
      </c>
      <c r="F201" s="34">
        <f t="shared" si="6"/>
        <v>2.1799999999999997</v>
      </c>
    </row>
    <row r="202" spans="1:6" x14ac:dyDescent="0.3">
      <c r="A202" s="34">
        <v>193</v>
      </c>
      <c r="B202" s="34">
        <v>832</v>
      </c>
      <c r="C202" s="34" t="s">
        <v>57</v>
      </c>
      <c r="D202" s="34">
        <v>18</v>
      </c>
      <c r="E202" s="34" t="str">
        <f>VLOOKUP(B202,Dane!$A$1:$G$1001,6,FALSE)</f>
        <v>wynajem</v>
      </c>
      <c r="F202" s="34">
        <f t="shared" si="6"/>
        <v>2.1799999999999997</v>
      </c>
    </row>
    <row r="203" spans="1:6" x14ac:dyDescent="0.3">
      <c r="A203" s="34">
        <v>194</v>
      </c>
      <c r="B203" s="34">
        <v>447</v>
      </c>
      <c r="C203" s="34" t="s">
        <v>57</v>
      </c>
      <c r="D203" s="34">
        <v>36</v>
      </c>
      <c r="E203" s="34" t="str">
        <f>VLOOKUP(B203,Dane!$A$1:$G$1001,6,FALSE)</f>
        <v>własność</v>
      </c>
      <c r="F203" s="34">
        <f t="shared" ref="F203:F209" si="7">VLOOKUP(C203,$H$10:$L$13,5,FALSE)</f>
        <v>2.1799999999999997</v>
      </c>
    </row>
    <row r="204" spans="1:6" x14ac:dyDescent="0.3">
      <c r="A204" s="34">
        <v>195</v>
      </c>
      <c r="B204" s="34">
        <v>596</v>
      </c>
      <c r="C204" s="34" t="s">
        <v>57</v>
      </c>
      <c r="D204" s="34">
        <v>6</v>
      </c>
      <c r="E204" s="34" t="str">
        <f>VLOOKUP(B204,Dane!$A$1:$G$1001,6,FALSE)</f>
        <v>własność</v>
      </c>
      <c r="F204" s="34">
        <f t="shared" si="7"/>
        <v>2.1799999999999997</v>
      </c>
    </row>
    <row r="205" spans="1:6" x14ac:dyDescent="0.3">
      <c r="A205" s="34">
        <v>196</v>
      </c>
      <c r="B205" s="34">
        <v>586</v>
      </c>
      <c r="C205" s="34" t="s">
        <v>57</v>
      </c>
      <c r="D205" s="34">
        <v>18</v>
      </c>
      <c r="E205" s="34" t="str">
        <f>VLOOKUP(B205,Dane!$A$1:$G$1001,6,FALSE)</f>
        <v>wynajem</v>
      </c>
      <c r="F205" s="34">
        <f t="shared" si="7"/>
        <v>2.1799999999999997</v>
      </c>
    </row>
    <row r="206" spans="1:6" x14ac:dyDescent="0.3">
      <c r="A206" s="34">
        <v>197</v>
      </c>
      <c r="B206" s="34">
        <v>121</v>
      </c>
      <c r="C206" s="34" t="s">
        <v>57</v>
      </c>
      <c r="D206" s="34">
        <v>21</v>
      </c>
      <c r="E206" s="34" t="str">
        <f>VLOOKUP(B206,Dane!$A$1:$G$1001,6,FALSE)</f>
        <v>własność</v>
      </c>
      <c r="F206" s="34">
        <f t="shared" si="7"/>
        <v>2.1799999999999997</v>
      </c>
    </row>
    <row r="207" spans="1:6" x14ac:dyDescent="0.3">
      <c r="A207" s="34">
        <v>198</v>
      </c>
      <c r="B207" s="34">
        <v>791</v>
      </c>
      <c r="C207" s="34" t="s">
        <v>57</v>
      </c>
      <c r="D207" s="34">
        <v>21</v>
      </c>
      <c r="E207" s="34" t="str">
        <f>VLOOKUP(B207,Dane!$A$1:$G$1001,6,FALSE)</f>
        <v>własność</v>
      </c>
      <c r="F207" s="34">
        <f t="shared" si="7"/>
        <v>2.1799999999999997</v>
      </c>
    </row>
    <row r="208" spans="1:6" x14ac:dyDescent="0.3">
      <c r="A208" s="34">
        <v>199</v>
      </c>
      <c r="B208" s="34">
        <v>557</v>
      </c>
      <c r="C208" s="34" t="s">
        <v>57</v>
      </c>
      <c r="D208" s="34">
        <v>18</v>
      </c>
      <c r="E208" s="34" t="str">
        <f>VLOOKUP(B208,Dane!$A$1:$G$1001,6,FALSE)</f>
        <v>własność</v>
      </c>
      <c r="F208" s="34">
        <f t="shared" si="7"/>
        <v>2.1799999999999997</v>
      </c>
    </row>
    <row r="209" spans="1:6" x14ac:dyDescent="0.3">
      <c r="A209" s="35">
        <v>200</v>
      </c>
      <c r="B209" s="35">
        <v>615</v>
      </c>
      <c r="C209" s="35" t="s">
        <v>57</v>
      </c>
      <c r="D209" s="35">
        <v>18</v>
      </c>
      <c r="E209" s="35" t="str">
        <f>VLOOKUP(B209,Dane!$A$1:$G$1001,6,FALSE)</f>
        <v>własność</v>
      </c>
      <c r="F209" s="35">
        <f t="shared" si="7"/>
        <v>2.1799999999999997</v>
      </c>
    </row>
  </sheetData>
  <mergeCells count="2">
    <mergeCell ref="B2:K2"/>
    <mergeCell ref="B3:K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5E2C-5F97-4A85-A571-4D1433C6674E}">
  <dimension ref="A1:G1001"/>
  <sheetViews>
    <sheetView zoomScaleNormal="100" workbookViewId="0">
      <selection activeCell="J2" sqref="J2"/>
    </sheetView>
  </sheetViews>
  <sheetFormatPr defaultRowHeight="14.4" x14ac:dyDescent="0.3"/>
  <cols>
    <col min="3" max="3" width="15.33203125" customWidth="1"/>
    <col min="4" max="4" width="16.6640625" customWidth="1"/>
    <col min="5" max="5" width="12.5546875" customWidth="1"/>
    <col min="6" max="6" width="9.109375" style="75"/>
    <col min="7" max="7" width="12.44140625" customWidth="1"/>
  </cols>
  <sheetData>
    <row r="1" spans="1:7" x14ac:dyDescent="0.3">
      <c r="A1" s="37" t="s">
        <v>13</v>
      </c>
      <c r="B1" s="37" t="s">
        <v>12</v>
      </c>
      <c r="C1" s="37" t="s">
        <v>63</v>
      </c>
      <c r="D1" s="37" t="s">
        <v>126</v>
      </c>
      <c r="E1" s="37" t="s">
        <v>0</v>
      </c>
      <c r="F1" s="37" t="s">
        <v>42</v>
      </c>
      <c r="G1" s="37" t="s">
        <v>1</v>
      </c>
    </row>
    <row r="2" spans="1:7" x14ac:dyDescent="0.3">
      <c r="A2" s="38">
        <v>1</v>
      </c>
      <c r="B2" s="38">
        <v>608</v>
      </c>
      <c r="C2" s="38">
        <v>36</v>
      </c>
      <c r="D2" s="38">
        <v>2671</v>
      </c>
      <c r="E2" s="38">
        <v>50</v>
      </c>
      <c r="F2" s="34" t="s">
        <v>57</v>
      </c>
      <c r="G2" s="34" t="str">
        <f>VLOOKUP(B2,Dane!$A$1:$G$1001,6,FALSE)</f>
        <v>za darmo</v>
      </c>
    </row>
    <row r="3" spans="1:7" x14ac:dyDescent="0.3">
      <c r="A3" s="34">
        <v>2</v>
      </c>
      <c r="B3" s="34">
        <v>388</v>
      </c>
      <c r="C3" s="34">
        <v>18</v>
      </c>
      <c r="D3" s="34">
        <v>7374</v>
      </c>
      <c r="E3" s="34">
        <v>40</v>
      </c>
      <c r="F3" s="34" t="s">
        <v>54</v>
      </c>
      <c r="G3" s="34" t="str">
        <f>VLOOKUP(B3,Dane!$A$1:$G$1001,6,FALSE)</f>
        <v>własność</v>
      </c>
    </row>
    <row r="4" spans="1:7" x14ac:dyDescent="0.3">
      <c r="A4" s="34">
        <v>3</v>
      </c>
      <c r="B4" s="34">
        <v>385</v>
      </c>
      <c r="C4" s="34">
        <v>30</v>
      </c>
      <c r="D4" s="34">
        <v>4272</v>
      </c>
      <c r="E4" s="34">
        <v>26</v>
      </c>
      <c r="F4" s="34" t="s">
        <v>54</v>
      </c>
      <c r="G4" s="34" t="str">
        <f>VLOOKUP(B4,Dane!$A$1:$G$1001,6,FALSE)</f>
        <v>własność</v>
      </c>
    </row>
    <row r="5" spans="1:7" x14ac:dyDescent="0.3">
      <c r="A5" s="34">
        <v>4</v>
      </c>
      <c r="B5" s="34">
        <v>453</v>
      </c>
      <c r="C5" s="34">
        <v>12</v>
      </c>
      <c r="D5" s="34">
        <v>2759</v>
      </c>
      <c r="E5" s="34">
        <v>34</v>
      </c>
      <c r="F5" s="34" t="s">
        <v>54</v>
      </c>
      <c r="G5" s="34" t="str">
        <f>VLOOKUP(B5,Dane!$A$1:$G$1001,6,FALSE)</f>
        <v>własność</v>
      </c>
    </row>
    <row r="6" spans="1:7" x14ac:dyDescent="0.3">
      <c r="A6" s="34">
        <v>5</v>
      </c>
      <c r="B6" s="34">
        <v>169</v>
      </c>
      <c r="C6" s="34">
        <v>24</v>
      </c>
      <c r="D6" s="34">
        <v>3972</v>
      </c>
      <c r="E6" s="34">
        <v>25</v>
      </c>
      <c r="F6" s="34" t="s">
        <v>56</v>
      </c>
      <c r="G6" s="34" t="str">
        <f>VLOOKUP(B6,Dane!$A$1:$G$1001,6,FALSE)</f>
        <v>wynajem</v>
      </c>
    </row>
    <row r="7" spans="1:7" x14ac:dyDescent="0.3">
      <c r="A7" s="34">
        <v>6</v>
      </c>
      <c r="B7" s="34">
        <v>811</v>
      </c>
      <c r="C7" s="34">
        <v>8</v>
      </c>
      <c r="D7" s="34">
        <v>907</v>
      </c>
      <c r="E7" s="34">
        <v>26</v>
      </c>
      <c r="F7" s="34" t="s">
        <v>54</v>
      </c>
      <c r="G7" s="34" t="str">
        <f>VLOOKUP(B7,Dane!$A$1:$G$1001,6,FALSE)</f>
        <v>własność</v>
      </c>
    </row>
    <row r="8" spans="1:7" x14ac:dyDescent="0.3">
      <c r="A8" s="34">
        <v>7</v>
      </c>
      <c r="B8" s="34">
        <v>564</v>
      </c>
      <c r="C8" s="34">
        <v>36</v>
      </c>
      <c r="D8" s="34">
        <v>12389</v>
      </c>
      <c r="E8" s="34">
        <v>37</v>
      </c>
      <c r="F8" s="34" t="s">
        <v>55</v>
      </c>
      <c r="G8" s="34" t="str">
        <f>VLOOKUP(B8,Dane!$A$1:$G$1001,6,FALSE)</f>
        <v>za darmo</v>
      </c>
    </row>
    <row r="9" spans="1:7" x14ac:dyDescent="0.3">
      <c r="A9" s="34">
        <v>8</v>
      </c>
      <c r="B9" s="34">
        <v>802</v>
      </c>
      <c r="C9" s="34">
        <v>18</v>
      </c>
      <c r="D9" s="34">
        <v>1795</v>
      </c>
      <c r="E9" s="34">
        <v>48</v>
      </c>
      <c r="F9" s="34" t="s">
        <v>56</v>
      </c>
      <c r="G9" s="34" t="str">
        <f>VLOOKUP(B9,Dane!$A$1:$G$1001,6,FALSE)</f>
        <v>wynajem</v>
      </c>
    </row>
    <row r="10" spans="1:7" x14ac:dyDescent="0.3">
      <c r="A10" s="34">
        <v>9</v>
      </c>
      <c r="B10" s="34">
        <v>136</v>
      </c>
      <c r="C10" s="34">
        <v>12</v>
      </c>
      <c r="D10" s="34">
        <v>1240</v>
      </c>
      <c r="E10" s="34">
        <v>38</v>
      </c>
      <c r="F10" s="34" t="s">
        <v>56</v>
      </c>
      <c r="G10" s="34" t="str">
        <f>VLOOKUP(B10,Dane!$A$1:$G$1001,6,FALSE)</f>
        <v>własność</v>
      </c>
    </row>
    <row r="11" spans="1:7" x14ac:dyDescent="0.3">
      <c r="A11" s="34">
        <v>10</v>
      </c>
      <c r="B11" s="34">
        <v>597</v>
      </c>
      <c r="C11" s="34">
        <v>24</v>
      </c>
      <c r="D11" s="34">
        <v>1442</v>
      </c>
      <c r="E11" s="34">
        <v>23</v>
      </c>
      <c r="F11" s="34" t="s">
        <v>57</v>
      </c>
      <c r="G11" s="34" t="str">
        <f>VLOOKUP(B11,Dane!$A$1:$G$1001,6,FALSE)</f>
        <v>wynajem</v>
      </c>
    </row>
    <row r="12" spans="1:7" x14ac:dyDescent="0.3">
      <c r="A12" s="34">
        <v>11</v>
      </c>
      <c r="B12" s="34">
        <v>256</v>
      </c>
      <c r="C12" s="34">
        <v>60</v>
      </c>
      <c r="D12" s="34">
        <v>7418</v>
      </c>
      <c r="E12" s="34">
        <v>27</v>
      </c>
      <c r="F12" s="34" t="s">
        <v>54</v>
      </c>
      <c r="G12" s="34" t="str">
        <f>VLOOKUP(B12,Dane!$A$1:$G$1001,6,FALSE)</f>
        <v>własność</v>
      </c>
    </row>
    <row r="13" spans="1:7" x14ac:dyDescent="0.3">
      <c r="A13" s="34">
        <v>12</v>
      </c>
      <c r="B13" s="34">
        <v>255</v>
      </c>
      <c r="C13" s="34">
        <v>9</v>
      </c>
      <c r="D13" s="34">
        <v>2030</v>
      </c>
      <c r="E13" s="34">
        <v>24</v>
      </c>
      <c r="F13" s="34" t="s">
        <v>54</v>
      </c>
      <c r="G13" s="34" t="str">
        <f>VLOOKUP(B13,Dane!$A$1:$G$1001,6,FALSE)</f>
        <v>własność</v>
      </c>
    </row>
    <row r="14" spans="1:7" x14ac:dyDescent="0.3">
      <c r="A14" s="34">
        <v>13</v>
      </c>
      <c r="B14" s="34">
        <v>421</v>
      </c>
      <c r="C14" s="34">
        <v>15</v>
      </c>
      <c r="D14" s="34">
        <v>3186</v>
      </c>
      <c r="E14" s="34">
        <v>20</v>
      </c>
      <c r="F14" s="34" t="s">
        <v>56</v>
      </c>
      <c r="G14" s="34" t="str">
        <f>VLOOKUP(B14,Dane!$A$1:$G$1001,6,FALSE)</f>
        <v>wynajem</v>
      </c>
    </row>
    <row r="15" spans="1:7" x14ac:dyDescent="0.3">
      <c r="A15" s="34">
        <v>14</v>
      </c>
      <c r="B15" s="34">
        <v>573</v>
      </c>
      <c r="C15" s="34">
        <v>24</v>
      </c>
      <c r="D15" s="34">
        <v>5433</v>
      </c>
      <c r="E15" s="34">
        <v>26</v>
      </c>
      <c r="F15" s="34" t="s">
        <v>56</v>
      </c>
      <c r="G15" s="34" t="str">
        <f>VLOOKUP(B15,Dane!$A$1:$G$1001,6,FALSE)</f>
        <v>wynajem</v>
      </c>
    </row>
    <row r="16" spans="1:7" x14ac:dyDescent="0.3">
      <c r="A16" s="34">
        <v>15</v>
      </c>
      <c r="B16" s="34">
        <v>294</v>
      </c>
      <c r="C16" s="34">
        <v>42</v>
      </c>
      <c r="D16" s="34">
        <v>4796</v>
      </c>
      <c r="E16" s="34">
        <v>56</v>
      </c>
      <c r="F16" s="34" t="s">
        <v>54</v>
      </c>
      <c r="G16" s="34" t="str">
        <f>VLOOKUP(B16,Dane!$A$1:$G$1001,6,FALSE)</f>
        <v>za darmo</v>
      </c>
    </row>
    <row r="17" spans="1:7" x14ac:dyDescent="0.3">
      <c r="A17" s="34">
        <v>16</v>
      </c>
      <c r="B17" s="34">
        <v>17</v>
      </c>
      <c r="C17" s="34">
        <v>24</v>
      </c>
      <c r="D17" s="34">
        <v>2424</v>
      </c>
      <c r="E17" s="34">
        <v>53</v>
      </c>
      <c r="F17" s="34" t="s">
        <v>54</v>
      </c>
      <c r="G17" s="34" t="str">
        <f>VLOOKUP(B17,Dane!$A$1:$G$1001,6,FALSE)</f>
        <v>własność</v>
      </c>
    </row>
    <row r="18" spans="1:7" x14ac:dyDescent="0.3">
      <c r="A18" s="34">
        <v>17</v>
      </c>
      <c r="B18" s="34">
        <v>899</v>
      </c>
      <c r="C18" s="34">
        <v>15</v>
      </c>
      <c r="D18" s="34">
        <v>2186</v>
      </c>
      <c r="E18" s="34">
        <v>33</v>
      </c>
      <c r="F18" s="34" t="s">
        <v>56</v>
      </c>
      <c r="G18" s="34" t="str">
        <f>VLOOKUP(B18,Dane!$A$1:$G$1001,6,FALSE)</f>
        <v>wynajem</v>
      </c>
    </row>
    <row r="19" spans="1:7" x14ac:dyDescent="0.3">
      <c r="A19" s="34">
        <v>18</v>
      </c>
      <c r="B19" s="34">
        <v>232</v>
      </c>
      <c r="C19" s="34">
        <v>9</v>
      </c>
      <c r="D19" s="34">
        <v>2507</v>
      </c>
      <c r="E19" s="34">
        <v>51</v>
      </c>
      <c r="F19" s="34" t="s">
        <v>54</v>
      </c>
      <c r="G19" s="34" t="str">
        <f>VLOOKUP(B19,Dane!$A$1:$G$1001,6,FALSE)</f>
        <v>za darmo</v>
      </c>
    </row>
    <row r="20" spans="1:7" x14ac:dyDescent="0.3">
      <c r="A20" s="34">
        <v>19</v>
      </c>
      <c r="B20" s="34">
        <v>948</v>
      </c>
      <c r="C20" s="34">
        <v>12</v>
      </c>
      <c r="D20" s="34">
        <v>2859</v>
      </c>
      <c r="E20" s="34">
        <v>38</v>
      </c>
      <c r="F20" s="34" t="s">
        <v>54</v>
      </c>
      <c r="G20" s="34" t="str">
        <f>VLOOKUP(B20,Dane!$A$1:$G$1001,6,FALSE)</f>
        <v>własność</v>
      </c>
    </row>
    <row r="21" spans="1:7" x14ac:dyDescent="0.3">
      <c r="A21" s="34">
        <v>20</v>
      </c>
      <c r="B21" s="34">
        <v>744</v>
      </c>
      <c r="C21" s="34">
        <v>24</v>
      </c>
      <c r="D21" s="34">
        <v>2483</v>
      </c>
      <c r="E21" s="34">
        <v>22</v>
      </c>
      <c r="F21" s="34" t="s">
        <v>54</v>
      </c>
      <c r="G21" s="34" t="str">
        <f>VLOOKUP(B21,Dane!$A$1:$G$1001,6,FALSE)</f>
        <v>własność</v>
      </c>
    </row>
    <row r="22" spans="1:7" x14ac:dyDescent="0.3">
      <c r="A22" s="34">
        <v>21</v>
      </c>
      <c r="B22" s="34">
        <v>671</v>
      </c>
      <c r="C22" s="34">
        <v>24</v>
      </c>
      <c r="D22" s="34">
        <v>4139</v>
      </c>
      <c r="E22" s="34">
        <v>27</v>
      </c>
      <c r="F22" s="34" t="s">
        <v>54</v>
      </c>
      <c r="G22" s="34" t="str">
        <f>VLOOKUP(B22,Dane!$A$1:$G$1001,6,FALSE)</f>
        <v>własność</v>
      </c>
    </row>
    <row r="23" spans="1:7" x14ac:dyDescent="0.3">
      <c r="A23" s="34">
        <v>22</v>
      </c>
      <c r="B23" s="34">
        <v>204</v>
      </c>
      <c r="C23" s="34">
        <v>12</v>
      </c>
      <c r="D23" s="34">
        <v>902</v>
      </c>
      <c r="E23" s="34">
        <v>21</v>
      </c>
      <c r="F23" s="34" t="s">
        <v>55</v>
      </c>
      <c r="G23" s="34" t="str">
        <f>VLOOKUP(B23,Dane!$A$1:$G$1001,6,FALSE)</f>
        <v>wynajem</v>
      </c>
    </row>
    <row r="24" spans="1:7" x14ac:dyDescent="0.3">
      <c r="A24" s="34">
        <v>23</v>
      </c>
      <c r="B24" s="34">
        <v>718</v>
      </c>
      <c r="C24" s="34">
        <v>18</v>
      </c>
      <c r="D24" s="34">
        <v>1505</v>
      </c>
      <c r="E24" s="34">
        <v>32</v>
      </c>
      <c r="F24" s="34" t="s">
        <v>54</v>
      </c>
      <c r="G24" s="34" t="str">
        <f>VLOOKUP(B24,Dane!$A$1:$G$1001,6,FALSE)</f>
        <v>za darmo</v>
      </c>
    </row>
    <row r="25" spans="1:7" x14ac:dyDescent="0.3">
      <c r="A25" s="34">
        <v>24</v>
      </c>
      <c r="B25" s="34">
        <v>472</v>
      </c>
      <c r="C25" s="34">
        <v>6</v>
      </c>
      <c r="D25" s="34">
        <v>448</v>
      </c>
      <c r="E25" s="34">
        <v>23</v>
      </c>
      <c r="F25" s="34" t="s">
        <v>57</v>
      </c>
      <c r="G25" s="34" t="str">
        <f>VLOOKUP(B25,Dane!$A$1:$G$1001,6,FALSE)</f>
        <v>własność</v>
      </c>
    </row>
    <row r="26" spans="1:7" x14ac:dyDescent="0.3">
      <c r="A26" s="34">
        <v>25</v>
      </c>
      <c r="B26" s="34">
        <v>940</v>
      </c>
      <c r="C26" s="34">
        <v>24</v>
      </c>
      <c r="D26" s="34">
        <v>6842</v>
      </c>
      <c r="E26" s="34">
        <v>46</v>
      </c>
      <c r="F26" s="34" t="s">
        <v>54</v>
      </c>
      <c r="G26" s="34" t="str">
        <f>VLOOKUP(B26,Dane!$A$1:$G$1001,6,FALSE)</f>
        <v>własność</v>
      </c>
    </row>
    <row r="27" spans="1:7" x14ac:dyDescent="0.3">
      <c r="A27" s="34">
        <v>26</v>
      </c>
      <c r="B27" s="34">
        <v>577</v>
      </c>
      <c r="C27" s="34">
        <v>12</v>
      </c>
      <c r="D27" s="34">
        <v>2930</v>
      </c>
      <c r="E27" s="34">
        <v>27</v>
      </c>
      <c r="F27" s="34" t="s">
        <v>56</v>
      </c>
      <c r="G27" s="34" t="str">
        <f>VLOOKUP(B27,Dane!$A$1:$G$1001,6,FALSE)</f>
        <v>własność</v>
      </c>
    </row>
    <row r="28" spans="1:7" x14ac:dyDescent="0.3">
      <c r="A28" s="34">
        <v>27</v>
      </c>
      <c r="B28" s="34">
        <v>786</v>
      </c>
      <c r="C28" s="34">
        <v>18</v>
      </c>
      <c r="D28" s="34">
        <v>1941</v>
      </c>
      <c r="E28" s="34">
        <v>35</v>
      </c>
      <c r="F28" s="34" t="s">
        <v>54</v>
      </c>
      <c r="G28" s="34" t="str">
        <f>VLOOKUP(B28,Dane!$A$1:$G$1001,6,FALSE)</f>
        <v>własność</v>
      </c>
    </row>
    <row r="29" spans="1:7" x14ac:dyDescent="0.3">
      <c r="A29" s="34">
        <v>28</v>
      </c>
      <c r="B29" s="34">
        <v>274</v>
      </c>
      <c r="C29" s="34">
        <v>48</v>
      </c>
      <c r="D29" s="34">
        <v>3060</v>
      </c>
      <c r="E29" s="34">
        <v>28</v>
      </c>
      <c r="F29" s="34" t="s">
        <v>55</v>
      </c>
      <c r="G29" s="34" t="str">
        <f>VLOOKUP(B29,Dane!$A$1:$G$1001,6,FALSE)</f>
        <v>własność</v>
      </c>
    </row>
    <row r="30" spans="1:7" x14ac:dyDescent="0.3">
      <c r="A30" s="34">
        <v>29</v>
      </c>
      <c r="B30" s="34">
        <v>703</v>
      </c>
      <c r="C30" s="34">
        <v>24</v>
      </c>
      <c r="D30" s="34">
        <v>1377</v>
      </c>
      <c r="E30" s="34">
        <v>47</v>
      </c>
      <c r="F30" s="34" t="s">
        <v>56</v>
      </c>
      <c r="G30" s="34" t="str">
        <f>VLOOKUP(B30,Dane!$A$1:$G$1001,6,FALSE)</f>
        <v>za darmo</v>
      </c>
    </row>
    <row r="31" spans="1:7" x14ac:dyDescent="0.3">
      <c r="A31" s="34">
        <v>30</v>
      </c>
      <c r="B31" s="34">
        <v>340</v>
      </c>
      <c r="C31" s="34">
        <v>10</v>
      </c>
      <c r="D31" s="34">
        <v>1521</v>
      </c>
      <c r="E31" s="34">
        <v>31</v>
      </c>
      <c r="F31" s="34" t="s">
        <v>54</v>
      </c>
      <c r="G31" s="34" t="str">
        <f>VLOOKUP(B31,Dane!$A$1:$G$1001,6,FALSE)</f>
        <v>własność</v>
      </c>
    </row>
    <row r="32" spans="1:7" x14ac:dyDescent="0.3">
      <c r="A32" s="34">
        <v>31</v>
      </c>
      <c r="B32" s="34">
        <v>322</v>
      </c>
      <c r="C32" s="34">
        <v>24</v>
      </c>
      <c r="D32" s="34">
        <v>1938</v>
      </c>
      <c r="E32" s="34">
        <v>32</v>
      </c>
      <c r="F32" s="34" t="s">
        <v>55</v>
      </c>
      <c r="G32" s="34" t="str">
        <f>VLOOKUP(B32,Dane!$A$1:$G$1001,6,FALSE)</f>
        <v>własność</v>
      </c>
    </row>
    <row r="33" spans="1:7" x14ac:dyDescent="0.3">
      <c r="A33" s="34">
        <v>32</v>
      </c>
      <c r="B33" s="34">
        <v>960</v>
      </c>
      <c r="C33" s="34">
        <v>24</v>
      </c>
      <c r="D33" s="34">
        <v>3069</v>
      </c>
      <c r="E33" s="34">
        <v>30</v>
      </c>
      <c r="F33" s="34" t="s">
        <v>54</v>
      </c>
      <c r="G33" s="34" t="str">
        <f>VLOOKUP(B33,Dane!$A$1:$G$1001,6,FALSE)</f>
        <v>za darmo</v>
      </c>
    </row>
    <row r="34" spans="1:7" x14ac:dyDescent="0.3">
      <c r="A34" s="34">
        <v>33</v>
      </c>
      <c r="B34" s="34">
        <v>176</v>
      </c>
      <c r="C34" s="34">
        <v>30</v>
      </c>
      <c r="D34" s="34">
        <v>7485</v>
      </c>
      <c r="E34" s="34">
        <v>53</v>
      </c>
      <c r="F34" s="34" t="s">
        <v>57</v>
      </c>
      <c r="G34" s="34" t="str">
        <f>VLOOKUP(B34,Dane!$A$1:$G$1001,6,FALSE)</f>
        <v>własność</v>
      </c>
    </row>
    <row r="35" spans="1:7" x14ac:dyDescent="0.3">
      <c r="A35" s="34">
        <v>34</v>
      </c>
      <c r="B35" s="34">
        <v>360</v>
      </c>
      <c r="C35" s="34">
        <v>30</v>
      </c>
      <c r="D35" s="34">
        <v>2406</v>
      </c>
      <c r="E35" s="34">
        <v>23</v>
      </c>
      <c r="F35" s="34" t="s">
        <v>57</v>
      </c>
      <c r="G35" s="34" t="str">
        <f>VLOOKUP(B35,Dane!$A$1:$G$1001,6,FALSE)</f>
        <v>wynajem</v>
      </c>
    </row>
    <row r="36" spans="1:7" x14ac:dyDescent="0.3">
      <c r="A36" s="34">
        <v>35</v>
      </c>
      <c r="B36" s="34">
        <v>944</v>
      </c>
      <c r="C36" s="34">
        <v>4</v>
      </c>
      <c r="D36" s="34">
        <v>1455</v>
      </c>
      <c r="E36" s="34">
        <v>42</v>
      </c>
      <c r="F36" s="34" t="s">
        <v>54</v>
      </c>
      <c r="G36" s="34" t="str">
        <f>VLOOKUP(B36,Dane!$A$1:$G$1001,6,FALSE)</f>
        <v>własność</v>
      </c>
    </row>
    <row r="37" spans="1:7" x14ac:dyDescent="0.3">
      <c r="A37" s="34">
        <v>36</v>
      </c>
      <c r="B37" s="34">
        <v>743</v>
      </c>
      <c r="C37" s="34">
        <v>21</v>
      </c>
      <c r="D37" s="34">
        <v>3160</v>
      </c>
      <c r="E37" s="34">
        <v>41</v>
      </c>
      <c r="F37" s="34" t="s">
        <v>54</v>
      </c>
      <c r="G37" s="34" t="str">
        <f>VLOOKUP(B37,Dane!$A$1:$G$1001,6,FALSE)</f>
        <v>własność</v>
      </c>
    </row>
    <row r="38" spans="1:7" x14ac:dyDescent="0.3">
      <c r="A38" s="34">
        <v>37</v>
      </c>
      <c r="B38" s="34">
        <v>412</v>
      </c>
      <c r="C38" s="34">
        <v>33</v>
      </c>
      <c r="D38" s="34">
        <v>7253</v>
      </c>
      <c r="E38" s="34">
        <v>35</v>
      </c>
      <c r="F38" s="34" t="s">
        <v>54</v>
      </c>
      <c r="G38" s="34" t="str">
        <f>VLOOKUP(B38,Dane!$A$1:$G$1001,6,FALSE)</f>
        <v>własność</v>
      </c>
    </row>
    <row r="39" spans="1:7" x14ac:dyDescent="0.3">
      <c r="A39" s="34">
        <v>38</v>
      </c>
      <c r="B39" s="34">
        <v>224</v>
      </c>
      <c r="C39" s="34">
        <v>24</v>
      </c>
      <c r="D39" s="34">
        <v>2978</v>
      </c>
      <c r="E39" s="34">
        <v>32</v>
      </c>
      <c r="F39" s="34" t="s">
        <v>54</v>
      </c>
      <c r="G39" s="34" t="str">
        <f>VLOOKUP(B39,Dane!$A$1:$G$1001,6,FALSE)</f>
        <v>własność</v>
      </c>
    </row>
    <row r="40" spans="1:7" x14ac:dyDescent="0.3">
      <c r="A40" s="34">
        <v>39</v>
      </c>
      <c r="B40" s="34">
        <v>803</v>
      </c>
      <c r="C40" s="34">
        <v>20</v>
      </c>
      <c r="D40" s="34">
        <v>4272</v>
      </c>
      <c r="E40" s="34">
        <v>24</v>
      </c>
      <c r="F40" s="34" t="s">
        <v>56</v>
      </c>
      <c r="G40" s="34" t="str">
        <f>VLOOKUP(B40,Dane!$A$1:$G$1001,6,FALSE)</f>
        <v>własność</v>
      </c>
    </row>
    <row r="41" spans="1:7" x14ac:dyDescent="0.3">
      <c r="A41" s="34">
        <v>40</v>
      </c>
      <c r="B41" s="34">
        <v>962</v>
      </c>
      <c r="C41" s="34">
        <v>21</v>
      </c>
      <c r="D41" s="34">
        <v>2353</v>
      </c>
      <c r="E41" s="34">
        <v>47</v>
      </c>
      <c r="F41" s="34" t="s">
        <v>54</v>
      </c>
      <c r="G41" s="34" t="str">
        <f>VLOOKUP(B41,Dane!$A$1:$G$1001,6,FALSE)</f>
        <v>własność</v>
      </c>
    </row>
    <row r="42" spans="1:7" x14ac:dyDescent="0.3">
      <c r="A42" s="34">
        <v>41</v>
      </c>
      <c r="B42" s="34">
        <v>654</v>
      </c>
      <c r="C42" s="34">
        <v>36</v>
      </c>
      <c r="D42" s="34">
        <v>8086</v>
      </c>
      <c r="E42" s="34">
        <v>42</v>
      </c>
      <c r="F42" s="34" t="s">
        <v>55</v>
      </c>
      <c r="G42" s="34" t="str">
        <f>VLOOKUP(B42,Dane!$A$1:$G$1001,6,FALSE)</f>
        <v>własność</v>
      </c>
    </row>
    <row r="43" spans="1:7" x14ac:dyDescent="0.3">
      <c r="A43" s="34">
        <v>42</v>
      </c>
      <c r="B43" s="34">
        <v>559</v>
      </c>
      <c r="C43" s="34">
        <v>24</v>
      </c>
      <c r="D43" s="34">
        <v>3552</v>
      </c>
      <c r="E43" s="34">
        <v>27</v>
      </c>
      <c r="F43" s="34" t="s">
        <v>55</v>
      </c>
      <c r="G43" s="34" t="str">
        <f>VLOOKUP(B43,Dane!$A$1:$G$1001,6,FALSE)</f>
        <v>własność</v>
      </c>
    </row>
    <row r="44" spans="1:7" x14ac:dyDescent="0.3">
      <c r="A44" s="34">
        <v>43</v>
      </c>
      <c r="B44" s="34">
        <v>747</v>
      </c>
      <c r="C44" s="34">
        <v>15</v>
      </c>
      <c r="D44" s="34">
        <v>2511</v>
      </c>
      <c r="E44" s="34">
        <v>23</v>
      </c>
      <c r="F44" s="34" t="s">
        <v>56</v>
      </c>
      <c r="G44" s="34" t="str">
        <f>VLOOKUP(B44,Dane!$A$1:$G$1001,6,FALSE)</f>
        <v>wynajem</v>
      </c>
    </row>
    <row r="45" spans="1:7" x14ac:dyDescent="0.3">
      <c r="A45" s="34">
        <v>44</v>
      </c>
      <c r="B45" s="34">
        <v>789</v>
      </c>
      <c r="C45" s="34">
        <v>48</v>
      </c>
      <c r="D45" s="34">
        <v>6224</v>
      </c>
      <c r="E45" s="34">
        <v>50</v>
      </c>
      <c r="F45" s="34" t="s">
        <v>55</v>
      </c>
      <c r="G45" s="34" t="str">
        <f>VLOOKUP(B45,Dane!$A$1:$G$1001,6,FALSE)</f>
        <v>za darmo</v>
      </c>
    </row>
    <row r="46" spans="1:7" x14ac:dyDescent="0.3">
      <c r="A46" s="34">
        <v>45</v>
      </c>
      <c r="B46" s="34">
        <v>793</v>
      </c>
      <c r="C46" s="34">
        <v>6</v>
      </c>
      <c r="D46" s="34">
        <v>1221</v>
      </c>
      <c r="E46" s="34">
        <v>27</v>
      </c>
      <c r="F46" s="34" t="s">
        <v>54</v>
      </c>
      <c r="G46" s="34" t="str">
        <f>VLOOKUP(B46,Dane!$A$1:$G$1001,6,FALSE)</f>
        <v>własność</v>
      </c>
    </row>
    <row r="47" spans="1:7" x14ac:dyDescent="0.3">
      <c r="A47" s="34">
        <v>46</v>
      </c>
      <c r="B47" s="34">
        <v>846</v>
      </c>
      <c r="C47" s="34">
        <v>21</v>
      </c>
      <c r="D47" s="34">
        <v>3976</v>
      </c>
      <c r="E47" s="34">
        <v>35</v>
      </c>
      <c r="F47" s="34" t="s">
        <v>54</v>
      </c>
      <c r="G47" s="34" t="str">
        <f>VLOOKUP(B47,Dane!$A$1:$G$1001,6,FALSE)</f>
        <v>własność</v>
      </c>
    </row>
    <row r="48" spans="1:7" x14ac:dyDescent="0.3">
      <c r="A48" s="34">
        <v>47</v>
      </c>
      <c r="B48" s="34">
        <v>749</v>
      </c>
      <c r="C48" s="34">
        <v>21</v>
      </c>
      <c r="D48" s="34">
        <v>5248</v>
      </c>
      <c r="E48" s="34">
        <v>26</v>
      </c>
      <c r="F48" s="34" t="s">
        <v>54</v>
      </c>
      <c r="G48" s="34" t="str">
        <f>VLOOKUP(B48,Dane!$A$1:$G$1001,6,FALSE)</f>
        <v>własność</v>
      </c>
    </row>
    <row r="49" spans="1:7" x14ac:dyDescent="0.3">
      <c r="A49" s="34">
        <v>48</v>
      </c>
      <c r="B49" s="34">
        <v>315</v>
      </c>
      <c r="C49" s="34">
        <v>4</v>
      </c>
      <c r="D49" s="34">
        <v>1494</v>
      </c>
      <c r="E49" s="34">
        <v>29</v>
      </c>
      <c r="F49" s="34" t="s">
        <v>54</v>
      </c>
      <c r="G49" s="34" t="str">
        <f>VLOOKUP(B49,Dane!$A$1:$G$1001,6,FALSE)</f>
        <v>własność</v>
      </c>
    </row>
    <row r="50" spans="1:7" x14ac:dyDescent="0.3">
      <c r="A50" s="34">
        <v>49</v>
      </c>
      <c r="B50" s="34">
        <v>650</v>
      </c>
      <c r="C50" s="34">
        <v>12</v>
      </c>
      <c r="D50" s="34">
        <v>684</v>
      </c>
      <c r="E50" s="34">
        <v>40</v>
      </c>
      <c r="F50" s="34" t="s">
        <v>55</v>
      </c>
      <c r="G50" s="34" t="str">
        <f>VLOOKUP(B50,Dane!$A$1:$G$1001,6,FALSE)</f>
        <v>wynajem</v>
      </c>
    </row>
    <row r="51" spans="1:7" x14ac:dyDescent="0.3">
      <c r="A51" s="34">
        <v>50</v>
      </c>
      <c r="B51" s="34">
        <v>371</v>
      </c>
      <c r="C51" s="34">
        <v>36</v>
      </c>
      <c r="D51" s="34">
        <v>3079</v>
      </c>
      <c r="E51" s="34">
        <v>36</v>
      </c>
      <c r="F51" s="34" t="s">
        <v>54</v>
      </c>
      <c r="G51" s="34" t="str">
        <f>VLOOKUP(B51,Dane!$A$1:$G$1001,6,FALSE)</f>
        <v>własność</v>
      </c>
    </row>
    <row r="52" spans="1:7" x14ac:dyDescent="0.3">
      <c r="A52" s="34">
        <v>51</v>
      </c>
      <c r="B52" s="34">
        <v>277</v>
      </c>
      <c r="C52" s="34">
        <v>18</v>
      </c>
      <c r="D52" s="34">
        <v>2404</v>
      </c>
      <c r="E52" s="34">
        <v>26</v>
      </c>
      <c r="F52" s="34" t="s">
        <v>56</v>
      </c>
      <c r="G52" s="34" t="str">
        <f>VLOOKUP(B52,Dane!$A$1:$G$1001,6,FALSE)</f>
        <v>własność</v>
      </c>
    </row>
    <row r="53" spans="1:7" x14ac:dyDescent="0.3">
      <c r="A53" s="34">
        <v>52</v>
      </c>
      <c r="B53" s="34">
        <v>275</v>
      </c>
      <c r="C53" s="34">
        <v>30</v>
      </c>
      <c r="D53" s="34">
        <v>11998</v>
      </c>
      <c r="E53" s="34">
        <v>34</v>
      </c>
      <c r="F53" s="34" t="s">
        <v>55</v>
      </c>
      <c r="G53" s="34" t="str">
        <f>VLOOKUP(B53,Dane!$A$1:$G$1001,6,FALSE)</f>
        <v>własność</v>
      </c>
    </row>
    <row r="54" spans="1:7" x14ac:dyDescent="0.3">
      <c r="A54" s="34">
        <v>53</v>
      </c>
      <c r="B54" s="34">
        <v>898</v>
      </c>
      <c r="C54" s="34">
        <v>12</v>
      </c>
      <c r="D54" s="34">
        <v>1592</v>
      </c>
      <c r="E54" s="34">
        <v>35</v>
      </c>
      <c r="F54" s="34" t="s">
        <v>56</v>
      </c>
      <c r="G54" s="34" t="str">
        <f>VLOOKUP(B54,Dane!$A$1:$G$1001,6,FALSE)</f>
        <v>własność</v>
      </c>
    </row>
    <row r="55" spans="1:7" x14ac:dyDescent="0.3">
      <c r="A55" s="34">
        <v>54</v>
      </c>
      <c r="B55" s="34">
        <v>934</v>
      </c>
      <c r="C55" s="34">
        <v>12</v>
      </c>
      <c r="D55" s="34">
        <v>522</v>
      </c>
      <c r="E55" s="34">
        <v>42</v>
      </c>
      <c r="F55" s="34" t="s">
        <v>54</v>
      </c>
      <c r="G55" s="34" t="str">
        <f>VLOOKUP(B55,Dane!$A$1:$G$1001,6,FALSE)</f>
        <v>własność</v>
      </c>
    </row>
    <row r="56" spans="1:7" x14ac:dyDescent="0.3">
      <c r="A56" s="34">
        <v>55</v>
      </c>
      <c r="B56" s="34">
        <v>762</v>
      </c>
      <c r="C56" s="34">
        <v>18</v>
      </c>
      <c r="D56" s="34">
        <v>2124</v>
      </c>
      <c r="E56" s="34">
        <v>24</v>
      </c>
      <c r="F56" s="34" t="s">
        <v>57</v>
      </c>
      <c r="G56" s="34" t="str">
        <f>VLOOKUP(B56,Dane!$A$1:$G$1001,6,FALSE)</f>
        <v>wynajem</v>
      </c>
    </row>
    <row r="57" spans="1:7" x14ac:dyDescent="0.3">
      <c r="A57" s="34">
        <v>56</v>
      </c>
      <c r="B57" s="34">
        <v>278</v>
      </c>
      <c r="C57" s="34">
        <v>12</v>
      </c>
      <c r="D57" s="34">
        <v>1262</v>
      </c>
      <c r="E57" s="34">
        <v>49</v>
      </c>
      <c r="F57" s="34" t="s">
        <v>54</v>
      </c>
      <c r="G57" s="34" t="str">
        <f>VLOOKUP(B57,Dane!$A$1:$G$1001,6,FALSE)</f>
        <v>własność</v>
      </c>
    </row>
    <row r="58" spans="1:7" x14ac:dyDescent="0.3">
      <c r="A58" s="34">
        <v>57</v>
      </c>
      <c r="B58" s="34">
        <v>27</v>
      </c>
      <c r="C58" s="34">
        <v>6</v>
      </c>
      <c r="D58" s="34">
        <v>426</v>
      </c>
      <c r="E58" s="34">
        <v>39</v>
      </c>
      <c r="F58" s="34" t="s">
        <v>54</v>
      </c>
      <c r="G58" s="34" t="str">
        <f>VLOOKUP(B58,Dane!$A$1:$G$1001,6,FALSE)</f>
        <v>własność</v>
      </c>
    </row>
    <row r="59" spans="1:7" x14ac:dyDescent="0.3">
      <c r="A59" s="34">
        <v>58</v>
      </c>
      <c r="B59" s="34">
        <v>327</v>
      </c>
      <c r="C59" s="34">
        <v>12</v>
      </c>
      <c r="D59" s="34">
        <v>5801</v>
      </c>
      <c r="E59" s="34">
        <v>49</v>
      </c>
      <c r="F59" s="34" t="s">
        <v>54</v>
      </c>
      <c r="G59" s="34" t="str">
        <f>VLOOKUP(B59,Dane!$A$1:$G$1001,6,FALSE)</f>
        <v>wynajem</v>
      </c>
    </row>
    <row r="60" spans="1:7" x14ac:dyDescent="0.3">
      <c r="A60" s="34">
        <v>59</v>
      </c>
      <c r="B60" s="34">
        <v>961</v>
      </c>
      <c r="C60" s="34">
        <v>6</v>
      </c>
      <c r="D60" s="34">
        <v>1740</v>
      </c>
      <c r="E60" s="34">
        <v>30</v>
      </c>
      <c r="F60" s="34" t="s">
        <v>54</v>
      </c>
      <c r="G60" s="34" t="str">
        <f>VLOOKUP(B60,Dane!$A$1:$G$1001,6,FALSE)</f>
        <v>wynajem</v>
      </c>
    </row>
    <row r="61" spans="1:7" x14ac:dyDescent="0.3">
      <c r="A61" s="34">
        <v>60</v>
      </c>
      <c r="B61" s="34">
        <v>118</v>
      </c>
      <c r="C61" s="34">
        <v>10</v>
      </c>
      <c r="D61" s="34">
        <v>2132</v>
      </c>
      <c r="E61" s="34">
        <v>27</v>
      </c>
      <c r="F61" s="34" t="s">
        <v>56</v>
      </c>
      <c r="G61" s="34" t="str">
        <f>VLOOKUP(B61,Dane!$A$1:$G$1001,6,FALSE)</f>
        <v>wynajem</v>
      </c>
    </row>
    <row r="62" spans="1:7" x14ac:dyDescent="0.3">
      <c r="A62" s="34">
        <v>61</v>
      </c>
      <c r="B62" s="34">
        <v>402</v>
      </c>
      <c r="C62" s="34">
        <v>18</v>
      </c>
      <c r="D62" s="34">
        <v>1887</v>
      </c>
      <c r="E62" s="34">
        <v>28</v>
      </c>
      <c r="F62" s="34" t="s">
        <v>54</v>
      </c>
      <c r="G62" s="34" t="str">
        <f>VLOOKUP(B62,Dane!$A$1:$G$1001,6,FALSE)</f>
        <v>własność</v>
      </c>
    </row>
    <row r="63" spans="1:7" x14ac:dyDescent="0.3">
      <c r="A63" s="34">
        <v>62</v>
      </c>
      <c r="B63" s="34">
        <v>391</v>
      </c>
      <c r="C63" s="34">
        <v>18</v>
      </c>
      <c r="D63" s="34">
        <v>1820</v>
      </c>
      <c r="E63" s="34">
        <v>30</v>
      </c>
      <c r="F63" s="34" t="s">
        <v>54</v>
      </c>
      <c r="G63" s="34" t="str">
        <f>VLOOKUP(B63,Dane!$A$1:$G$1001,6,FALSE)</f>
        <v>własność</v>
      </c>
    </row>
    <row r="64" spans="1:7" x14ac:dyDescent="0.3">
      <c r="A64" s="34">
        <v>63</v>
      </c>
      <c r="B64" s="34">
        <v>95</v>
      </c>
      <c r="C64" s="34">
        <v>12</v>
      </c>
      <c r="D64" s="34">
        <v>1318</v>
      </c>
      <c r="E64" s="34">
        <v>54</v>
      </c>
      <c r="F64" s="34" t="s">
        <v>54</v>
      </c>
      <c r="G64" s="34" t="str">
        <f>VLOOKUP(B64,Dane!$A$1:$G$1001,6,FALSE)</f>
        <v>własność</v>
      </c>
    </row>
    <row r="65" spans="1:7" x14ac:dyDescent="0.3">
      <c r="A65" s="34">
        <v>64</v>
      </c>
      <c r="B65" s="34">
        <v>464</v>
      </c>
      <c r="C65" s="34">
        <v>12</v>
      </c>
      <c r="D65" s="34">
        <v>754</v>
      </c>
      <c r="E65" s="34">
        <v>38</v>
      </c>
      <c r="F65" s="34" t="s">
        <v>54</v>
      </c>
      <c r="G65" s="34" t="str">
        <f>VLOOKUP(B65,Dane!$A$1:$G$1001,6,FALSE)</f>
        <v>własność</v>
      </c>
    </row>
    <row r="66" spans="1:7" x14ac:dyDescent="0.3">
      <c r="A66" s="34">
        <v>65</v>
      </c>
      <c r="B66" s="34">
        <v>856</v>
      </c>
      <c r="C66" s="34">
        <v>24</v>
      </c>
      <c r="D66" s="34">
        <v>1474</v>
      </c>
      <c r="E66" s="34">
        <v>33</v>
      </c>
      <c r="F66" s="34" t="s">
        <v>54</v>
      </c>
      <c r="G66" s="34" t="str">
        <f>VLOOKUP(B66,Dane!$A$1:$G$1001,6,FALSE)</f>
        <v>własność</v>
      </c>
    </row>
    <row r="67" spans="1:7" x14ac:dyDescent="0.3">
      <c r="A67" s="34">
        <v>66</v>
      </c>
      <c r="B67" s="34">
        <v>343</v>
      </c>
      <c r="C67" s="34">
        <v>18</v>
      </c>
      <c r="D67" s="34">
        <v>3213</v>
      </c>
      <c r="E67" s="34">
        <v>25</v>
      </c>
      <c r="F67" s="34" t="s">
        <v>54</v>
      </c>
      <c r="G67" s="34" t="str">
        <f>VLOOKUP(B67,Dane!$A$1:$G$1001,6,FALSE)</f>
        <v>wynajem</v>
      </c>
    </row>
    <row r="68" spans="1:7" x14ac:dyDescent="0.3">
      <c r="A68" s="34">
        <v>67</v>
      </c>
      <c r="B68" s="34">
        <v>364</v>
      </c>
      <c r="C68" s="34">
        <v>6</v>
      </c>
      <c r="D68" s="34">
        <v>1766</v>
      </c>
      <c r="E68" s="34">
        <v>21</v>
      </c>
      <c r="F68" s="34" t="s">
        <v>54</v>
      </c>
      <c r="G68" s="34" t="str">
        <f>VLOOKUP(B68,Dane!$A$1:$G$1001,6,FALSE)</f>
        <v>wynajem</v>
      </c>
    </row>
    <row r="69" spans="1:7" x14ac:dyDescent="0.3">
      <c r="A69" s="34">
        <v>68</v>
      </c>
      <c r="B69" s="34">
        <v>463</v>
      </c>
      <c r="C69" s="34">
        <v>12</v>
      </c>
      <c r="D69" s="34">
        <v>3017</v>
      </c>
      <c r="E69" s="34">
        <v>34</v>
      </c>
      <c r="F69" s="34" t="s">
        <v>56</v>
      </c>
      <c r="G69" s="34" t="str">
        <f>VLOOKUP(B69,Dane!$A$1:$G$1001,6,FALSE)</f>
        <v>wynajem</v>
      </c>
    </row>
    <row r="70" spans="1:7" x14ac:dyDescent="0.3">
      <c r="A70" s="34">
        <v>69</v>
      </c>
      <c r="B70" s="34">
        <v>790</v>
      </c>
      <c r="C70" s="34">
        <v>40</v>
      </c>
      <c r="D70" s="34">
        <v>5998</v>
      </c>
      <c r="E70" s="34">
        <v>27</v>
      </c>
      <c r="F70" s="34" t="s">
        <v>55</v>
      </c>
      <c r="G70" s="34" t="str">
        <f>VLOOKUP(B70,Dane!$A$1:$G$1001,6,FALSE)</f>
        <v>własność</v>
      </c>
    </row>
    <row r="71" spans="1:7" x14ac:dyDescent="0.3">
      <c r="A71" s="34">
        <v>70</v>
      </c>
      <c r="B71" s="34">
        <v>81</v>
      </c>
      <c r="C71" s="34">
        <v>24</v>
      </c>
      <c r="D71" s="34">
        <v>5943</v>
      </c>
      <c r="E71" s="34">
        <v>44</v>
      </c>
      <c r="F71" s="34" t="s">
        <v>57</v>
      </c>
      <c r="G71" s="34" t="str">
        <f>VLOOKUP(B71,Dane!$A$1:$G$1001,6,FALSE)</f>
        <v>własność</v>
      </c>
    </row>
    <row r="72" spans="1:7" x14ac:dyDescent="0.3">
      <c r="A72" s="34">
        <v>71</v>
      </c>
      <c r="B72" s="34">
        <v>735</v>
      </c>
      <c r="C72" s="34">
        <v>4</v>
      </c>
      <c r="D72" s="34">
        <v>3380</v>
      </c>
      <c r="E72" s="34">
        <v>37</v>
      </c>
      <c r="F72" s="34" t="s">
        <v>56</v>
      </c>
      <c r="G72" s="34" t="str">
        <f>VLOOKUP(B72,Dane!$A$1:$G$1001,6,FALSE)</f>
        <v>własność</v>
      </c>
    </row>
    <row r="73" spans="1:7" x14ac:dyDescent="0.3">
      <c r="A73" s="34">
        <v>72</v>
      </c>
      <c r="B73" s="34">
        <v>857</v>
      </c>
      <c r="C73" s="34">
        <v>10</v>
      </c>
      <c r="D73" s="34">
        <v>894</v>
      </c>
      <c r="E73" s="34">
        <v>40</v>
      </c>
      <c r="F73" s="34" t="s">
        <v>56</v>
      </c>
      <c r="G73" s="34" t="str">
        <f>VLOOKUP(B73,Dane!$A$1:$G$1001,6,FALSE)</f>
        <v>własność</v>
      </c>
    </row>
    <row r="74" spans="1:7" x14ac:dyDescent="0.3">
      <c r="A74" s="34">
        <v>73</v>
      </c>
      <c r="B74" s="34">
        <v>855</v>
      </c>
      <c r="C74" s="34">
        <v>36</v>
      </c>
      <c r="D74" s="34">
        <v>10875</v>
      </c>
      <c r="E74" s="34">
        <v>45</v>
      </c>
      <c r="F74" s="34" t="s">
        <v>54</v>
      </c>
      <c r="G74" s="34" t="str">
        <f>VLOOKUP(B74,Dane!$A$1:$G$1001,6,FALSE)</f>
        <v>własność</v>
      </c>
    </row>
    <row r="75" spans="1:7" x14ac:dyDescent="0.3">
      <c r="A75" s="34">
        <v>74</v>
      </c>
      <c r="B75" s="34">
        <v>609</v>
      </c>
      <c r="C75" s="34">
        <v>18</v>
      </c>
      <c r="D75" s="34">
        <v>2051</v>
      </c>
      <c r="E75" s="34">
        <v>33</v>
      </c>
      <c r="F75" s="34" t="s">
        <v>54</v>
      </c>
      <c r="G75" s="34" t="str">
        <f>VLOOKUP(B75,Dane!$A$1:$G$1001,6,FALSE)</f>
        <v>własność</v>
      </c>
    </row>
    <row r="76" spans="1:7" x14ac:dyDescent="0.3">
      <c r="A76" s="34">
        <v>75</v>
      </c>
      <c r="B76" s="34">
        <v>435</v>
      </c>
      <c r="C76" s="34">
        <v>9</v>
      </c>
      <c r="D76" s="34">
        <v>2136</v>
      </c>
      <c r="E76" s="34">
        <v>25</v>
      </c>
      <c r="F76" s="34" t="s">
        <v>54</v>
      </c>
      <c r="G76" s="34" t="str">
        <f>VLOOKUP(B76,Dane!$A$1:$G$1001,6,FALSE)</f>
        <v>własność</v>
      </c>
    </row>
    <row r="77" spans="1:7" x14ac:dyDescent="0.3">
      <c r="A77" s="34">
        <v>76</v>
      </c>
      <c r="B77" s="34">
        <v>742</v>
      </c>
      <c r="C77" s="34">
        <v>10</v>
      </c>
      <c r="D77" s="34">
        <v>1048</v>
      </c>
      <c r="E77" s="34">
        <v>23</v>
      </c>
      <c r="F77" s="34" t="s">
        <v>54</v>
      </c>
      <c r="G77" s="34" t="str">
        <f>VLOOKUP(B77,Dane!$A$1:$G$1001,6,FALSE)</f>
        <v>własność</v>
      </c>
    </row>
    <row r="78" spans="1:7" x14ac:dyDescent="0.3">
      <c r="A78" s="34">
        <v>77</v>
      </c>
      <c r="B78" s="34">
        <v>980</v>
      </c>
      <c r="C78" s="34">
        <v>15</v>
      </c>
      <c r="D78" s="34">
        <v>1264</v>
      </c>
      <c r="E78" s="34">
        <v>25</v>
      </c>
      <c r="F78" s="34" t="s">
        <v>55</v>
      </c>
      <c r="G78" s="34" t="str">
        <f>VLOOKUP(B78,Dane!$A$1:$G$1001,6,FALSE)</f>
        <v>wynajem</v>
      </c>
    </row>
    <row r="79" spans="1:7" x14ac:dyDescent="0.3">
      <c r="A79" s="34">
        <v>78</v>
      </c>
      <c r="B79" s="34">
        <v>139</v>
      </c>
      <c r="C79" s="34">
        <v>15</v>
      </c>
      <c r="D79" s="34">
        <v>2728</v>
      </c>
      <c r="E79" s="34">
        <v>35</v>
      </c>
      <c r="F79" s="34" t="s">
        <v>54</v>
      </c>
      <c r="G79" s="34" t="str">
        <f>VLOOKUP(B79,Dane!$A$1:$G$1001,6,FALSE)</f>
        <v>własność</v>
      </c>
    </row>
    <row r="80" spans="1:7" x14ac:dyDescent="0.3">
      <c r="A80" s="34">
        <v>79</v>
      </c>
      <c r="B80" s="34">
        <v>2</v>
      </c>
      <c r="C80" s="34">
        <v>48</v>
      </c>
      <c r="D80" s="34">
        <v>5951</v>
      </c>
      <c r="E80" s="34">
        <v>22</v>
      </c>
      <c r="F80" s="34" t="s">
        <v>57</v>
      </c>
      <c r="G80" s="34" t="str">
        <f>VLOOKUP(B80,Dane!$A$1:$G$1001,6,FALSE)</f>
        <v>własność</v>
      </c>
    </row>
    <row r="81" spans="1:7" x14ac:dyDescent="0.3">
      <c r="A81" s="34">
        <v>80</v>
      </c>
      <c r="B81" s="34">
        <v>384</v>
      </c>
      <c r="C81" s="34">
        <v>12</v>
      </c>
      <c r="D81" s="34">
        <v>1330</v>
      </c>
      <c r="E81" s="34">
        <v>26</v>
      </c>
      <c r="F81" s="34" t="s">
        <v>54</v>
      </c>
      <c r="G81" s="34" t="str">
        <f>VLOOKUP(B81,Dane!$A$1:$G$1001,6,FALSE)</f>
        <v>własność</v>
      </c>
    </row>
    <row r="82" spans="1:7" x14ac:dyDescent="0.3">
      <c r="A82" s="34">
        <v>81</v>
      </c>
      <c r="B82" s="34">
        <v>741</v>
      </c>
      <c r="C82" s="34">
        <v>24</v>
      </c>
      <c r="D82" s="34">
        <v>2325</v>
      </c>
      <c r="E82" s="34">
        <v>32</v>
      </c>
      <c r="F82" s="34" t="s">
        <v>54</v>
      </c>
      <c r="G82" s="34" t="str">
        <f>VLOOKUP(B82,Dane!$A$1:$G$1001,6,FALSE)</f>
        <v>własność</v>
      </c>
    </row>
    <row r="83" spans="1:7" x14ac:dyDescent="0.3">
      <c r="A83" s="34">
        <v>82</v>
      </c>
      <c r="B83" s="34">
        <v>451</v>
      </c>
      <c r="C83" s="34">
        <v>36</v>
      </c>
      <c r="D83" s="34">
        <v>11054</v>
      </c>
      <c r="E83" s="34">
        <v>30</v>
      </c>
      <c r="F83" s="34" t="s">
        <v>54</v>
      </c>
      <c r="G83" s="34" t="str">
        <f>VLOOKUP(B83,Dane!$A$1:$G$1001,6,FALSE)</f>
        <v>własność</v>
      </c>
    </row>
    <row r="84" spans="1:7" x14ac:dyDescent="0.3">
      <c r="A84" s="34">
        <v>83</v>
      </c>
      <c r="B84" s="34">
        <v>681</v>
      </c>
      <c r="C84" s="34">
        <v>6</v>
      </c>
      <c r="D84" s="34">
        <v>1538</v>
      </c>
      <c r="E84" s="34">
        <v>56</v>
      </c>
      <c r="F84" s="34" t="s">
        <v>56</v>
      </c>
      <c r="G84" s="34" t="str">
        <f>VLOOKUP(B84,Dane!$A$1:$G$1001,6,FALSE)</f>
        <v>własność</v>
      </c>
    </row>
    <row r="85" spans="1:7" x14ac:dyDescent="0.3">
      <c r="A85" s="34">
        <v>84</v>
      </c>
      <c r="B85" s="34">
        <v>13</v>
      </c>
      <c r="C85" s="34">
        <v>12</v>
      </c>
      <c r="D85" s="34">
        <v>1567</v>
      </c>
      <c r="E85" s="34">
        <v>22</v>
      </c>
      <c r="F85" s="34" t="s">
        <v>56</v>
      </c>
      <c r="G85" s="34" t="str">
        <f>VLOOKUP(B85,Dane!$A$1:$G$1001,6,FALSE)</f>
        <v>własność</v>
      </c>
    </row>
    <row r="86" spans="1:7" x14ac:dyDescent="0.3">
      <c r="A86" s="34">
        <v>85</v>
      </c>
      <c r="B86" s="34">
        <v>221</v>
      </c>
      <c r="C86" s="34">
        <v>12</v>
      </c>
      <c r="D86" s="34">
        <v>625</v>
      </c>
      <c r="E86" s="34">
        <v>26</v>
      </c>
      <c r="F86" s="34" t="s">
        <v>54</v>
      </c>
      <c r="G86" s="34" t="str">
        <f>VLOOKUP(B86,Dane!$A$1:$G$1001,6,FALSE)</f>
        <v>własność</v>
      </c>
    </row>
    <row r="87" spans="1:7" x14ac:dyDescent="0.3">
      <c r="A87" s="34">
        <v>86</v>
      </c>
      <c r="B87" s="34">
        <v>946</v>
      </c>
      <c r="C87" s="34">
        <v>48</v>
      </c>
      <c r="D87" s="34">
        <v>8358</v>
      </c>
      <c r="E87" s="34">
        <v>30</v>
      </c>
      <c r="F87" s="34" t="s">
        <v>56</v>
      </c>
      <c r="G87" s="34" t="str">
        <f>VLOOKUP(B87,Dane!$A$1:$G$1001,6,FALSE)</f>
        <v>własność</v>
      </c>
    </row>
    <row r="88" spans="1:7" x14ac:dyDescent="0.3">
      <c r="A88" s="34">
        <v>87</v>
      </c>
      <c r="B88" s="34">
        <v>206</v>
      </c>
      <c r="C88" s="34">
        <v>30</v>
      </c>
      <c r="D88" s="34">
        <v>10623</v>
      </c>
      <c r="E88" s="34">
        <v>38</v>
      </c>
      <c r="F88" s="34" t="s">
        <v>54</v>
      </c>
      <c r="G88" s="34" t="str">
        <f>VLOOKUP(B88,Dane!$A$1:$G$1001,6,FALSE)</f>
        <v>za darmo</v>
      </c>
    </row>
    <row r="89" spans="1:7" x14ac:dyDescent="0.3">
      <c r="A89" s="34">
        <v>88</v>
      </c>
      <c r="B89" s="34">
        <v>684</v>
      </c>
      <c r="C89" s="34">
        <v>24</v>
      </c>
      <c r="D89" s="34">
        <v>5103</v>
      </c>
      <c r="E89" s="34">
        <v>47</v>
      </c>
      <c r="F89" s="34" t="s">
        <v>54</v>
      </c>
      <c r="G89" s="34" t="str">
        <f>VLOOKUP(B89,Dane!$A$1:$G$1001,6,FALSE)</f>
        <v>za darmo</v>
      </c>
    </row>
    <row r="90" spans="1:7" x14ac:dyDescent="0.3">
      <c r="A90" s="34">
        <v>89</v>
      </c>
      <c r="B90" s="34">
        <v>629</v>
      </c>
      <c r="C90" s="34">
        <v>42</v>
      </c>
      <c r="D90" s="34">
        <v>4042</v>
      </c>
      <c r="E90" s="34">
        <v>36</v>
      </c>
      <c r="F90" s="34" t="s">
        <v>54</v>
      </c>
      <c r="G90" s="34" t="str">
        <f>VLOOKUP(B90,Dane!$A$1:$G$1001,6,FALSE)</f>
        <v>własność</v>
      </c>
    </row>
    <row r="91" spans="1:7" x14ac:dyDescent="0.3">
      <c r="A91" s="34">
        <v>90</v>
      </c>
      <c r="B91" s="34">
        <v>906</v>
      </c>
      <c r="C91" s="34">
        <v>12</v>
      </c>
      <c r="D91" s="34">
        <v>1107</v>
      </c>
      <c r="E91" s="34">
        <v>20</v>
      </c>
      <c r="F91" s="34" t="s">
        <v>54</v>
      </c>
      <c r="G91" s="34" t="str">
        <f>VLOOKUP(B91,Dane!$A$1:$G$1001,6,FALSE)</f>
        <v>wynajem</v>
      </c>
    </row>
    <row r="92" spans="1:7" x14ac:dyDescent="0.3">
      <c r="A92" s="34">
        <v>91</v>
      </c>
      <c r="B92" s="34">
        <v>776</v>
      </c>
      <c r="C92" s="34">
        <v>24</v>
      </c>
      <c r="D92" s="34">
        <v>1371</v>
      </c>
      <c r="E92" s="34">
        <v>25</v>
      </c>
      <c r="F92" s="34" t="s">
        <v>57</v>
      </c>
      <c r="G92" s="34" t="str">
        <f>VLOOKUP(B92,Dane!$A$1:$G$1001,6,FALSE)</f>
        <v>wynajem</v>
      </c>
    </row>
    <row r="93" spans="1:7" x14ac:dyDescent="0.3">
      <c r="A93" s="34">
        <v>92</v>
      </c>
      <c r="B93" s="34">
        <v>154</v>
      </c>
      <c r="C93" s="34">
        <v>24</v>
      </c>
      <c r="D93" s="34">
        <v>7758</v>
      </c>
      <c r="E93" s="34">
        <v>29</v>
      </c>
      <c r="F93" s="34" t="s">
        <v>56</v>
      </c>
      <c r="G93" s="34" t="str">
        <f>VLOOKUP(B93,Dane!$A$1:$G$1001,6,FALSE)</f>
        <v>wynajem</v>
      </c>
    </row>
    <row r="94" spans="1:7" x14ac:dyDescent="0.3">
      <c r="A94" s="34">
        <v>93</v>
      </c>
      <c r="B94" s="34">
        <v>465</v>
      </c>
      <c r="C94" s="34">
        <v>18</v>
      </c>
      <c r="D94" s="34">
        <v>1950</v>
      </c>
      <c r="E94" s="34">
        <v>34</v>
      </c>
      <c r="F94" s="34" t="s">
        <v>54</v>
      </c>
      <c r="G94" s="34" t="str">
        <f>VLOOKUP(B94,Dane!$A$1:$G$1001,6,FALSE)</f>
        <v>własność</v>
      </c>
    </row>
    <row r="95" spans="1:7" x14ac:dyDescent="0.3">
      <c r="A95" s="34">
        <v>94</v>
      </c>
      <c r="B95" s="34">
        <v>501</v>
      </c>
      <c r="C95" s="34">
        <v>24</v>
      </c>
      <c r="D95" s="34">
        <v>3123</v>
      </c>
      <c r="E95" s="34">
        <v>27</v>
      </c>
      <c r="F95" s="34" t="s">
        <v>57</v>
      </c>
      <c r="G95" s="34" t="str">
        <f>VLOOKUP(B95,Dane!$A$1:$G$1001,6,FALSE)</f>
        <v>własność</v>
      </c>
    </row>
    <row r="96" spans="1:7" x14ac:dyDescent="0.3">
      <c r="A96" s="34">
        <v>95</v>
      </c>
      <c r="B96" s="34">
        <v>813</v>
      </c>
      <c r="C96" s="34">
        <v>36</v>
      </c>
      <c r="D96" s="34">
        <v>9629</v>
      </c>
      <c r="E96" s="34">
        <v>24</v>
      </c>
      <c r="F96" s="34" t="s">
        <v>55</v>
      </c>
      <c r="G96" s="34" t="str">
        <f>VLOOKUP(B96,Dane!$A$1:$G$1001,6,FALSE)</f>
        <v>własność</v>
      </c>
    </row>
    <row r="97" spans="1:7" x14ac:dyDescent="0.3">
      <c r="A97" s="34">
        <v>96</v>
      </c>
      <c r="B97" s="34">
        <v>30</v>
      </c>
      <c r="C97" s="34">
        <v>60</v>
      </c>
      <c r="D97" s="34">
        <v>6836</v>
      </c>
      <c r="E97" s="34">
        <v>63</v>
      </c>
      <c r="F97" s="34" t="s">
        <v>55</v>
      </c>
      <c r="G97" s="34" t="str">
        <f>VLOOKUP(B97,Dane!$A$1:$G$1001,6,FALSE)</f>
        <v>własność</v>
      </c>
    </row>
    <row r="98" spans="1:7" x14ac:dyDescent="0.3">
      <c r="A98" s="34">
        <v>97</v>
      </c>
      <c r="B98" s="34">
        <v>120</v>
      </c>
      <c r="C98" s="34">
        <v>12</v>
      </c>
      <c r="D98" s="34">
        <v>2366</v>
      </c>
      <c r="E98" s="34">
        <v>36</v>
      </c>
      <c r="F98" s="34" t="s">
        <v>54</v>
      </c>
      <c r="G98" s="34" t="str">
        <f>VLOOKUP(B98,Dane!$A$1:$G$1001,6,FALSE)</f>
        <v>własność</v>
      </c>
    </row>
    <row r="99" spans="1:7" x14ac:dyDescent="0.3">
      <c r="A99" s="34">
        <v>98</v>
      </c>
      <c r="B99" s="34">
        <v>272</v>
      </c>
      <c r="C99" s="34">
        <v>12</v>
      </c>
      <c r="D99" s="34">
        <v>1402</v>
      </c>
      <c r="E99" s="34">
        <v>37</v>
      </c>
      <c r="F99" s="34" t="s">
        <v>56</v>
      </c>
      <c r="G99" s="34" t="str">
        <f>VLOOKUP(B99,Dane!$A$1:$G$1001,6,FALSE)</f>
        <v>wynajem</v>
      </c>
    </row>
    <row r="100" spans="1:7" x14ac:dyDescent="0.3">
      <c r="A100" s="34">
        <v>99</v>
      </c>
      <c r="B100" s="34">
        <v>768</v>
      </c>
      <c r="C100" s="34">
        <v>10</v>
      </c>
      <c r="D100" s="34">
        <v>2901</v>
      </c>
      <c r="E100" s="34">
        <v>31</v>
      </c>
      <c r="F100" s="34" t="s">
        <v>56</v>
      </c>
      <c r="G100" s="34" t="str">
        <f>VLOOKUP(B100,Dane!$A$1:$G$1001,6,FALSE)</f>
        <v>wynajem</v>
      </c>
    </row>
    <row r="101" spans="1:7" x14ac:dyDescent="0.3">
      <c r="A101" s="34">
        <v>100</v>
      </c>
      <c r="B101" s="34">
        <v>205</v>
      </c>
      <c r="C101" s="34">
        <v>12</v>
      </c>
      <c r="D101" s="34">
        <v>1495</v>
      </c>
      <c r="E101" s="34">
        <v>38</v>
      </c>
      <c r="F101" s="34" t="s">
        <v>54</v>
      </c>
      <c r="G101" s="34" t="str">
        <f>VLOOKUP(B101,Dane!$A$1:$G$1001,6,FALSE)</f>
        <v>własność</v>
      </c>
    </row>
    <row r="102" spans="1:7" x14ac:dyDescent="0.3">
      <c r="A102" s="34">
        <v>101</v>
      </c>
      <c r="B102" s="34">
        <v>260</v>
      </c>
      <c r="C102" s="34">
        <v>11</v>
      </c>
      <c r="D102" s="34">
        <v>1154</v>
      </c>
      <c r="E102" s="34">
        <v>57</v>
      </c>
      <c r="F102" s="34" t="s">
        <v>56</v>
      </c>
      <c r="G102" s="34" t="str">
        <f>VLOOKUP(B102,Dane!$A$1:$G$1001,6,FALSE)</f>
        <v>własność</v>
      </c>
    </row>
    <row r="103" spans="1:7" x14ac:dyDescent="0.3">
      <c r="A103" s="34">
        <v>102</v>
      </c>
      <c r="B103" s="34">
        <v>375</v>
      </c>
      <c r="C103" s="34">
        <v>60</v>
      </c>
      <c r="D103" s="34">
        <v>14782</v>
      </c>
      <c r="E103" s="34">
        <v>60</v>
      </c>
      <c r="F103" s="34" t="s">
        <v>57</v>
      </c>
      <c r="G103" s="34" t="str">
        <f>VLOOKUP(B103,Dane!$A$1:$G$1001,6,FALSE)</f>
        <v>za darmo</v>
      </c>
    </row>
    <row r="104" spans="1:7" x14ac:dyDescent="0.3">
      <c r="A104" s="34">
        <v>103</v>
      </c>
      <c r="B104" s="34">
        <v>640</v>
      </c>
      <c r="C104" s="34">
        <v>42</v>
      </c>
      <c r="D104" s="34">
        <v>4370</v>
      </c>
      <c r="E104" s="34">
        <v>26</v>
      </c>
      <c r="F104" s="34" t="s">
        <v>55</v>
      </c>
      <c r="G104" s="34" t="str">
        <f>VLOOKUP(B104,Dane!$A$1:$G$1001,6,FALSE)</f>
        <v>własność</v>
      </c>
    </row>
    <row r="105" spans="1:7" x14ac:dyDescent="0.3">
      <c r="A105" s="34">
        <v>104</v>
      </c>
      <c r="B105" s="34">
        <v>508</v>
      </c>
      <c r="C105" s="34">
        <v>15</v>
      </c>
      <c r="D105" s="34">
        <v>6850</v>
      </c>
      <c r="E105" s="34">
        <v>34</v>
      </c>
      <c r="F105" s="34" t="s">
        <v>55</v>
      </c>
      <c r="G105" s="34" t="str">
        <f>VLOOKUP(B105,Dane!$A$1:$G$1001,6,FALSE)</f>
        <v>własność</v>
      </c>
    </row>
    <row r="106" spans="1:7" x14ac:dyDescent="0.3">
      <c r="A106" s="34">
        <v>105</v>
      </c>
      <c r="B106" s="34">
        <v>117</v>
      </c>
      <c r="C106" s="34">
        <v>42</v>
      </c>
      <c r="D106" s="34">
        <v>7174</v>
      </c>
      <c r="E106" s="34">
        <v>30</v>
      </c>
      <c r="F106" s="34" t="s">
        <v>57</v>
      </c>
      <c r="G106" s="34" t="str">
        <f>VLOOKUP(B106,Dane!$A$1:$G$1001,6,FALSE)</f>
        <v>własność</v>
      </c>
    </row>
    <row r="107" spans="1:7" x14ac:dyDescent="0.3">
      <c r="A107" s="34">
        <v>106</v>
      </c>
      <c r="B107" s="34">
        <v>935</v>
      </c>
      <c r="C107" s="34">
        <v>12</v>
      </c>
      <c r="D107" s="34">
        <v>1498</v>
      </c>
      <c r="E107" s="34">
        <v>23</v>
      </c>
      <c r="F107" s="34" t="s">
        <v>56</v>
      </c>
      <c r="G107" s="34" t="str">
        <f>VLOOKUP(B107,Dane!$A$1:$G$1001,6,FALSE)</f>
        <v>własność</v>
      </c>
    </row>
    <row r="108" spans="1:7" x14ac:dyDescent="0.3">
      <c r="A108" s="34">
        <v>107</v>
      </c>
      <c r="B108" s="34">
        <v>976</v>
      </c>
      <c r="C108" s="34">
        <v>24</v>
      </c>
      <c r="D108" s="34">
        <v>1258</v>
      </c>
      <c r="E108" s="34">
        <v>57</v>
      </c>
      <c r="F108" s="34" t="s">
        <v>56</v>
      </c>
      <c r="G108" s="34" t="str">
        <f>VLOOKUP(B108,Dane!$A$1:$G$1001,6,FALSE)</f>
        <v>własność</v>
      </c>
    </row>
    <row r="109" spans="1:7" x14ac:dyDescent="0.3">
      <c r="A109" s="34">
        <v>108</v>
      </c>
      <c r="B109" s="34">
        <v>258</v>
      </c>
      <c r="C109" s="34">
        <v>12</v>
      </c>
      <c r="D109" s="34">
        <v>2149</v>
      </c>
      <c r="E109" s="34">
        <v>29</v>
      </c>
      <c r="F109" s="34" t="s">
        <v>55</v>
      </c>
      <c r="G109" s="34" t="str">
        <f>VLOOKUP(B109,Dane!$A$1:$G$1001,6,FALSE)</f>
        <v>za darmo</v>
      </c>
    </row>
    <row r="110" spans="1:7" x14ac:dyDescent="0.3">
      <c r="A110" s="34">
        <v>109</v>
      </c>
      <c r="B110" s="34">
        <v>452</v>
      </c>
      <c r="C110" s="34">
        <v>6</v>
      </c>
      <c r="D110" s="34">
        <v>518</v>
      </c>
      <c r="E110" s="34">
        <v>29</v>
      </c>
      <c r="F110" s="34" t="s">
        <v>56</v>
      </c>
      <c r="G110" s="34" t="str">
        <f>VLOOKUP(B110,Dane!$A$1:$G$1001,6,FALSE)</f>
        <v>własność</v>
      </c>
    </row>
    <row r="111" spans="1:7" x14ac:dyDescent="0.3">
      <c r="A111" s="34">
        <v>110</v>
      </c>
      <c r="B111" s="34">
        <v>47</v>
      </c>
      <c r="C111" s="34">
        <v>36</v>
      </c>
      <c r="D111" s="34">
        <v>2299</v>
      </c>
      <c r="E111" s="34">
        <v>39</v>
      </c>
      <c r="F111" s="34" t="s">
        <v>54</v>
      </c>
      <c r="G111" s="34" t="str">
        <f>VLOOKUP(B111,Dane!$A$1:$G$1001,6,FALSE)</f>
        <v>własność</v>
      </c>
    </row>
    <row r="112" spans="1:7" x14ac:dyDescent="0.3">
      <c r="A112" s="34">
        <v>111</v>
      </c>
      <c r="B112" s="34">
        <v>920</v>
      </c>
      <c r="C112" s="34">
        <v>24</v>
      </c>
      <c r="D112" s="34">
        <v>3345</v>
      </c>
      <c r="E112" s="34">
        <v>39</v>
      </c>
      <c r="F112" s="34" t="s">
        <v>55</v>
      </c>
      <c r="G112" s="34" t="str">
        <f>VLOOKUP(B112,Dane!$A$1:$G$1001,6,FALSE)</f>
        <v>wynajem</v>
      </c>
    </row>
    <row r="113" spans="1:7" x14ac:dyDescent="0.3">
      <c r="A113" s="34">
        <v>112</v>
      </c>
      <c r="B113" s="34">
        <v>972</v>
      </c>
      <c r="C113" s="34">
        <v>24</v>
      </c>
      <c r="D113" s="34">
        <v>7393</v>
      </c>
      <c r="E113" s="34">
        <v>43</v>
      </c>
      <c r="F113" s="34" t="s">
        <v>54</v>
      </c>
      <c r="G113" s="34" t="str">
        <f>VLOOKUP(B113,Dane!$A$1:$G$1001,6,FALSE)</f>
        <v>własność</v>
      </c>
    </row>
    <row r="114" spans="1:7" x14ac:dyDescent="0.3">
      <c r="A114" s="34">
        <v>113</v>
      </c>
      <c r="B114" s="34">
        <v>74</v>
      </c>
      <c r="C114" s="34">
        <v>42</v>
      </c>
      <c r="D114" s="34">
        <v>5954</v>
      </c>
      <c r="E114" s="34">
        <v>41</v>
      </c>
      <c r="F114" s="34" t="s">
        <v>56</v>
      </c>
      <c r="G114" s="34" t="str">
        <f>VLOOKUP(B114,Dane!$A$1:$G$1001,6,FALSE)</f>
        <v>własność</v>
      </c>
    </row>
    <row r="115" spans="1:7" x14ac:dyDescent="0.3">
      <c r="A115" s="34">
        <v>114</v>
      </c>
      <c r="B115" s="34">
        <v>862</v>
      </c>
      <c r="C115" s="34">
        <v>18</v>
      </c>
      <c r="D115" s="34">
        <v>2169</v>
      </c>
      <c r="E115" s="34">
        <v>28</v>
      </c>
      <c r="F115" s="34" t="s">
        <v>55</v>
      </c>
      <c r="G115" s="34" t="str">
        <f>VLOOKUP(B115,Dane!$A$1:$G$1001,6,FALSE)</f>
        <v>własność</v>
      </c>
    </row>
    <row r="116" spans="1:7" x14ac:dyDescent="0.3">
      <c r="A116" s="34">
        <v>115</v>
      </c>
      <c r="B116" s="34">
        <v>675</v>
      </c>
      <c r="C116" s="34">
        <v>21</v>
      </c>
      <c r="D116" s="34">
        <v>2580</v>
      </c>
      <c r="E116" s="34">
        <v>41</v>
      </c>
      <c r="F116" s="34" t="s">
        <v>55</v>
      </c>
      <c r="G116" s="34" t="str">
        <f>VLOOKUP(B116,Dane!$A$1:$G$1001,6,FALSE)</f>
        <v>własność</v>
      </c>
    </row>
    <row r="117" spans="1:7" x14ac:dyDescent="0.3">
      <c r="A117" s="34">
        <v>116</v>
      </c>
      <c r="B117" s="34">
        <v>325</v>
      </c>
      <c r="C117" s="34">
        <v>18</v>
      </c>
      <c r="D117" s="34">
        <v>1028</v>
      </c>
      <c r="E117" s="34">
        <v>36</v>
      </c>
      <c r="F117" s="34" t="s">
        <v>56</v>
      </c>
      <c r="G117" s="34" t="str">
        <f>VLOOKUP(B117,Dane!$A$1:$G$1001,6,FALSE)</f>
        <v>własność</v>
      </c>
    </row>
    <row r="118" spans="1:7" x14ac:dyDescent="0.3">
      <c r="A118" s="34">
        <v>117</v>
      </c>
      <c r="B118" s="34">
        <v>595</v>
      </c>
      <c r="C118" s="34">
        <v>24</v>
      </c>
      <c r="D118" s="34">
        <v>1358</v>
      </c>
      <c r="E118" s="34">
        <v>40</v>
      </c>
      <c r="F118" s="34" t="s">
        <v>55</v>
      </c>
      <c r="G118" s="34" t="str">
        <f>VLOOKUP(B118,Dane!$A$1:$G$1001,6,FALSE)</f>
        <v>własność</v>
      </c>
    </row>
    <row r="119" spans="1:7" x14ac:dyDescent="0.3">
      <c r="A119" s="34">
        <v>118</v>
      </c>
      <c r="B119" s="34">
        <v>162</v>
      </c>
      <c r="C119" s="34">
        <v>18</v>
      </c>
      <c r="D119" s="34">
        <v>1055</v>
      </c>
      <c r="E119" s="34">
        <v>30</v>
      </c>
      <c r="F119" s="34" t="s">
        <v>56</v>
      </c>
      <c r="G119" s="34" t="str">
        <f>VLOOKUP(B119,Dane!$A$1:$G$1001,6,FALSE)</f>
        <v>własność</v>
      </c>
    </row>
    <row r="120" spans="1:7" x14ac:dyDescent="0.3">
      <c r="A120" s="34">
        <v>119</v>
      </c>
      <c r="B120" s="34">
        <v>424</v>
      </c>
      <c r="C120" s="34">
        <v>21</v>
      </c>
      <c r="D120" s="34">
        <v>1591</v>
      </c>
      <c r="E120" s="34">
        <v>34</v>
      </c>
      <c r="F120" s="34" t="s">
        <v>54</v>
      </c>
      <c r="G120" s="34" t="str">
        <f>VLOOKUP(B120,Dane!$A$1:$G$1001,6,FALSE)</f>
        <v>własność</v>
      </c>
    </row>
    <row r="121" spans="1:7" x14ac:dyDescent="0.3">
      <c r="A121" s="34">
        <v>120</v>
      </c>
      <c r="B121" s="34">
        <v>506</v>
      </c>
      <c r="C121" s="34">
        <v>10</v>
      </c>
      <c r="D121" s="34">
        <v>1309</v>
      </c>
      <c r="E121" s="34">
        <v>27</v>
      </c>
      <c r="F121" s="34" t="s">
        <v>55</v>
      </c>
      <c r="G121" s="34" t="str">
        <f>VLOOKUP(B121,Dane!$A$1:$G$1001,6,FALSE)</f>
        <v>własność</v>
      </c>
    </row>
    <row r="122" spans="1:7" x14ac:dyDescent="0.3">
      <c r="A122" s="34">
        <v>121</v>
      </c>
      <c r="B122" s="34">
        <v>119</v>
      </c>
      <c r="C122" s="34">
        <v>33</v>
      </c>
      <c r="D122" s="34">
        <v>4281</v>
      </c>
      <c r="E122" s="34">
        <v>23</v>
      </c>
      <c r="F122" s="34" t="s">
        <v>57</v>
      </c>
      <c r="G122" s="34" t="str">
        <f>VLOOKUP(B122,Dane!$A$1:$G$1001,6,FALSE)</f>
        <v>własność</v>
      </c>
    </row>
    <row r="123" spans="1:7" x14ac:dyDescent="0.3">
      <c r="A123" s="34">
        <v>122</v>
      </c>
      <c r="B123" s="34">
        <v>760</v>
      </c>
      <c r="C123" s="34">
        <v>12</v>
      </c>
      <c r="D123" s="34">
        <v>691</v>
      </c>
      <c r="E123" s="34">
        <v>35</v>
      </c>
      <c r="F123" s="34" t="s">
        <v>55</v>
      </c>
      <c r="G123" s="34" t="str">
        <f>VLOOKUP(B123,Dane!$A$1:$G$1001,6,FALSE)</f>
        <v>własność</v>
      </c>
    </row>
    <row r="124" spans="1:7" x14ac:dyDescent="0.3">
      <c r="A124" s="34">
        <v>123</v>
      </c>
      <c r="B124" s="34">
        <v>226</v>
      </c>
      <c r="C124" s="34">
        <v>36</v>
      </c>
      <c r="D124" s="34">
        <v>2613</v>
      </c>
      <c r="E124" s="34">
        <v>27</v>
      </c>
      <c r="F124" s="34" t="s">
        <v>54</v>
      </c>
      <c r="G124" s="34" t="str">
        <f>VLOOKUP(B124,Dane!$A$1:$G$1001,6,FALSE)</f>
        <v>własność</v>
      </c>
    </row>
    <row r="125" spans="1:7" x14ac:dyDescent="0.3">
      <c r="A125" s="34">
        <v>124</v>
      </c>
      <c r="B125" s="34">
        <v>493</v>
      </c>
      <c r="C125" s="34">
        <v>6</v>
      </c>
      <c r="D125" s="34">
        <v>1237</v>
      </c>
      <c r="E125" s="34">
        <v>27</v>
      </c>
      <c r="F125" s="34" t="s">
        <v>56</v>
      </c>
      <c r="G125" s="34" t="str">
        <f>VLOOKUP(B125,Dane!$A$1:$G$1001,6,FALSE)</f>
        <v>własność</v>
      </c>
    </row>
    <row r="126" spans="1:7" x14ac:dyDescent="0.3">
      <c r="A126" s="34">
        <v>125</v>
      </c>
      <c r="B126" s="34">
        <v>819</v>
      </c>
      <c r="C126" s="34">
        <v>36</v>
      </c>
      <c r="D126" s="34">
        <v>15857</v>
      </c>
      <c r="E126" s="34">
        <v>43</v>
      </c>
      <c r="F126" s="34" t="s">
        <v>54</v>
      </c>
      <c r="G126" s="34" t="str">
        <f>VLOOKUP(B126,Dane!$A$1:$G$1001,6,FALSE)</f>
        <v>własność</v>
      </c>
    </row>
    <row r="127" spans="1:7" x14ac:dyDescent="0.3">
      <c r="A127" s="34">
        <v>126</v>
      </c>
      <c r="B127" s="34">
        <v>619</v>
      </c>
      <c r="C127" s="34">
        <v>30</v>
      </c>
      <c r="D127" s="34">
        <v>3441</v>
      </c>
      <c r="E127" s="34">
        <v>21</v>
      </c>
      <c r="F127" s="34" t="s">
        <v>57</v>
      </c>
      <c r="G127" s="34" t="str">
        <f>VLOOKUP(B127,Dane!$A$1:$G$1001,6,FALSE)</f>
        <v>wynajem</v>
      </c>
    </row>
    <row r="128" spans="1:7" x14ac:dyDescent="0.3">
      <c r="A128" s="34">
        <v>127</v>
      </c>
      <c r="B128" s="34">
        <v>34</v>
      </c>
      <c r="C128" s="34">
        <v>12</v>
      </c>
      <c r="D128" s="34">
        <v>1264</v>
      </c>
      <c r="E128" s="34">
        <v>57</v>
      </c>
      <c r="F128" s="34" t="s">
        <v>54</v>
      </c>
      <c r="G128" s="34" t="str">
        <f>VLOOKUP(B128,Dane!$A$1:$G$1001,6,FALSE)</f>
        <v>wynajem</v>
      </c>
    </row>
    <row r="129" spans="1:7" x14ac:dyDescent="0.3">
      <c r="A129" s="34">
        <v>128</v>
      </c>
      <c r="B129" s="34">
        <v>227</v>
      </c>
      <c r="C129" s="34">
        <v>48</v>
      </c>
      <c r="D129" s="34">
        <v>10961</v>
      </c>
      <c r="E129" s="34">
        <v>27</v>
      </c>
      <c r="F129" s="34" t="s">
        <v>55</v>
      </c>
      <c r="G129" s="34" t="str">
        <f>VLOOKUP(B129,Dane!$A$1:$G$1001,6,FALSE)</f>
        <v>własność</v>
      </c>
    </row>
    <row r="130" spans="1:7" x14ac:dyDescent="0.3">
      <c r="A130" s="34">
        <v>129</v>
      </c>
      <c r="B130" s="34">
        <v>319</v>
      </c>
      <c r="C130" s="34">
        <v>12</v>
      </c>
      <c r="D130" s="34">
        <v>701</v>
      </c>
      <c r="E130" s="34">
        <v>32</v>
      </c>
      <c r="F130" s="34" t="s">
        <v>54</v>
      </c>
      <c r="G130" s="34" t="str">
        <f>VLOOKUP(B130,Dane!$A$1:$G$1001,6,FALSE)</f>
        <v>własność</v>
      </c>
    </row>
    <row r="131" spans="1:7" x14ac:dyDescent="0.3">
      <c r="A131" s="34">
        <v>130</v>
      </c>
      <c r="B131" s="34">
        <v>155</v>
      </c>
      <c r="C131" s="34">
        <v>24</v>
      </c>
      <c r="D131" s="34">
        <v>6967</v>
      </c>
      <c r="E131" s="34">
        <v>36</v>
      </c>
      <c r="F131" s="34" t="s">
        <v>54</v>
      </c>
      <c r="G131" s="34" t="str">
        <f>VLOOKUP(B131,Dane!$A$1:$G$1001,6,FALSE)</f>
        <v>wynajem</v>
      </c>
    </row>
    <row r="132" spans="1:7" x14ac:dyDescent="0.3">
      <c r="A132" s="34">
        <v>131</v>
      </c>
      <c r="B132" s="34">
        <v>673</v>
      </c>
      <c r="C132" s="34">
        <v>60</v>
      </c>
      <c r="D132" s="34">
        <v>10366</v>
      </c>
      <c r="E132" s="34">
        <v>42</v>
      </c>
      <c r="F132" s="34" t="s">
        <v>54</v>
      </c>
      <c r="G132" s="34" t="str">
        <f>VLOOKUP(B132,Dane!$A$1:$G$1001,6,FALSE)</f>
        <v>własność</v>
      </c>
    </row>
    <row r="133" spans="1:7" x14ac:dyDescent="0.3">
      <c r="A133" s="34">
        <v>132</v>
      </c>
      <c r="B133" s="34">
        <v>194</v>
      </c>
      <c r="C133" s="34">
        <v>6</v>
      </c>
      <c r="D133" s="34">
        <v>2108</v>
      </c>
      <c r="E133" s="34">
        <v>29</v>
      </c>
      <c r="F133" s="34" t="s">
        <v>54</v>
      </c>
      <c r="G133" s="34" t="str">
        <f>VLOOKUP(B133,Dane!$A$1:$G$1001,6,FALSE)</f>
        <v>wynajem</v>
      </c>
    </row>
    <row r="134" spans="1:7" x14ac:dyDescent="0.3">
      <c r="A134" s="34">
        <v>133</v>
      </c>
      <c r="B134" s="34">
        <v>436</v>
      </c>
      <c r="C134" s="34">
        <v>12</v>
      </c>
      <c r="D134" s="34">
        <v>1484</v>
      </c>
      <c r="E134" s="34">
        <v>25</v>
      </c>
      <c r="F134" s="34" t="s">
        <v>55</v>
      </c>
      <c r="G134" s="34" t="str">
        <f>VLOOKUP(B134,Dane!$A$1:$G$1001,6,FALSE)</f>
        <v>własność</v>
      </c>
    </row>
    <row r="135" spans="1:7" x14ac:dyDescent="0.3">
      <c r="A135" s="34">
        <v>134</v>
      </c>
      <c r="B135" s="34">
        <v>304</v>
      </c>
      <c r="C135" s="34">
        <v>10</v>
      </c>
      <c r="D135" s="34">
        <v>1038</v>
      </c>
      <c r="E135" s="34">
        <v>49</v>
      </c>
      <c r="F135" s="34" t="s">
        <v>54</v>
      </c>
      <c r="G135" s="34" t="str">
        <f>VLOOKUP(B135,Dane!$A$1:$G$1001,6,FALSE)</f>
        <v>własność</v>
      </c>
    </row>
    <row r="136" spans="1:7" x14ac:dyDescent="0.3">
      <c r="A136" s="34">
        <v>135</v>
      </c>
      <c r="B136" s="34">
        <v>439</v>
      </c>
      <c r="C136" s="34">
        <v>42</v>
      </c>
      <c r="D136" s="34">
        <v>3394</v>
      </c>
      <c r="E136" s="34">
        <v>65</v>
      </c>
      <c r="F136" s="34" t="s">
        <v>54</v>
      </c>
      <c r="G136" s="34" t="str">
        <f>VLOOKUP(B136,Dane!$A$1:$G$1001,6,FALSE)</f>
        <v>własność</v>
      </c>
    </row>
    <row r="137" spans="1:7" x14ac:dyDescent="0.3">
      <c r="A137" s="34">
        <v>136</v>
      </c>
      <c r="B137" s="34">
        <v>499</v>
      </c>
      <c r="C137" s="34">
        <v>18</v>
      </c>
      <c r="D137" s="34">
        <v>1301</v>
      </c>
      <c r="E137" s="34">
        <v>32</v>
      </c>
      <c r="F137" s="34" t="s">
        <v>54</v>
      </c>
      <c r="G137" s="34" t="str">
        <f>VLOOKUP(B137,Dane!$A$1:$G$1001,6,FALSE)</f>
        <v>własność</v>
      </c>
    </row>
    <row r="138" spans="1:7" x14ac:dyDescent="0.3">
      <c r="A138" s="34">
        <v>137</v>
      </c>
      <c r="B138" s="34">
        <v>708</v>
      </c>
      <c r="C138" s="34">
        <v>12</v>
      </c>
      <c r="D138" s="34">
        <v>2969</v>
      </c>
      <c r="E138" s="34">
        <v>25</v>
      </c>
      <c r="F138" s="34" t="s">
        <v>57</v>
      </c>
      <c r="G138" s="34" t="str">
        <f>VLOOKUP(B138,Dane!$A$1:$G$1001,6,FALSE)</f>
        <v>wynajem</v>
      </c>
    </row>
    <row r="139" spans="1:7" x14ac:dyDescent="0.3">
      <c r="A139" s="34">
        <v>138</v>
      </c>
      <c r="B139" s="34">
        <v>778</v>
      </c>
      <c r="C139" s="34">
        <v>18</v>
      </c>
      <c r="D139" s="34">
        <v>3509</v>
      </c>
      <c r="E139" s="34">
        <v>25</v>
      </c>
      <c r="F139" s="34" t="s">
        <v>56</v>
      </c>
      <c r="G139" s="34" t="str">
        <f>VLOOKUP(B139,Dane!$A$1:$G$1001,6,FALSE)</f>
        <v>własność</v>
      </c>
    </row>
    <row r="140" spans="1:7" x14ac:dyDescent="0.3">
      <c r="A140" s="34">
        <v>139</v>
      </c>
      <c r="B140" s="34">
        <v>914</v>
      </c>
      <c r="C140" s="34">
        <v>11</v>
      </c>
      <c r="D140" s="34">
        <v>2142</v>
      </c>
      <c r="E140" s="34">
        <v>28</v>
      </c>
      <c r="F140" s="34" t="s">
        <v>54</v>
      </c>
      <c r="G140" s="34" t="str">
        <f>VLOOKUP(B140,Dane!$A$1:$G$1001,6,FALSE)</f>
        <v>własność</v>
      </c>
    </row>
    <row r="141" spans="1:7" x14ac:dyDescent="0.3">
      <c r="A141" s="34">
        <v>140</v>
      </c>
      <c r="B141" s="34">
        <v>585</v>
      </c>
      <c r="C141" s="34">
        <v>12</v>
      </c>
      <c r="D141" s="34">
        <v>2133</v>
      </c>
      <c r="E141" s="34">
        <v>52</v>
      </c>
      <c r="F141" s="34" t="s">
        <v>56</v>
      </c>
      <c r="G141" s="34" t="str">
        <f>VLOOKUP(B141,Dane!$A$1:$G$1001,6,FALSE)</f>
        <v>za darmo</v>
      </c>
    </row>
    <row r="142" spans="1:7" x14ac:dyDescent="0.3">
      <c r="A142" s="34">
        <v>141</v>
      </c>
      <c r="B142" s="34">
        <v>565</v>
      </c>
      <c r="C142" s="34">
        <v>24</v>
      </c>
      <c r="D142" s="34">
        <v>4712</v>
      </c>
      <c r="E142" s="34">
        <v>37</v>
      </c>
      <c r="F142" s="34" t="s">
        <v>54</v>
      </c>
      <c r="G142" s="34" t="str">
        <f>VLOOKUP(B142,Dane!$A$1:$G$1001,6,FALSE)</f>
        <v>własność</v>
      </c>
    </row>
    <row r="143" spans="1:7" x14ac:dyDescent="0.3">
      <c r="A143" s="34">
        <v>142</v>
      </c>
      <c r="B143" s="34">
        <v>8</v>
      </c>
      <c r="C143" s="34">
        <v>36</v>
      </c>
      <c r="D143" s="34">
        <v>6948</v>
      </c>
      <c r="E143" s="34">
        <v>35</v>
      </c>
      <c r="F143" s="34" t="s">
        <v>54</v>
      </c>
      <c r="G143" s="34" t="str">
        <f>VLOOKUP(B143,Dane!$A$1:$G$1001,6,FALSE)</f>
        <v>wynajem</v>
      </c>
    </row>
    <row r="144" spans="1:7" x14ac:dyDescent="0.3">
      <c r="A144" s="34">
        <v>143</v>
      </c>
      <c r="B144" s="34">
        <v>832</v>
      </c>
      <c r="C144" s="34">
        <v>18</v>
      </c>
      <c r="D144" s="34">
        <v>1216</v>
      </c>
      <c r="E144" s="34">
        <v>23</v>
      </c>
      <c r="F144" s="34" t="s">
        <v>57</v>
      </c>
      <c r="G144" s="34" t="str">
        <f>VLOOKUP(B144,Dane!$A$1:$G$1001,6,FALSE)</f>
        <v>wynajem</v>
      </c>
    </row>
    <row r="145" spans="1:7" x14ac:dyDescent="0.3">
      <c r="A145" s="34">
        <v>144</v>
      </c>
      <c r="B145" s="34">
        <v>584</v>
      </c>
      <c r="C145" s="34">
        <v>36</v>
      </c>
      <c r="D145" s="34">
        <v>2384</v>
      </c>
      <c r="E145" s="34">
        <v>33</v>
      </c>
      <c r="F145" s="34" t="s">
        <v>55</v>
      </c>
      <c r="G145" s="34" t="str">
        <f>VLOOKUP(B145,Dane!$A$1:$G$1001,6,FALSE)</f>
        <v>wynajem</v>
      </c>
    </row>
    <row r="146" spans="1:7" x14ac:dyDescent="0.3">
      <c r="A146" s="34">
        <v>145</v>
      </c>
      <c r="B146" s="34">
        <v>689</v>
      </c>
      <c r="C146" s="34">
        <v>9</v>
      </c>
      <c r="D146" s="34">
        <v>2753</v>
      </c>
      <c r="E146" s="34">
        <v>35</v>
      </c>
      <c r="F146" s="34" t="s">
        <v>54</v>
      </c>
      <c r="G146" s="34" t="str">
        <f>VLOOKUP(B146,Dane!$A$1:$G$1001,6,FALSE)</f>
        <v>własność</v>
      </c>
    </row>
    <row r="147" spans="1:7" x14ac:dyDescent="0.3">
      <c r="A147" s="34">
        <v>146</v>
      </c>
      <c r="B147" s="34">
        <v>909</v>
      </c>
      <c r="C147" s="34">
        <v>15</v>
      </c>
      <c r="D147" s="34">
        <v>3594</v>
      </c>
      <c r="E147" s="34">
        <v>46</v>
      </c>
      <c r="F147" s="34" t="s">
        <v>56</v>
      </c>
      <c r="G147" s="34" t="str">
        <f>VLOOKUP(B147,Dane!$A$1:$G$1001,6,FALSE)</f>
        <v>własność</v>
      </c>
    </row>
    <row r="148" spans="1:7" x14ac:dyDescent="0.3">
      <c r="A148" s="34">
        <v>147</v>
      </c>
      <c r="B148" s="34">
        <v>31</v>
      </c>
      <c r="C148" s="34">
        <v>18</v>
      </c>
      <c r="D148" s="34">
        <v>1913</v>
      </c>
      <c r="E148" s="34">
        <v>36</v>
      </c>
      <c r="F148" s="34" t="s">
        <v>54</v>
      </c>
      <c r="G148" s="34" t="str">
        <f>VLOOKUP(B148,Dane!$A$1:$G$1001,6,FALSE)</f>
        <v>własność</v>
      </c>
    </row>
    <row r="149" spans="1:7" x14ac:dyDescent="0.3">
      <c r="A149" s="34">
        <v>148</v>
      </c>
      <c r="B149" s="34">
        <v>590</v>
      </c>
      <c r="C149" s="34">
        <v>12</v>
      </c>
      <c r="D149" s="34">
        <v>2246</v>
      </c>
      <c r="E149" s="34">
        <v>60</v>
      </c>
      <c r="F149" s="34" t="s">
        <v>55</v>
      </c>
      <c r="G149" s="34" t="str">
        <f>VLOOKUP(B149,Dane!$A$1:$G$1001,6,FALSE)</f>
        <v>własność</v>
      </c>
    </row>
    <row r="150" spans="1:7" x14ac:dyDescent="0.3">
      <c r="A150" s="34">
        <v>149</v>
      </c>
      <c r="B150" s="34">
        <v>848</v>
      </c>
      <c r="C150" s="34">
        <v>24</v>
      </c>
      <c r="D150" s="34">
        <v>1249</v>
      </c>
      <c r="E150" s="34">
        <v>28</v>
      </c>
      <c r="F150" s="34" t="s">
        <v>54</v>
      </c>
      <c r="G150" s="34" t="str">
        <f>VLOOKUP(B150,Dane!$A$1:$G$1001,6,FALSE)</f>
        <v>własność</v>
      </c>
    </row>
    <row r="151" spans="1:7" x14ac:dyDescent="0.3">
      <c r="A151" s="34">
        <v>150</v>
      </c>
      <c r="B151" s="34">
        <v>137</v>
      </c>
      <c r="C151" s="34">
        <v>27</v>
      </c>
      <c r="D151" s="34">
        <v>8613</v>
      </c>
      <c r="E151" s="34">
        <v>27</v>
      </c>
      <c r="F151" s="34" t="s">
        <v>54</v>
      </c>
      <c r="G151" s="34" t="str">
        <f>VLOOKUP(B151,Dane!$A$1:$G$1001,6,FALSE)</f>
        <v>własność</v>
      </c>
    </row>
    <row r="152" spans="1:7" x14ac:dyDescent="0.3">
      <c r="A152" s="34">
        <v>151</v>
      </c>
      <c r="B152" s="34">
        <v>106</v>
      </c>
      <c r="C152" s="34">
        <v>24</v>
      </c>
      <c r="D152" s="34">
        <v>11938</v>
      </c>
      <c r="E152" s="34">
        <v>39</v>
      </c>
      <c r="F152" s="34" t="s">
        <v>55</v>
      </c>
      <c r="G152" s="34" t="str">
        <f>VLOOKUP(B152,Dane!$A$1:$G$1001,6,FALSE)</f>
        <v>własność</v>
      </c>
    </row>
    <row r="153" spans="1:7" x14ac:dyDescent="0.3">
      <c r="A153" s="34">
        <v>152</v>
      </c>
      <c r="B153" s="34">
        <v>248</v>
      </c>
      <c r="C153" s="34">
        <v>6</v>
      </c>
      <c r="D153" s="34">
        <v>1204</v>
      </c>
      <c r="E153" s="34">
        <v>35</v>
      </c>
      <c r="F153" s="34" t="s">
        <v>54</v>
      </c>
      <c r="G153" s="34" t="str">
        <f>VLOOKUP(B153,Dane!$A$1:$G$1001,6,FALSE)</f>
        <v>wynajem</v>
      </c>
    </row>
    <row r="154" spans="1:7" x14ac:dyDescent="0.3">
      <c r="A154" s="34">
        <v>153</v>
      </c>
      <c r="B154" s="34">
        <v>276</v>
      </c>
      <c r="C154" s="34">
        <v>9</v>
      </c>
      <c r="D154" s="34">
        <v>2697</v>
      </c>
      <c r="E154" s="34">
        <v>32</v>
      </c>
      <c r="F154" s="34" t="s">
        <v>54</v>
      </c>
      <c r="G154" s="34" t="str">
        <f>VLOOKUP(B154,Dane!$A$1:$G$1001,6,FALSE)</f>
        <v>własność</v>
      </c>
    </row>
    <row r="155" spans="1:7" x14ac:dyDescent="0.3">
      <c r="A155" s="34">
        <v>154</v>
      </c>
      <c r="B155" s="34">
        <v>664</v>
      </c>
      <c r="C155" s="34">
        <v>6</v>
      </c>
      <c r="D155" s="34">
        <v>1050</v>
      </c>
      <c r="E155" s="34">
        <v>35</v>
      </c>
      <c r="F155" s="34" t="s">
        <v>54</v>
      </c>
      <c r="G155" s="34" t="str">
        <f>VLOOKUP(B155,Dane!$A$1:$G$1001,6,FALSE)</f>
        <v>własność</v>
      </c>
    </row>
    <row r="156" spans="1:7" x14ac:dyDescent="0.3">
      <c r="A156" s="34">
        <v>155</v>
      </c>
      <c r="B156" s="34">
        <v>850</v>
      </c>
      <c r="C156" s="34">
        <v>12</v>
      </c>
      <c r="D156" s="34">
        <v>709</v>
      </c>
      <c r="E156" s="34">
        <v>57</v>
      </c>
      <c r="F156" s="34" t="s">
        <v>55</v>
      </c>
      <c r="G156" s="34" t="str">
        <f>VLOOKUP(B156,Dane!$A$1:$G$1001,6,FALSE)</f>
        <v>własność</v>
      </c>
    </row>
    <row r="157" spans="1:7" x14ac:dyDescent="0.3">
      <c r="A157" s="34">
        <v>156</v>
      </c>
      <c r="B157" s="34">
        <v>644</v>
      </c>
      <c r="C157" s="34">
        <v>24</v>
      </c>
      <c r="D157" s="34">
        <v>1851</v>
      </c>
      <c r="E157" s="34">
        <v>33</v>
      </c>
      <c r="F157" s="34" t="s">
        <v>54</v>
      </c>
      <c r="G157" s="34" t="str">
        <f>VLOOKUP(B157,Dane!$A$1:$G$1001,6,FALSE)</f>
        <v>własność</v>
      </c>
    </row>
    <row r="158" spans="1:7" x14ac:dyDescent="0.3">
      <c r="A158" s="34">
        <v>157</v>
      </c>
      <c r="B158" s="34">
        <v>40</v>
      </c>
      <c r="C158" s="34">
        <v>9</v>
      </c>
      <c r="D158" s="34">
        <v>458</v>
      </c>
      <c r="E158" s="34">
        <v>24</v>
      </c>
      <c r="F158" s="34" t="s">
        <v>54</v>
      </c>
      <c r="G158" s="34" t="str">
        <f>VLOOKUP(B158,Dane!$A$1:$G$1001,6,FALSE)</f>
        <v>własność</v>
      </c>
    </row>
    <row r="159" spans="1:7" x14ac:dyDescent="0.3">
      <c r="A159" s="34">
        <v>158</v>
      </c>
      <c r="B159" s="34">
        <v>46</v>
      </c>
      <c r="C159" s="34">
        <v>11</v>
      </c>
      <c r="D159" s="34">
        <v>1393</v>
      </c>
      <c r="E159" s="34">
        <v>35</v>
      </c>
      <c r="F159" s="34" t="s">
        <v>56</v>
      </c>
      <c r="G159" s="34" t="str">
        <f>VLOOKUP(B159,Dane!$A$1:$G$1001,6,FALSE)</f>
        <v>własność</v>
      </c>
    </row>
    <row r="160" spans="1:7" x14ac:dyDescent="0.3">
      <c r="A160" s="34">
        <v>159</v>
      </c>
      <c r="B160" s="34">
        <v>76</v>
      </c>
      <c r="C160" s="34">
        <v>12</v>
      </c>
      <c r="D160" s="34">
        <v>1526</v>
      </c>
      <c r="E160" s="34">
        <v>66</v>
      </c>
      <c r="F160" s="34" t="s">
        <v>54</v>
      </c>
      <c r="G160" s="34" t="str">
        <f>VLOOKUP(B160,Dane!$A$1:$G$1001,6,FALSE)</f>
        <v>za darmo</v>
      </c>
    </row>
    <row r="161" spans="1:7" x14ac:dyDescent="0.3">
      <c r="A161" s="34">
        <v>160</v>
      </c>
      <c r="B161" s="34">
        <v>889</v>
      </c>
      <c r="C161" s="34">
        <v>36</v>
      </c>
      <c r="D161" s="34">
        <v>6614</v>
      </c>
      <c r="E161" s="34">
        <v>34</v>
      </c>
      <c r="F161" s="34" t="s">
        <v>54</v>
      </c>
      <c r="G161" s="34" t="str">
        <f>VLOOKUP(B161,Dane!$A$1:$G$1001,6,FALSE)</f>
        <v>własność</v>
      </c>
    </row>
    <row r="162" spans="1:7" x14ac:dyDescent="0.3">
      <c r="A162" s="34">
        <v>161</v>
      </c>
      <c r="B162" s="34">
        <v>523</v>
      </c>
      <c r="C162" s="34">
        <v>48</v>
      </c>
      <c r="D162" s="34">
        <v>7119</v>
      </c>
      <c r="E162" s="34">
        <v>53</v>
      </c>
      <c r="F162" s="34" t="s">
        <v>55</v>
      </c>
      <c r="G162" s="34" t="str">
        <f>VLOOKUP(B162,Dane!$A$1:$G$1001,6,FALSE)</f>
        <v>za darmo</v>
      </c>
    </row>
    <row r="163" spans="1:7" x14ac:dyDescent="0.3">
      <c r="A163" s="34">
        <v>162</v>
      </c>
      <c r="B163" s="34">
        <v>730</v>
      </c>
      <c r="C163" s="34">
        <v>24</v>
      </c>
      <c r="D163" s="34">
        <v>1275</v>
      </c>
      <c r="E163" s="34">
        <v>36</v>
      </c>
      <c r="F163" s="34" t="s">
        <v>54</v>
      </c>
      <c r="G163" s="34" t="str">
        <f>VLOOKUP(B163,Dane!$A$1:$G$1001,6,FALSE)</f>
        <v>własność</v>
      </c>
    </row>
    <row r="164" spans="1:7" x14ac:dyDescent="0.3">
      <c r="A164" s="34">
        <v>163</v>
      </c>
      <c r="B164" s="34">
        <v>303</v>
      </c>
      <c r="C164" s="34">
        <v>24</v>
      </c>
      <c r="D164" s="34">
        <v>1344</v>
      </c>
      <c r="E164" s="34">
        <v>37</v>
      </c>
      <c r="F164" s="34" t="s">
        <v>55</v>
      </c>
      <c r="G164" s="34" t="str">
        <f>VLOOKUP(B164,Dane!$A$1:$G$1001,6,FALSE)</f>
        <v>własność</v>
      </c>
    </row>
    <row r="165" spans="1:7" x14ac:dyDescent="0.3">
      <c r="A165" s="34">
        <v>164</v>
      </c>
      <c r="B165" s="34">
        <v>696</v>
      </c>
      <c r="C165" s="34">
        <v>6</v>
      </c>
      <c r="D165" s="34">
        <v>1236</v>
      </c>
      <c r="E165" s="34">
        <v>50</v>
      </c>
      <c r="F165" s="34" t="s">
        <v>54</v>
      </c>
      <c r="G165" s="34" t="str">
        <f>VLOOKUP(B165,Dane!$A$1:$G$1001,6,FALSE)</f>
        <v>wynajem</v>
      </c>
    </row>
    <row r="166" spans="1:7" x14ac:dyDescent="0.3">
      <c r="A166" s="34">
        <v>165</v>
      </c>
      <c r="B166" s="34">
        <v>26</v>
      </c>
      <c r="C166" s="34">
        <v>6</v>
      </c>
      <c r="D166" s="34">
        <v>1374</v>
      </c>
      <c r="E166" s="34">
        <v>36</v>
      </c>
      <c r="F166" s="34" t="s">
        <v>54</v>
      </c>
      <c r="G166" s="34" t="str">
        <f>VLOOKUP(B166,Dane!$A$1:$G$1001,6,FALSE)</f>
        <v>własność</v>
      </c>
    </row>
    <row r="167" spans="1:7" x14ac:dyDescent="0.3">
      <c r="A167" s="34">
        <v>166</v>
      </c>
      <c r="B167" s="34">
        <v>659</v>
      </c>
      <c r="C167" s="34">
        <v>30</v>
      </c>
      <c r="D167" s="34">
        <v>4221</v>
      </c>
      <c r="E167" s="34">
        <v>28</v>
      </c>
      <c r="F167" s="34" t="s">
        <v>56</v>
      </c>
      <c r="G167" s="34" t="str">
        <f>VLOOKUP(B167,Dane!$A$1:$G$1001,6,FALSE)</f>
        <v>własność</v>
      </c>
    </row>
    <row r="168" spans="1:7" x14ac:dyDescent="0.3">
      <c r="A168" s="34">
        <v>167</v>
      </c>
      <c r="B168" s="34">
        <v>170</v>
      </c>
      <c r="C168" s="34">
        <v>24</v>
      </c>
      <c r="D168" s="34">
        <v>1935</v>
      </c>
      <c r="E168" s="34">
        <v>31</v>
      </c>
      <c r="F168" s="34" t="s">
        <v>55</v>
      </c>
      <c r="G168" s="34" t="str">
        <f>VLOOKUP(B168,Dane!$A$1:$G$1001,6,FALSE)</f>
        <v>własność</v>
      </c>
    </row>
    <row r="169" spans="1:7" x14ac:dyDescent="0.3">
      <c r="A169" s="34">
        <v>168</v>
      </c>
      <c r="B169" s="34">
        <v>872</v>
      </c>
      <c r="C169" s="34">
        <v>6</v>
      </c>
      <c r="D169" s="34">
        <v>1343</v>
      </c>
      <c r="E169" s="34">
        <v>46</v>
      </c>
      <c r="F169" s="34" t="s">
        <v>54</v>
      </c>
      <c r="G169" s="34" t="str">
        <f>VLOOKUP(B169,Dane!$A$1:$G$1001,6,FALSE)</f>
        <v>własność</v>
      </c>
    </row>
    <row r="170" spans="1:7" x14ac:dyDescent="0.3">
      <c r="A170" s="34">
        <v>169</v>
      </c>
      <c r="B170" s="34">
        <v>347</v>
      </c>
      <c r="C170" s="34">
        <v>13</v>
      </c>
      <c r="D170" s="34">
        <v>882</v>
      </c>
      <c r="E170" s="34">
        <v>23</v>
      </c>
      <c r="F170" s="34" t="s">
        <v>54</v>
      </c>
      <c r="G170" s="34" t="str">
        <f>VLOOKUP(B170,Dane!$A$1:$G$1001,6,FALSE)</f>
        <v>własność</v>
      </c>
    </row>
    <row r="171" spans="1:7" x14ac:dyDescent="0.3">
      <c r="A171" s="34">
        <v>170</v>
      </c>
      <c r="B171" s="34">
        <v>928</v>
      </c>
      <c r="C171" s="34">
        <v>48</v>
      </c>
      <c r="D171" s="34">
        <v>10297</v>
      </c>
      <c r="E171" s="34">
        <v>39</v>
      </c>
      <c r="F171" s="34" t="s">
        <v>55</v>
      </c>
      <c r="G171" s="34" t="str">
        <f>VLOOKUP(B171,Dane!$A$1:$G$1001,6,FALSE)</f>
        <v>za darmo</v>
      </c>
    </row>
    <row r="172" spans="1:7" x14ac:dyDescent="0.3">
      <c r="A172" s="34">
        <v>171</v>
      </c>
      <c r="B172" s="34">
        <v>403</v>
      </c>
      <c r="C172" s="34">
        <v>24</v>
      </c>
      <c r="D172" s="34">
        <v>8648</v>
      </c>
      <c r="E172" s="34">
        <v>27</v>
      </c>
      <c r="F172" s="34" t="s">
        <v>55</v>
      </c>
      <c r="G172" s="34" t="str">
        <f>VLOOKUP(B172,Dane!$A$1:$G$1001,6,FALSE)</f>
        <v>własność</v>
      </c>
    </row>
    <row r="173" spans="1:7" x14ac:dyDescent="0.3">
      <c r="A173" s="34">
        <v>172</v>
      </c>
      <c r="B173" s="34">
        <v>368</v>
      </c>
      <c r="C173" s="34">
        <v>18</v>
      </c>
      <c r="D173" s="34">
        <v>3650</v>
      </c>
      <c r="E173" s="34">
        <v>22</v>
      </c>
      <c r="F173" s="34" t="s">
        <v>56</v>
      </c>
      <c r="G173" s="34" t="str">
        <f>VLOOKUP(B173,Dane!$A$1:$G$1001,6,FALSE)</f>
        <v>wynajem</v>
      </c>
    </row>
    <row r="174" spans="1:7" x14ac:dyDescent="0.3">
      <c r="A174" s="34">
        <v>173</v>
      </c>
      <c r="B174" s="34">
        <v>172</v>
      </c>
      <c r="C174" s="34">
        <v>12</v>
      </c>
      <c r="D174" s="34">
        <v>763</v>
      </c>
      <c r="E174" s="34">
        <v>26</v>
      </c>
      <c r="F174" s="34" t="s">
        <v>56</v>
      </c>
      <c r="G174" s="34" t="str">
        <f>VLOOKUP(B174,Dane!$A$1:$G$1001,6,FALSE)</f>
        <v>własność</v>
      </c>
    </row>
    <row r="175" spans="1:7" x14ac:dyDescent="0.3">
      <c r="A175" s="34">
        <v>174</v>
      </c>
      <c r="B175" s="34">
        <v>300</v>
      </c>
      <c r="C175" s="34">
        <v>21</v>
      </c>
      <c r="D175" s="34">
        <v>2745</v>
      </c>
      <c r="E175" s="34">
        <v>32</v>
      </c>
      <c r="F175" s="34" t="s">
        <v>54</v>
      </c>
      <c r="G175" s="34" t="str">
        <f>VLOOKUP(B175,Dane!$A$1:$G$1001,6,FALSE)</f>
        <v>własność</v>
      </c>
    </row>
    <row r="176" spans="1:7" x14ac:dyDescent="0.3">
      <c r="A176" s="34">
        <v>175</v>
      </c>
      <c r="B176" s="34">
        <v>882</v>
      </c>
      <c r="C176" s="34">
        <v>24</v>
      </c>
      <c r="D176" s="34">
        <v>9277</v>
      </c>
      <c r="E176" s="34">
        <v>48</v>
      </c>
      <c r="F176" s="34" t="s">
        <v>54</v>
      </c>
      <c r="G176" s="34" t="str">
        <f>VLOOKUP(B176,Dane!$A$1:$G$1001,6,FALSE)</f>
        <v>za darmo</v>
      </c>
    </row>
    <row r="177" spans="1:7" x14ac:dyDescent="0.3">
      <c r="A177" s="34">
        <v>176</v>
      </c>
      <c r="B177" s="34">
        <v>396</v>
      </c>
      <c r="C177" s="34">
        <v>39</v>
      </c>
      <c r="D177" s="34">
        <v>11760</v>
      </c>
      <c r="E177" s="34">
        <v>32</v>
      </c>
      <c r="F177" s="34" t="s">
        <v>54</v>
      </c>
      <c r="G177" s="34" t="str">
        <f>VLOOKUP(B177,Dane!$A$1:$G$1001,6,FALSE)</f>
        <v>wynajem</v>
      </c>
    </row>
    <row r="178" spans="1:7" x14ac:dyDescent="0.3">
      <c r="A178" s="34">
        <v>177</v>
      </c>
      <c r="B178" s="34">
        <v>171</v>
      </c>
      <c r="C178" s="34">
        <v>15</v>
      </c>
      <c r="D178" s="34">
        <v>950</v>
      </c>
      <c r="E178" s="34">
        <v>33</v>
      </c>
      <c r="F178" s="34" t="s">
        <v>55</v>
      </c>
      <c r="G178" s="34" t="str">
        <f>VLOOKUP(B178,Dane!$A$1:$G$1001,6,FALSE)</f>
        <v>wynajem</v>
      </c>
    </row>
    <row r="179" spans="1:7" x14ac:dyDescent="0.3">
      <c r="A179" s="34">
        <v>178</v>
      </c>
      <c r="B179" s="34">
        <v>841</v>
      </c>
      <c r="C179" s="34">
        <v>36</v>
      </c>
      <c r="D179" s="34">
        <v>5179</v>
      </c>
      <c r="E179" s="34">
        <v>29</v>
      </c>
      <c r="F179" s="34" t="s">
        <v>55</v>
      </c>
      <c r="G179" s="34" t="str">
        <f>VLOOKUP(B179,Dane!$A$1:$G$1001,6,FALSE)</f>
        <v>własność</v>
      </c>
    </row>
    <row r="180" spans="1:7" x14ac:dyDescent="0.3">
      <c r="A180" s="34">
        <v>179</v>
      </c>
      <c r="B180" s="34">
        <v>330</v>
      </c>
      <c r="C180" s="34">
        <v>6</v>
      </c>
      <c r="D180" s="34">
        <v>1068</v>
      </c>
      <c r="E180" s="34">
        <v>28</v>
      </c>
      <c r="F180" s="34" t="s">
        <v>54</v>
      </c>
      <c r="G180" s="34" t="str">
        <f>VLOOKUP(B180,Dane!$A$1:$G$1001,6,FALSE)</f>
        <v>własność</v>
      </c>
    </row>
    <row r="181" spans="1:7" x14ac:dyDescent="0.3">
      <c r="A181" s="34">
        <v>180</v>
      </c>
      <c r="B181" s="34">
        <v>704</v>
      </c>
      <c r="C181" s="34">
        <v>30</v>
      </c>
      <c r="D181" s="34">
        <v>2503</v>
      </c>
      <c r="E181" s="34">
        <v>41</v>
      </c>
      <c r="F181" s="34" t="s">
        <v>54</v>
      </c>
      <c r="G181" s="34" t="str">
        <f>VLOOKUP(B181,Dane!$A$1:$G$1001,6,FALSE)</f>
        <v>własność</v>
      </c>
    </row>
    <row r="182" spans="1:7" x14ac:dyDescent="0.3">
      <c r="A182" s="34">
        <v>181</v>
      </c>
      <c r="B182" s="34">
        <v>627</v>
      </c>
      <c r="C182" s="34">
        <v>6</v>
      </c>
      <c r="D182" s="34">
        <v>2116</v>
      </c>
      <c r="E182" s="34">
        <v>41</v>
      </c>
      <c r="F182" s="34" t="s">
        <v>54</v>
      </c>
      <c r="G182" s="34" t="str">
        <f>VLOOKUP(B182,Dane!$A$1:$G$1001,6,FALSE)</f>
        <v>własność</v>
      </c>
    </row>
    <row r="183" spans="1:7" x14ac:dyDescent="0.3">
      <c r="A183" s="34">
        <v>182</v>
      </c>
      <c r="B183" s="34">
        <v>428</v>
      </c>
      <c r="C183" s="34">
        <v>18</v>
      </c>
      <c r="D183" s="34">
        <v>1149</v>
      </c>
      <c r="E183" s="34">
        <v>46</v>
      </c>
      <c r="F183" s="34" t="s">
        <v>54</v>
      </c>
      <c r="G183" s="34" t="str">
        <f>VLOOKUP(B183,Dane!$A$1:$G$1001,6,FALSE)</f>
        <v>własność</v>
      </c>
    </row>
    <row r="184" spans="1:7" x14ac:dyDescent="0.3">
      <c r="A184" s="34">
        <v>183</v>
      </c>
      <c r="B184" s="34">
        <v>874</v>
      </c>
      <c r="C184" s="34">
        <v>15</v>
      </c>
      <c r="D184" s="34">
        <v>874</v>
      </c>
      <c r="E184" s="34">
        <v>24</v>
      </c>
      <c r="F184" s="34" t="s">
        <v>56</v>
      </c>
      <c r="G184" s="34" t="str">
        <f>VLOOKUP(B184,Dane!$A$1:$G$1001,6,FALSE)</f>
        <v>własność</v>
      </c>
    </row>
    <row r="185" spans="1:7" x14ac:dyDescent="0.3">
      <c r="A185" s="34">
        <v>184</v>
      </c>
      <c r="B185" s="34">
        <v>145</v>
      </c>
      <c r="C185" s="34">
        <v>21</v>
      </c>
      <c r="D185" s="34">
        <v>2288</v>
      </c>
      <c r="E185" s="34">
        <v>23</v>
      </c>
      <c r="F185" s="34" t="s">
        <v>56</v>
      </c>
      <c r="G185" s="34" t="str">
        <f>VLOOKUP(B185,Dane!$A$1:$G$1001,6,FALSE)</f>
        <v>własność</v>
      </c>
    </row>
    <row r="186" spans="1:7" x14ac:dyDescent="0.3">
      <c r="A186" s="34">
        <v>185</v>
      </c>
      <c r="B186" s="34">
        <v>519</v>
      </c>
      <c r="C186" s="34">
        <v>6</v>
      </c>
      <c r="D186" s="34">
        <v>1203</v>
      </c>
      <c r="E186" s="34">
        <v>43</v>
      </c>
      <c r="F186" s="34" t="s">
        <v>54</v>
      </c>
      <c r="G186" s="34" t="str">
        <f>VLOOKUP(B186,Dane!$A$1:$G$1001,6,FALSE)</f>
        <v>własność</v>
      </c>
    </row>
    <row r="187" spans="1:7" x14ac:dyDescent="0.3">
      <c r="A187" s="34">
        <v>186</v>
      </c>
      <c r="B187" s="34">
        <v>531</v>
      </c>
      <c r="C187" s="34">
        <v>36</v>
      </c>
      <c r="D187" s="34">
        <v>2273</v>
      </c>
      <c r="E187" s="34">
        <v>32</v>
      </c>
      <c r="F187" s="34" t="s">
        <v>54</v>
      </c>
      <c r="G187" s="34" t="str">
        <f>VLOOKUP(B187,Dane!$A$1:$G$1001,6,FALSE)</f>
        <v>własność</v>
      </c>
    </row>
    <row r="188" spans="1:7" x14ac:dyDescent="0.3">
      <c r="A188" s="34">
        <v>187</v>
      </c>
      <c r="B188" s="34">
        <v>579</v>
      </c>
      <c r="C188" s="34">
        <v>36</v>
      </c>
      <c r="D188" s="34">
        <v>2820</v>
      </c>
      <c r="E188" s="34">
        <v>27</v>
      </c>
      <c r="F188" s="34" t="s">
        <v>55</v>
      </c>
      <c r="G188" s="34" t="str">
        <f>VLOOKUP(B188,Dane!$A$1:$G$1001,6,FALSE)</f>
        <v>własność</v>
      </c>
    </row>
    <row r="189" spans="1:7" x14ac:dyDescent="0.3">
      <c r="A189" s="34">
        <v>188</v>
      </c>
      <c r="B189" s="34">
        <v>932</v>
      </c>
      <c r="C189" s="34">
        <v>9</v>
      </c>
      <c r="D189" s="34">
        <v>1670</v>
      </c>
      <c r="E189" s="34">
        <v>22</v>
      </c>
      <c r="F189" s="34" t="s">
        <v>57</v>
      </c>
      <c r="G189" s="34" t="str">
        <f>VLOOKUP(B189,Dane!$A$1:$G$1001,6,FALSE)</f>
        <v>własność</v>
      </c>
    </row>
    <row r="190" spans="1:7" x14ac:dyDescent="0.3">
      <c r="A190" s="34">
        <v>189</v>
      </c>
      <c r="B190" s="34">
        <v>861</v>
      </c>
      <c r="C190" s="34">
        <v>24</v>
      </c>
      <c r="D190" s="34">
        <v>5804</v>
      </c>
      <c r="E190" s="34">
        <v>27</v>
      </c>
      <c r="F190" s="34" t="s">
        <v>54</v>
      </c>
      <c r="G190" s="34" t="str">
        <f>VLOOKUP(B190,Dane!$A$1:$G$1001,6,FALSE)</f>
        <v>własność</v>
      </c>
    </row>
    <row r="191" spans="1:7" x14ac:dyDescent="0.3">
      <c r="A191" s="34">
        <v>190</v>
      </c>
      <c r="B191" s="34">
        <v>604</v>
      </c>
      <c r="C191" s="34">
        <v>36</v>
      </c>
      <c r="D191" s="34">
        <v>3349</v>
      </c>
      <c r="E191" s="34">
        <v>28</v>
      </c>
      <c r="F191" s="34" t="s">
        <v>57</v>
      </c>
      <c r="G191" s="34" t="str">
        <f>VLOOKUP(B191,Dane!$A$1:$G$1001,6,FALSE)</f>
        <v>własność</v>
      </c>
    </row>
    <row r="192" spans="1:7" x14ac:dyDescent="0.3">
      <c r="A192" s="34">
        <v>191</v>
      </c>
      <c r="B192" s="34">
        <v>80</v>
      </c>
      <c r="C192" s="34">
        <v>30</v>
      </c>
      <c r="D192" s="34">
        <v>3832</v>
      </c>
      <c r="E192" s="34">
        <v>22</v>
      </c>
      <c r="F192" s="34" t="s">
        <v>54</v>
      </c>
      <c r="G192" s="34" t="str">
        <f>VLOOKUP(B192,Dane!$A$1:$G$1001,6,FALSE)</f>
        <v>własność</v>
      </c>
    </row>
    <row r="193" spans="1:7" x14ac:dyDescent="0.3">
      <c r="A193" s="34">
        <v>192</v>
      </c>
      <c r="B193" s="34">
        <v>676</v>
      </c>
      <c r="C193" s="34">
        <v>30</v>
      </c>
      <c r="D193" s="34">
        <v>4530</v>
      </c>
      <c r="E193" s="34">
        <v>26</v>
      </c>
      <c r="F193" s="34" t="s">
        <v>56</v>
      </c>
      <c r="G193" s="34" t="str">
        <f>VLOOKUP(B193,Dane!$A$1:$G$1001,6,FALSE)</f>
        <v>wynajem</v>
      </c>
    </row>
    <row r="194" spans="1:7" x14ac:dyDescent="0.3">
      <c r="A194" s="34">
        <v>193</v>
      </c>
      <c r="B194" s="34">
        <v>864</v>
      </c>
      <c r="C194" s="34">
        <v>27</v>
      </c>
      <c r="D194" s="34">
        <v>4526</v>
      </c>
      <c r="E194" s="34">
        <v>32</v>
      </c>
      <c r="F194" s="34" t="s">
        <v>54</v>
      </c>
      <c r="G194" s="34" t="str">
        <f>VLOOKUP(B194,Dane!$A$1:$G$1001,6,FALSE)</f>
        <v>własność</v>
      </c>
    </row>
    <row r="195" spans="1:7" x14ac:dyDescent="0.3">
      <c r="A195" s="34">
        <v>194</v>
      </c>
      <c r="B195" s="34">
        <v>758</v>
      </c>
      <c r="C195" s="34">
        <v>15</v>
      </c>
      <c r="D195" s="34">
        <v>1271</v>
      </c>
      <c r="E195" s="34">
        <v>39</v>
      </c>
      <c r="F195" s="34" t="s">
        <v>55</v>
      </c>
      <c r="G195" s="34" t="str">
        <f>VLOOKUP(B195,Dane!$A$1:$G$1001,6,FALSE)</f>
        <v>za darmo</v>
      </c>
    </row>
    <row r="196" spans="1:7" x14ac:dyDescent="0.3">
      <c r="A196" s="34">
        <v>195</v>
      </c>
      <c r="B196" s="34">
        <v>369</v>
      </c>
      <c r="C196" s="34">
        <v>36</v>
      </c>
      <c r="D196" s="34">
        <v>3446</v>
      </c>
      <c r="E196" s="34">
        <v>42</v>
      </c>
      <c r="F196" s="34" t="s">
        <v>55</v>
      </c>
      <c r="G196" s="34" t="str">
        <f>VLOOKUP(B196,Dane!$A$1:$G$1001,6,FALSE)</f>
        <v>własność</v>
      </c>
    </row>
    <row r="197" spans="1:7" x14ac:dyDescent="0.3">
      <c r="A197" s="34">
        <v>196</v>
      </c>
      <c r="B197" s="34">
        <v>200</v>
      </c>
      <c r="C197" s="34">
        <v>18</v>
      </c>
      <c r="D197" s="34">
        <v>4297</v>
      </c>
      <c r="E197" s="34">
        <v>40</v>
      </c>
      <c r="F197" s="34" t="s">
        <v>55</v>
      </c>
      <c r="G197" s="34" t="str">
        <f>VLOOKUP(B197,Dane!$A$1:$G$1001,6,FALSE)</f>
        <v>własność</v>
      </c>
    </row>
    <row r="198" spans="1:7" x14ac:dyDescent="0.3">
      <c r="A198" s="34">
        <v>197</v>
      </c>
      <c r="B198" s="34">
        <v>240</v>
      </c>
      <c r="C198" s="34">
        <v>30</v>
      </c>
      <c r="D198" s="34">
        <v>2522</v>
      </c>
      <c r="E198" s="34">
        <v>39</v>
      </c>
      <c r="F198" s="34" t="s">
        <v>54</v>
      </c>
      <c r="G198" s="34" t="str">
        <f>VLOOKUP(B198,Dane!$A$1:$G$1001,6,FALSE)</f>
        <v>własność</v>
      </c>
    </row>
    <row r="199" spans="1:7" x14ac:dyDescent="0.3">
      <c r="A199" s="34">
        <v>198</v>
      </c>
      <c r="B199" s="34">
        <v>822</v>
      </c>
      <c r="C199" s="34">
        <v>12</v>
      </c>
      <c r="D199" s="34">
        <v>3016</v>
      </c>
      <c r="E199" s="34">
        <v>24</v>
      </c>
      <c r="F199" s="34" t="s">
        <v>54</v>
      </c>
      <c r="G199" s="34" t="str">
        <f>VLOOKUP(B199,Dane!$A$1:$G$1001,6,FALSE)</f>
        <v>własność</v>
      </c>
    </row>
    <row r="200" spans="1:7" x14ac:dyDescent="0.3">
      <c r="A200" s="34">
        <v>199</v>
      </c>
      <c r="B200" s="34">
        <v>295</v>
      </c>
      <c r="C200" s="34">
        <v>48</v>
      </c>
      <c r="D200" s="34">
        <v>7629</v>
      </c>
      <c r="E200" s="34">
        <v>46</v>
      </c>
      <c r="F200" s="34" t="s">
        <v>54</v>
      </c>
      <c r="G200" s="34" t="str">
        <f>VLOOKUP(B200,Dane!$A$1:$G$1001,6,FALSE)</f>
        <v>własność</v>
      </c>
    </row>
    <row r="201" spans="1:7" x14ac:dyDescent="0.3">
      <c r="A201" s="34">
        <v>200</v>
      </c>
      <c r="B201" s="34">
        <v>751</v>
      </c>
      <c r="C201" s="34">
        <v>6</v>
      </c>
      <c r="D201" s="34">
        <v>428</v>
      </c>
      <c r="E201" s="34">
        <v>49</v>
      </c>
      <c r="F201" s="34" t="s">
        <v>56</v>
      </c>
      <c r="G201" s="34" t="str">
        <f>VLOOKUP(B201,Dane!$A$1:$G$1001,6,FALSE)</f>
        <v>własność</v>
      </c>
    </row>
    <row r="202" spans="1:7" x14ac:dyDescent="0.3">
      <c r="A202" s="34">
        <v>201</v>
      </c>
      <c r="B202" s="34">
        <v>296</v>
      </c>
      <c r="C202" s="34">
        <v>48</v>
      </c>
      <c r="D202" s="34">
        <v>9960</v>
      </c>
      <c r="E202" s="34">
        <v>26</v>
      </c>
      <c r="F202" s="34" t="s">
        <v>57</v>
      </c>
      <c r="G202" s="34" t="str">
        <f>VLOOKUP(B202,Dane!$A$1:$G$1001,6,FALSE)</f>
        <v>własność</v>
      </c>
    </row>
    <row r="203" spans="1:7" x14ac:dyDescent="0.3">
      <c r="A203" s="34">
        <v>202</v>
      </c>
      <c r="B203" s="34">
        <v>728</v>
      </c>
      <c r="C203" s="34">
        <v>18</v>
      </c>
      <c r="D203" s="34">
        <v>1882</v>
      </c>
      <c r="E203" s="34">
        <v>25</v>
      </c>
      <c r="F203" s="34" t="s">
        <v>57</v>
      </c>
      <c r="G203" s="34" t="str">
        <f>VLOOKUP(B203,Dane!$A$1:$G$1001,6,FALSE)</f>
        <v>wynajem</v>
      </c>
    </row>
    <row r="204" spans="1:7" x14ac:dyDescent="0.3">
      <c r="A204" s="34">
        <v>203</v>
      </c>
      <c r="B204" s="34">
        <v>878</v>
      </c>
      <c r="C204" s="34">
        <v>36</v>
      </c>
      <c r="D204" s="34">
        <v>3595</v>
      </c>
      <c r="E204" s="34">
        <v>28</v>
      </c>
      <c r="F204" s="34" t="s">
        <v>54</v>
      </c>
      <c r="G204" s="34" t="str">
        <f>VLOOKUP(B204,Dane!$A$1:$G$1001,6,FALSE)</f>
        <v>własność</v>
      </c>
    </row>
    <row r="205" spans="1:7" x14ac:dyDescent="0.3">
      <c r="A205" s="34">
        <v>204</v>
      </c>
      <c r="B205" s="34">
        <v>804</v>
      </c>
      <c r="C205" s="34">
        <v>12</v>
      </c>
      <c r="D205" s="34">
        <v>976</v>
      </c>
      <c r="E205" s="34">
        <v>35</v>
      </c>
      <c r="F205" s="34" t="s">
        <v>54</v>
      </c>
      <c r="G205" s="34" t="str">
        <f>VLOOKUP(B205,Dane!$A$1:$G$1001,6,FALSE)</f>
        <v>własność</v>
      </c>
    </row>
    <row r="206" spans="1:7" x14ac:dyDescent="0.3">
      <c r="A206" s="34">
        <v>205</v>
      </c>
      <c r="B206" s="34">
        <v>207</v>
      </c>
      <c r="C206" s="34">
        <v>12</v>
      </c>
      <c r="D206" s="34">
        <v>1935</v>
      </c>
      <c r="E206" s="34">
        <v>43</v>
      </c>
      <c r="F206" s="34" t="s">
        <v>54</v>
      </c>
      <c r="G206" s="34" t="str">
        <f>VLOOKUP(B206,Dane!$A$1:$G$1001,6,FALSE)</f>
        <v>własność</v>
      </c>
    </row>
    <row r="207" spans="1:7" x14ac:dyDescent="0.3">
      <c r="A207" s="34">
        <v>206</v>
      </c>
      <c r="B207" s="34">
        <v>515</v>
      </c>
      <c r="C207" s="34">
        <v>24</v>
      </c>
      <c r="D207" s="34">
        <v>2255</v>
      </c>
      <c r="E207" s="34">
        <v>54</v>
      </c>
      <c r="F207" s="34" t="s">
        <v>54</v>
      </c>
      <c r="G207" s="34" t="str">
        <f>VLOOKUP(B207,Dane!$A$1:$G$1001,6,FALSE)</f>
        <v>własność</v>
      </c>
    </row>
    <row r="208" spans="1:7" x14ac:dyDescent="0.3">
      <c r="A208" s="34">
        <v>207</v>
      </c>
      <c r="B208" s="34">
        <v>599</v>
      </c>
      <c r="C208" s="34">
        <v>18</v>
      </c>
      <c r="D208" s="34">
        <v>2775</v>
      </c>
      <c r="E208" s="34">
        <v>31</v>
      </c>
      <c r="F208" s="34" t="s">
        <v>55</v>
      </c>
      <c r="G208" s="34" t="str">
        <f>VLOOKUP(B208,Dane!$A$1:$G$1001,6,FALSE)</f>
        <v>własność</v>
      </c>
    </row>
    <row r="209" spans="1:7" x14ac:dyDescent="0.3">
      <c r="A209" s="34">
        <v>208</v>
      </c>
      <c r="B209" s="34">
        <v>805</v>
      </c>
      <c r="C209" s="34">
        <v>12</v>
      </c>
      <c r="D209" s="34">
        <v>7472</v>
      </c>
      <c r="E209" s="34">
        <v>24</v>
      </c>
      <c r="F209" s="34" t="s">
        <v>56</v>
      </c>
      <c r="G209" s="34" t="str">
        <f>VLOOKUP(B209,Dane!$A$1:$G$1001,6,FALSE)</f>
        <v>wynajem</v>
      </c>
    </row>
    <row r="210" spans="1:7" x14ac:dyDescent="0.3">
      <c r="A210" s="34">
        <v>209</v>
      </c>
      <c r="B210" s="34">
        <v>950</v>
      </c>
      <c r="C210" s="34">
        <v>24</v>
      </c>
      <c r="D210" s="34">
        <v>3621</v>
      </c>
      <c r="E210" s="34">
        <v>31</v>
      </c>
      <c r="F210" s="34" t="s">
        <v>55</v>
      </c>
      <c r="G210" s="34" t="str">
        <f>VLOOKUP(B210,Dane!$A$1:$G$1001,6,FALSE)</f>
        <v>własność</v>
      </c>
    </row>
    <row r="211" spans="1:7" x14ac:dyDescent="0.3">
      <c r="A211" s="34">
        <v>210</v>
      </c>
      <c r="B211" s="34">
        <v>22</v>
      </c>
      <c r="C211" s="34">
        <v>6</v>
      </c>
      <c r="D211" s="34">
        <v>2647</v>
      </c>
      <c r="E211" s="34">
        <v>44</v>
      </c>
      <c r="F211" s="34" t="s">
        <v>54</v>
      </c>
      <c r="G211" s="34" t="str">
        <f>VLOOKUP(B211,Dane!$A$1:$G$1001,6,FALSE)</f>
        <v>wynajem</v>
      </c>
    </row>
    <row r="212" spans="1:7" x14ac:dyDescent="0.3">
      <c r="A212" s="34">
        <v>211</v>
      </c>
      <c r="B212" s="34">
        <v>184</v>
      </c>
      <c r="C212" s="34">
        <v>24</v>
      </c>
      <c r="D212" s="34">
        <v>3777</v>
      </c>
      <c r="E212" s="34">
        <v>50</v>
      </c>
      <c r="F212" s="34" t="s">
        <v>54</v>
      </c>
      <c r="G212" s="34" t="str">
        <f>VLOOKUP(B212,Dane!$A$1:$G$1001,6,FALSE)</f>
        <v>własność</v>
      </c>
    </row>
    <row r="213" spans="1:7" x14ac:dyDescent="0.3">
      <c r="A213" s="34">
        <v>212</v>
      </c>
      <c r="B213" s="34">
        <v>333</v>
      </c>
      <c r="C213" s="34">
        <v>60</v>
      </c>
      <c r="D213" s="34">
        <v>7408</v>
      </c>
      <c r="E213" s="34">
        <v>24</v>
      </c>
      <c r="F213" s="34" t="s">
        <v>57</v>
      </c>
      <c r="G213" s="34" t="str">
        <f>VLOOKUP(B213,Dane!$A$1:$G$1001,6,FALSE)</f>
        <v>własność</v>
      </c>
    </row>
    <row r="214" spans="1:7" x14ac:dyDescent="0.3">
      <c r="A214" s="34">
        <v>213</v>
      </c>
      <c r="B214" s="34">
        <v>185</v>
      </c>
      <c r="C214" s="34">
        <v>18</v>
      </c>
      <c r="D214" s="34">
        <v>884</v>
      </c>
      <c r="E214" s="34">
        <v>36</v>
      </c>
      <c r="F214" s="34" t="s">
        <v>55</v>
      </c>
      <c r="G214" s="34" t="str">
        <f>VLOOKUP(B214,Dane!$A$1:$G$1001,6,FALSE)</f>
        <v>własność</v>
      </c>
    </row>
    <row r="215" spans="1:7" x14ac:dyDescent="0.3">
      <c r="A215" s="34">
        <v>214</v>
      </c>
      <c r="B215" s="34">
        <v>854</v>
      </c>
      <c r="C215" s="34">
        <v>18</v>
      </c>
      <c r="D215" s="34">
        <v>1442</v>
      </c>
      <c r="E215" s="34">
        <v>32</v>
      </c>
      <c r="F215" s="34" t="s">
        <v>55</v>
      </c>
      <c r="G215" s="34" t="str">
        <f>VLOOKUP(B215,Dane!$A$1:$G$1001,6,FALSE)</f>
        <v>za darmo</v>
      </c>
    </row>
    <row r="216" spans="1:7" x14ac:dyDescent="0.3">
      <c r="A216" s="34">
        <v>215</v>
      </c>
      <c r="B216" s="34">
        <v>945</v>
      </c>
      <c r="C216" s="34">
        <v>15</v>
      </c>
      <c r="D216" s="34">
        <v>1845</v>
      </c>
      <c r="E216" s="34">
        <v>46</v>
      </c>
      <c r="F216" s="34" t="s">
        <v>56</v>
      </c>
      <c r="G216" s="34" t="str">
        <f>VLOOKUP(B216,Dane!$A$1:$G$1001,6,FALSE)</f>
        <v>wynajem</v>
      </c>
    </row>
    <row r="217" spans="1:7" x14ac:dyDescent="0.3">
      <c r="A217" s="34">
        <v>216</v>
      </c>
      <c r="B217" s="34">
        <v>890</v>
      </c>
      <c r="C217" s="34">
        <v>28</v>
      </c>
      <c r="D217" s="34">
        <v>7824</v>
      </c>
      <c r="E217" s="34">
        <v>40</v>
      </c>
      <c r="F217" s="34" t="s">
        <v>54</v>
      </c>
      <c r="G217" s="34" t="str">
        <f>VLOOKUP(B217,Dane!$A$1:$G$1001,6,FALSE)</f>
        <v>wynajem</v>
      </c>
    </row>
    <row r="218" spans="1:7" x14ac:dyDescent="0.3">
      <c r="A218" s="34">
        <v>217</v>
      </c>
      <c r="B218" s="34">
        <v>552</v>
      </c>
      <c r="C218" s="34">
        <v>6</v>
      </c>
      <c r="D218" s="34">
        <v>1750</v>
      </c>
      <c r="E218" s="34">
        <v>45</v>
      </c>
      <c r="F218" s="34" t="s">
        <v>54</v>
      </c>
      <c r="G218" s="34" t="str">
        <f>VLOOKUP(B218,Dane!$A$1:$G$1001,6,FALSE)</f>
        <v>własność</v>
      </c>
    </row>
    <row r="219" spans="1:7" x14ac:dyDescent="0.3">
      <c r="A219" s="34">
        <v>218</v>
      </c>
      <c r="B219" s="34">
        <v>520</v>
      </c>
      <c r="C219" s="34">
        <v>6</v>
      </c>
      <c r="D219" s="34">
        <v>700</v>
      </c>
      <c r="E219" s="34">
        <v>36</v>
      </c>
      <c r="F219" s="34" t="s">
        <v>54</v>
      </c>
      <c r="G219" s="34" t="str">
        <f>VLOOKUP(B219,Dane!$A$1:$G$1001,6,FALSE)</f>
        <v>za darmo</v>
      </c>
    </row>
    <row r="220" spans="1:7" x14ac:dyDescent="0.3">
      <c r="A220" s="34">
        <v>219</v>
      </c>
      <c r="B220" s="34">
        <v>842</v>
      </c>
      <c r="C220" s="34">
        <v>21</v>
      </c>
      <c r="D220" s="34">
        <v>2993</v>
      </c>
      <c r="E220" s="34">
        <v>28</v>
      </c>
      <c r="F220" s="34" t="s">
        <v>54</v>
      </c>
      <c r="G220" s="34" t="str">
        <f>VLOOKUP(B220,Dane!$A$1:$G$1001,6,FALSE)</f>
        <v>własność</v>
      </c>
    </row>
    <row r="221" spans="1:7" x14ac:dyDescent="0.3">
      <c r="A221" s="34">
        <v>220</v>
      </c>
      <c r="B221" s="34">
        <v>282</v>
      </c>
      <c r="C221" s="34">
        <v>12</v>
      </c>
      <c r="D221" s="34">
        <v>1574</v>
      </c>
      <c r="E221" s="34">
        <v>50</v>
      </c>
      <c r="F221" s="34" t="s">
        <v>54</v>
      </c>
      <c r="G221" s="34" t="str">
        <f>VLOOKUP(B221,Dane!$A$1:$G$1001,6,FALSE)</f>
        <v>własność</v>
      </c>
    </row>
    <row r="222" spans="1:7" x14ac:dyDescent="0.3">
      <c r="A222" s="34">
        <v>221</v>
      </c>
      <c r="B222" s="34">
        <v>680</v>
      </c>
      <c r="C222" s="34">
        <v>18</v>
      </c>
      <c r="D222" s="34">
        <v>1453</v>
      </c>
      <c r="E222" s="34">
        <v>26</v>
      </c>
      <c r="F222" s="34" t="s">
        <v>56</v>
      </c>
      <c r="G222" s="34" t="str">
        <f>VLOOKUP(B222,Dane!$A$1:$G$1001,6,FALSE)</f>
        <v>własność</v>
      </c>
    </row>
    <row r="223" spans="1:7" x14ac:dyDescent="0.3">
      <c r="A223" s="34">
        <v>222</v>
      </c>
      <c r="B223" s="34">
        <v>348</v>
      </c>
      <c r="C223" s="34">
        <v>24</v>
      </c>
      <c r="D223" s="34">
        <v>3758</v>
      </c>
      <c r="E223" s="34">
        <v>23</v>
      </c>
      <c r="F223" s="34" t="s">
        <v>56</v>
      </c>
      <c r="G223" s="34" t="str">
        <f>VLOOKUP(B223,Dane!$A$1:$G$1001,6,FALSE)</f>
        <v>wynajem</v>
      </c>
    </row>
    <row r="224" spans="1:7" x14ac:dyDescent="0.3">
      <c r="A224" s="34">
        <v>223</v>
      </c>
      <c r="B224" s="34">
        <v>752</v>
      </c>
      <c r="C224" s="34">
        <v>18</v>
      </c>
      <c r="D224" s="34">
        <v>976</v>
      </c>
      <c r="E224" s="34">
        <v>23</v>
      </c>
      <c r="F224" s="34" t="s">
        <v>57</v>
      </c>
      <c r="G224" s="34" t="str">
        <f>VLOOKUP(B224,Dane!$A$1:$G$1001,6,FALSE)</f>
        <v>własność</v>
      </c>
    </row>
    <row r="225" spans="1:7" x14ac:dyDescent="0.3">
      <c r="A225" s="34">
        <v>224</v>
      </c>
      <c r="B225" s="34">
        <v>746</v>
      </c>
      <c r="C225" s="34">
        <v>13</v>
      </c>
      <c r="D225" s="34">
        <v>1797</v>
      </c>
      <c r="E225" s="34">
        <v>28</v>
      </c>
      <c r="F225" s="34" t="s">
        <v>54</v>
      </c>
      <c r="G225" s="34" t="str">
        <f>VLOOKUP(B225,Dane!$A$1:$G$1001,6,FALSE)</f>
        <v>własność</v>
      </c>
    </row>
    <row r="226" spans="1:7" x14ac:dyDescent="0.3">
      <c r="A226" s="34">
        <v>225</v>
      </c>
      <c r="B226" s="34">
        <v>510</v>
      </c>
      <c r="C226" s="34">
        <v>39</v>
      </c>
      <c r="D226" s="34">
        <v>8588</v>
      </c>
      <c r="E226" s="34">
        <v>45</v>
      </c>
      <c r="F226" s="34" t="s">
        <v>54</v>
      </c>
      <c r="G226" s="34" t="str">
        <f>VLOOKUP(B226,Dane!$A$1:$G$1001,6,FALSE)</f>
        <v>własność</v>
      </c>
    </row>
    <row r="227" spans="1:7" x14ac:dyDescent="0.3">
      <c r="A227" s="34">
        <v>226</v>
      </c>
      <c r="B227" s="34">
        <v>658</v>
      </c>
      <c r="C227" s="34">
        <v>48</v>
      </c>
      <c r="D227" s="34">
        <v>10222</v>
      </c>
      <c r="E227" s="34">
        <v>37</v>
      </c>
      <c r="F227" s="34" t="s">
        <v>54</v>
      </c>
      <c r="G227" s="34" t="str">
        <f>VLOOKUP(B227,Dane!$A$1:$G$1001,6,FALSE)</f>
        <v>własność</v>
      </c>
    </row>
    <row r="228" spans="1:7" x14ac:dyDescent="0.3">
      <c r="A228" s="34">
        <v>227</v>
      </c>
      <c r="B228" s="34">
        <v>901</v>
      </c>
      <c r="C228" s="34">
        <v>16</v>
      </c>
      <c r="D228" s="34">
        <v>2625</v>
      </c>
      <c r="E228" s="34">
        <v>43</v>
      </c>
      <c r="F228" s="34" t="s">
        <v>55</v>
      </c>
      <c r="G228" s="34" t="str">
        <f>VLOOKUP(B228,Dane!$A$1:$G$1001,6,FALSE)</f>
        <v>wynajem</v>
      </c>
    </row>
    <row r="229" spans="1:7" x14ac:dyDescent="0.3">
      <c r="A229" s="34">
        <v>228</v>
      </c>
      <c r="B229" s="34">
        <v>538</v>
      </c>
      <c r="C229" s="34">
        <v>18</v>
      </c>
      <c r="D229" s="34">
        <v>3612</v>
      </c>
      <c r="E229" s="34">
        <v>37</v>
      </c>
      <c r="F229" s="34" t="s">
        <v>56</v>
      </c>
      <c r="G229" s="34" t="str">
        <f>VLOOKUP(B229,Dane!$A$1:$G$1001,6,FALSE)</f>
        <v>własność</v>
      </c>
    </row>
    <row r="230" spans="1:7" x14ac:dyDescent="0.3">
      <c r="A230" s="34">
        <v>229</v>
      </c>
      <c r="B230" s="34">
        <v>86</v>
      </c>
      <c r="C230" s="34">
        <v>12</v>
      </c>
      <c r="D230" s="34">
        <v>1412</v>
      </c>
      <c r="E230" s="34">
        <v>29</v>
      </c>
      <c r="F230" s="34" t="s">
        <v>56</v>
      </c>
      <c r="G230" s="34" t="str">
        <f>VLOOKUP(B230,Dane!$A$1:$G$1001,6,FALSE)</f>
        <v>własność</v>
      </c>
    </row>
    <row r="231" spans="1:7" x14ac:dyDescent="0.3">
      <c r="A231" s="34">
        <v>230</v>
      </c>
      <c r="B231" s="34">
        <v>505</v>
      </c>
      <c r="C231" s="34">
        <v>24</v>
      </c>
      <c r="D231" s="34">
        <v>1207</v>
      </c>
      <c r="E231" s="34">
        <v>24</v>
      </c>
      <c r="F231" s="34" t="s">
        <v>57</v>
      </c>
      <c r="G231" s="34" t="str">
        <f>VLOOKUP(B231,Dane!$A$1:$G$1001,6,FALSE)</f>
        <v>wynajem</v>
      </c>
    </row>
    <row r="232" spans="1:7" x14ac:dyDescent="0.3">
      <c r="A232" s="34">
        <v>231</v>
      </c>
      <c r="B232" s="34">
        <v>468</v>
      </c>
      <c r="C232" s="34">
        <v>48</v>
      </c>
      <c r="D232" s="34">
        <v>7238</v>
      </c>
      <c r="E232" s="34">
        <v>32</v>
      </c>
      <c r="F232" s="34" t="s">
        <v>54</v>
      </c>
      <c r="G232" s="34" t="str">
        <f>VLOOKUP(B232,Dane!$A$1:$G$1001,6,FALSE)</f>
        <v>własność</v>
      </c>
    </row>
    <row r="233" spans="1:7" x14ac:dyDescent="0.3">
      <c r="A233" s="34">
        <v>232</v>
      </c>
      <c r="B233" s="34">
        <v>480</v>
      </c>
      <c r="C233" s="34">
        <v>15</v>
      </c>
      <c r="D233" s="34">
        <v>1478</v>
      </c>
      <c r="E233" s="34">
        <v>44</v>
      </c>
      <c r="F233" s="34" t="s">
        <v>54</v>
      </c>
      <c r="G233" s="34" t="str">
        <f>VLOOKUP(B233,Dane!$A$1:$G$1001,6,FALSE)</f>
        <v>własność</v>
      </c>
    </row>
    <row r="234" spans="1:7" x14ac:dyDescent="0.3">
      <c r="A234" s="34">
        <v>233</v>
      </c>
      <c r="B234" s="34">
        <v>701</v>
      </c>
      <c r="C234" s="34">
        <v>12</v>
      </c>
      <c r="D234" s="34">
        <v>1123</v>
      </c>
      <c r="E234" s="34">
        <v>29</v>
      </c>
      <c r="F234" s="34" t="s">
        <v>57</v>
      </c>
      <c r="G234" s="34" t="str">
        <f>VLOOKUP(B234,Dane!$A$1:$G$1001,6,FALSE)</f>
        <v>wynajem</v>
      </c>
    </row>
    <row r="235" spans="1:7" x14ac:dyDescent="0.3">
      <c r="A235" s="34">
        <v>234</v>
      </c>
      <c r="B235" s="34">
        <v>367</v>
      </c>
      <c r="C235" s="34">
        <v>18</v>
      </c>
      <c r="D235" s="34">
        <v>3850</v>
      </c>
      <c r="E235" s="34">
        <v>27</v>
      </c>
      <c r="F235" s="34" t="s">
        <v>54</v>
      </c>
      <c r="G235" s="34" t="str">
        <f>VLOOKUP(B235,Dane!$A$1:$G$1001,6,FALSE)</f>
        <v>własność</v>
      </c>
    </row>
    <row r="236" spans="1:7" x14ac:dyDescent="0.3">
      <c r="A236" s="34">
        <v>235</v>
      </c>
      <c r="B236" s="34">
        <v>924</v>
      </c>
      <c r="C236" s="34">
        <v>12</v>
      </c>
      <c r="D236" s="34">
        <v>2002</v>
      </c>
      <c r="E236" s="34">
        <v>30</v>
      </c>
      <c r="F236" s="34" t="s">
        <v>54</v>
      </c>
      <c r="G236" s="34" t="str">
        <f>VLOOKUP(B236,Dane!$A$1:$G$1001,6,FALSE)</f>
        <v>wynajem</v>
      </c>
    </row>
    <row r="237" spans="1:7" x14ac:dyDescent="0.3">
      <c r="A237" s="34">
        <v>236</v>
      </c>
      <c r="B237" s="34">
        <v>241</v>
      </c>
      <c r="C237" s="34">
        <v>24</v>
      </c>
      <c r="D237" s="34">
        <v>915</v>
      </c>
      <c r="E237" s="34">
        <v>29</v>
      </c>
      <c r="F237" s="34" t="s">
        <v>57</v>
      </c>
      <c r="G237" s="34" t="str">
        <f>VLOOKUP(B237,Dane!$A$1:$G$1001,6,FALSE)</f>
        <v>własność</v>
      </c>
    </row>
    <row r="238" spans="1:7" x14ac:dyDescent="0.3">
      <c r="A238" s="34">
        <v>237</v>
      </c>
      <c r="B238" s="34">
        <v>498</v>
      </c>
      <c r="C238" s="34">
        <v>24</v>
      </c>
      <c r="D238" s="34">
        <v>1585</v>
      </c>
      <c r="E238" s="34">
        <v>40</v>
      </c>
      <c r="F238" s="34" t="s">
        <v>54</v>
      </c>
      <c r="G238" s="34" t="str">
        <f>VLOOKUP(B238,Dane!$A$1:$G$1001,6,FALSE)</f>
        <v>własność</v>
      </c>
    </row>
    <row r="239" spans="1:7" x14ac:dyDescent="0.3">
      <c r="A239" s="34">
        <v>238</v>
      </c>
      <c r="B239" s="34">
        <v>578</v>
      </c>
      <c r="C239" s="34">
        <v>24</v>
      </c>
      <c r="D239" s="34">
        <v>1927</v>
      </c>
      <c r="E239" s="34">
        <v>33</v>
      </c>
      <c r="F239" s="34" t="s">
        <v>56</v>
      </c>
      <c r="G239" s="34" t="str">
        <f>VLOOKUP(B239,Dane!$A$1:$G$1001,6,FALSE)</f>
        <v>własność</v>
      </c>
    </row>
    <row r="240" spans="1:7" x14ac:dyDescent="0.3">
      <c r="A240" s="34">
        <v>239</v>
      </c>
      <c r="B240" s="34">
        <v>534</v>
      </c>
      <c r="C240" s="34">
        <v>24</v>
      </c>
      <c r="D240" s="34">
        <v>1311</v>
      </c>
      <c r="E240" s="34">
        <v>26</v>
      </c>
      <c r="F240" s="34" t="s">
        <v>54</v>
      </c>
      <c r="G240" s="34" t="str">
        <f>VLOOKUP(B240,Dane!$A$1:$G$1001,6,FALSE)</f>
        <v>własność</v>
      </c>
    </row>
    <row r="241" spans="1:7" x14ac:dyDescent="0.3">
      <c r="A241" s="34">
        <v>240</v>
      </c>
      <c r="B241" s="34">
        <v>943</v>
      </c>
      <c r="C241" s="34">
        <v>24</v>
      </c>
      <c r="D241" s="34">
        <v>929</v>
      </c>
      <c r="E241" s="34">
        <v>31</v>
      </c>
      <c r="F241" s="34" t="s">
        <v>54</v>
      </c>
      <c r="G241" s="34" t="str">
        <f>VLOOKUP(B241,Dane!$A$1:$G$1001,6,FALSE)</f>
        <v>własność</v>
      </c>
    </row>
    <row r="242" spans="1:7" x14ac:dyDescent="0.3">
      <c r="A242" s="34">
        <v>241</v>
      </c>
      <c r="B242" s="34">
        <v>635</v>
      </c>
      <c r="C242" s="34">
        <v>24</v>
      </c>
      <c r="D242" s="34">
        <v>1355</v>
      </c>
      <c r="E242" s="34">
        <v>25</v>
      </c>
      <c r="F242" s="34" t="s">
        <v>57</v>
      </c>
      <c r="G242" s="34" t="str">
        <f>VLOOKUP(B242,Dane!$A$1:$G$1001,6,FALSE)</f>
        <v>własność</v>
      </c>
    </row>
    <row r="243" spans="1:7" x14ac:dyDescent="0.3">
      <c r="A243" s="34">
        <v>242</v>
      </c>
      <c r="B243" s="34">
        <v>634</v>
      </c>
      <c r="C243" s="34">
        <v>9</v>
      </c>
      <c r="D243" s="34">
        <v>1980</v>
      </c>
      <c r="E243" s="34">
        <v>19</v>
      </c>
      <c r="F243" s="34" t="s">
        <v>57</v>
      </c>
      <c r="G243" s="34" t="str">
        <f>VLOOKUP(B243,Dane!$A$1:$G$1001,6,FALSE)</f>
        <v>wynajem</v>
      </c>
    </row>
    <row r="244" spans="1:7" x14ac:dyDescent="0.3">
      <c r="A244" s="34">
        <v>243</v>
      </c>
      <c r="B244" s="34">
        <v>517</v>
      </c>
      <c r="C244" s="34">
        <v>6</v>
      </c>
      <c r="D244" s="34">
        <v>1361</v>
      </c>
      <c r="E244" s="34">
        <v>40</v>
      </c>
      <c r="F244" s="34" t="s">
        <v>54</v>
      </c>
      <c r="G244" s="34" t="str">
        <f>VLOOKUP(B244,Dane!$A$1:$G$1001,6,FALSE)</f>
        <v>własność</v>
      </c>
    </row>
    <row r="245" spans="1:7" x14ac:dyDescent="0.3">
      <c r="A245" s="34">
        <v>244</v>
      </c>
      <c r="B245" s="34">
        <v>766</v>
      </c>
      <c r="C245" s="34">
        <v>12</v>
      </c>
      <c r="D245" s="34">
        <v>1155</v>
      </c>
      <c r="E245" s="34">
        <v>40</v>
      </c>
      <c r="F245" s="34" t="s">
        <v>54</v>
      </c>
      <c r="G245" s="34" t="str">
        <f>VLOOKUP(B245,Dane!$A$1:$G$1001,6,FALSE)</f>
        <v>własność</v>
      </c>
    </row>
    <row r="246" spans="1:7" x14ac:dyDescent="0.3">
      <c r="A246" s="34">
        <v>245</v>
      </c>
      <c r="B246" s="34">
        <v>712</v>
      </c>
      <c r="C246" s="34">
        <v>6</v>
      </c>
      <c r="D246" s="34">
        <v>1198</v>
      </c>
      <c r="E246" s="34">
        <v>35</v>
      </c>
      <c r="F246" s="34" t="s">
        <v>57</v>
      </c>
      <c r="G246" s="34" t="str">
        <f>VLOOKUP(B246,Dane!$A$1:$G$1001,6,FALSE)</f>
        <v>za darmo</v>
      </c>
    </row>
    <row r="247" spans="1:7" x14ac:dyDescent="0.3">
      <c r="A247" s="34">
        <v>246</v>
      </c>
      <c r="B247" s="34">
        <v>148</v>
      </c>
      <c r="C247" s="34">
        <v>12</v>
      </c>
      <c r="D247" s="34">
        <v>682</v>
      </c>
      <c r="E247" s="34">
        <v>51</v>
      </c>
      <c r="F247" s="34" t="s">
        <v>56</v>
      </c>
      <c r="G247" s="34" t="str">
        <f>VLOOKUP(B247,Dane!$A$1:$G$1001,6,FALSE)</f>
        <v>własność</v>
      </c>
    </row>
    <row r="248" spans="1:7" x14ac:dyDescent="0.3">
      <c r="A248" s="34">
        <v>247</v>
      </c>
      <c r="B248" s="34">
        <v>374</v>
      </c>
      <c r="C248" s="34">
        <v>60</v>
      </c>
      <c r="D248" s="34">
        <v>13756</v>
      </c>
      <c r="E248" s="34">
        <v>63</v>
      </c>
      <c r="F248" s="34" t="s">
        <v>54</v>
      </c>
      <c r="G248" s="34" t="str">
        <f>VLOOKUP(B248,Dane!$A$1:$G$1001,6,FALSE)</f>
        <v>za darmo</v>
      </c>
    </row>
    <row r="249" spans="1:7" x14ac:dyDescent="0.3">
      <c r="A249" s="34">
        <v>248</v>
      </c>
      <c r="B249" s="34">
        <v>603</v>
      </c>
      <c r="C249" s="34">
        <v>24</v>
      </c>
      <c r="D249" s="34">
        <v>1837</v>
      </c>
      <c r="E249" s="34">
        <v>34</v>
      </c>
      <c r="F249" s="34" t="s">
        <v>57</v>
      </c>
      <c r="G249" s="34" t="str">
        <f>VLOOKUP(B249,Dane!$A$1:$G$1001,6,FALSE)</f>
        <v>za darmo</v>
      </c>
    </row>
    <row r="250" spans="1:7" x14ac:dyDescent="0.3">
      <c r="A250" s="34">
        <v>249</v>
      </c>
      <c r="B250" s="34">
        <v>306</v>
      </c>
      <c r="C250" s="34">
        <v>6</v>
      </c>
      <c r="D250" s="34">
        <v>1543</v>
      </c>
      <c r="E250" s="34">
        <v>33</v>
      </c>
      <c r="F250" s="34" t="s">
        <v>54</v>
      </c>
      <c r="G250" s="34" t="str">
        <f>VLOOKUP(B250,Dane!$A$1:$G$1001,6,FALSE)</f>
        <v>własność</v>
      </c>
    </row>
    <row r="251" spans="1:7" x14ac:dyDescent="0.3">
      <c r="A251" s="34">
        <v>250</v>
      </c>
      <c r="B251" s="34">
        <v>470</v>
      </c>
      <c r="C251" s="34">
        <v>24</v>
      </c>
      <c r="D251" s="34">
        <v>4679</v>
      </c>
      <c r="E251" s="34">
        <v>35</v>
      </c>
      <c r="F251" s="34" t="s">
        <v>54</v>
      </c>
      <c r="G251" s="34" t="str">
        <f>VLOOKUP(B251,Dane!$A$1:$G$1001,6,FALSE)</f>
        <v>własność</v>
      </c>
    </row>
    <row r="252" spans="1:7" x14ac:dyDescent="0.3">
      <c r="A252" s="34">
        <v>251</v>
      </c>
      <c r="B252" s="34">
        <v>721</v>
      </c>
      <c r="C252" s="34">
        <v>9</v>
      </c>
      <c r="D252" s="34">
        <v>1337</v>
      </c>
      <c r="E252" s="34">
        <v>34</v>
      </c>
      <c r="F252" s="34" t="s">
        <v>55</v>
      </c>
      <c r="G252" s="34" t="str">
        <f>VLOOKUP(B252,Dane!$A$1:$G$1001,6,FALSE)</f>
        <v>własność</v>
      </c>
    </row>
    <row r="253" spans="1:7" x14ac:dyDescent="0.3">
      <c r="A253" s="34">
        <v>252</v>
      </c>
      <c r="B253" s="34">
        <v>175</v>
      </c>
      <c r="C253" s="34">
        <v>21</v>
      </c>
      <c r="D253" s="34">
        <v>3414</v>
      </c>
      <c r="E253" s="34">
        <v>26</v>
      </c>
      <c r="F253" s="34" t="s">
        <v>55</v>
      </c>
      <c r="G253" s="34" t="str">
        <f>VLOOKUP(B253,Dane!$A$1:$G$1001,6,FALSE)</f>
        <v>własność</v>
      </c>
    </row>
    <row r="254" spans="1:7" x14ac:dyDescent="0.3">
      <c r="A254" s="34">
        <v>253</v>
      </c>
      <c r="B254" s="34">
        <v>84</v>
      </c>
      <c r="C254" s="34">
        <v>24</v>
      </c>
      <c r="D254" s="34">
        <v>1755</v>
      </c>
      <c r="E254" s="34">
        <v>58</v>
      </c>
      <c r="F254" s="34" t="s">
        <v>56</v>
      </c>
      <c r="G254" s="34" t="str">
        <f>VLOOKUP(B254,Dane!$A$1:$G$1001,6,FALSE)</f>
        <v>własność</v>
      </c>
    </row>
    <row r="255" spans="1:7" x14ac:dyDescent="0.3">
      <c r="A255" s="34">
        <v>254</v>
      </c>
      <c r="B255" s="34">
        <v>237</v>
      </c>
      <c r="C255" s="34">
        <v>6</v>
      </c>
      <c r="D255" s="34">
        <v>14555</v>
      </c>
      <c r="E255" s="34">
        <v>23</v>
      </c>
      <c r="F255" s="34" t="s">
        <v>55</v>
      </c>
      <c r="G255" s="34" t="str">
        <f>VLOOKUP(B255,Dane!$A$1:$G$1001,6,FALSE)</f>
        <v>własność</v>
      </c>
    </row>
    <row r="256" spans="1:7" x14ac:dyDescent="0.3">
      <c r="A256" s="34">
        <v>255</v>
      </c>
      <c r="B256" s="34">
        <v>533</v>
      </c>
      <c r="C256" s="34">
        <v>12</v>
      </c>
      <c r="D256" s="34">
        <v>1503</v>
      </c>
      <c r="E256" s="34">
        <v>41</v>
      </c>
      <c r="F256" s="34" t="s">
        <v>54</v>
      </c>
      <c r="G256" s="34" t="str">
        <f>VLOOKUP(B256,Dane!$A$1:$G$1001,6,FALSE)</f>
        <v>wynajem</v>
      </c>
    </row>
    <row r="257" spans="1:7" x14ac:dyDescent="0.3">
      <c r="A257" s="34">
        <v>256</v>
      </c>
      <c r="B257" s="34">
        <v>138</v>
      </c>
      <c r="C257" s="34">
        <v>12</v>
      </c>
      <c r="D257" s="34">
        <v>766</v>
      </c>
      <c r="E257" s="34">
        <v>66</v>
      </c>
      <c r="F257" s="34" t="s">
        <v>55</v>
      </c>
      <c r="G257" s="34" t="str">
        <f>VLOOKUP(B257,Dane!$A$1:$G$1001,6,FALSE)</f>
        <v>własność</v>
      </c>
    </row>
    <row r="258" spans="1:7" x14ac:dyDescent="0.3">
      <c r="A258" s="34">
        <v>257</v>
      </c>
      <c r="B258" s="34">
        <v>502</v>
      </c>
      <c r="C258" s="34">
        <v>36</v>
      </c>
      <c r="D258" s="34">
        <v>5493</v>
      </c>
      <c r="E258" s="34">
        <v>42</v>
      </c>
      <c r="F258" s="34" t="s">
        <v>54</v>
      </c>
      <c r="G258" s="34" t="str">
        <f>VLOOKUP(B258,Dane!$A$1:$G$1001,6,FALSE)</f>
        <v>za darmo</v>
      </c>
    </row>
    <row r="259" spans="1:7" x14ac:dyDescent="0.3">
      <c r="A259" s="34">
        <v>258</v>
      </c>
      <c r="B259" s="34">
        <v>814</v>
      </c>
      <c r="C259" s="34">
        <v>48</v>
      </c>
      <c r="D259" s="34">
        <v>3051</v>
      </c>
      <c r="E259" s="34">
        <v>54</v>
      </c>
      <c r="F259" s="34" t="s">
        <v>55</v>
      </c>
      <c r="G259" s="34" t="str">
        <f>VLOOKUP(B259,Dane!$A$1:$G$1001,6,FALSE)</f>
        <v>własność</v>
      </c>
    </row>
    <row r="260" spans="1:7" x14ac:dyDescent="0.3">
      <c r="A260" s="34">
        <v>259</v>
      </c>
      <c r="B260" s="34">
        <v>147</v>
      </c>
      <c r="C260" s="34">
        <v>6</v>
      </c>
      <c r="D260" s="34">
        <v>860</v>
      </c>
      <c r="E260" s="34">
        <v>39</v>
      </c>
      <c r="F260" s="34" t="s">
        <v>56</v>
      </c>
      <c r="G260" s="34" t="str">
        <f>VLOOKUP(B260,Dane!$A$1:$G$1001,6,FALSE)</f>
        <v>własność</v>
      </c>
    </row>
    <row r="261" spans="1:7" x14ac:dyDescent="0.3">
      <c r="A261" s="34">
        <v>260</v>
      </c>
      <c r="B261" s="34">
        <v>547</v>
      </c>
      <c r="C261" s="34">
        <v>24</v>
      </c>
      <c r="D261" s="34">
        <v>2022</v>
      </c>
      <c r="E261" s="34">
        <v>37</v>
      </c>
      <c r="F261" s="34" t="s">
        <v>56</v>
      </c>
      <c r="G261" s="34" t="str">
        <f>VLOOKUP(B261,Dane!$A$1:$G$1001,6,FALSE)</f>
        <v>własność</v>
      </c>
    </row>
    <row r="262" spans="1:7" x14ac:dyDescent="0.3">
      <c r="A262" s="34">
        <v>261</v>
      </c>
      <c r="B262" s="34">
        <v>871</v>
      </c>
      <c r="C262" s="34">
        <v>36</v>
      </c>
      <c r="D262" s="34">
        <v>7678</v>
      </c>
      <c r="E262" s="34">
        <v>40</v>
      </c>
      <c r="F262" s="34" t="s">
        <v>56</v>
      </c>
      <c r="G262" s="34" t="str">
        <f>VLOOKUP(B262,Dane!$A$1:$G$1001,6,FALSE)</f>
        <v>własność</v>
      </c>
    </row>
    <row r="263" spans="1:7" x14ac:dyDescent="0.3">
      <c r="A263" s="34">
        <v>262</v>
      </c>
      <c r="B263" s="34">
        <v>756</v>
      </c>
      <c r="C263" s="34">
        <v>24</v>
      </c>
      <c r="D263" s="34">
        <v>1285</v>
      </c>
      <c r="E263" s="34">
        <v>32</v>
      </c>
      <c r="F263" s="34" t="s">
        <v>57</v>
      </c>
      <c r="G263" s="34" t="str">
        <f>VLOOKUP(B263,Dane!$A$1:$G$1001,6,FALSE)</f>
        <v>wynajem</v>
      </c>
    </row>
    <row r="264" spans="1:7" x14ac:dyDescent="0.3">
      <c r="A264" s="34">
        <v>263</v>
      </c>
      <c r="B264" s="34">
        <v>229</v>
      </c>
      <c r="C264" s="34">
        <v>9</v>
      </c>
      <c r="D264" s="34">
        <v>1478</v>
      </c>
      <c r="E264" s="34">
        <v>22</v>
      </c>
      <c r="F264" s="34" t="s">
        <v>55</v>
      </c>
      <c r="G264" s="34" t="str">
        <f>VLOOKUP(B264,Dane!$A$1:$G$1001,6,FALSE)</f>
        <v>własność</v>
      </c>
    </row>
    <row r="265" spans="1:7" x14ac:dyDescent="0.3">
      <c r="A265" s="34">
        <v>264</v>
      </c>
      <c r="B265" s="34">
        <v>507</v>
      </c>
      <c r="C265" s="34">
        <v>15</v>
      </c>
      <c r="D265" s="34">
        <v>2360</v>
      </c>
      <c r="E265" s="34">
        <v>36</v>
      </c>
      <c r="F265" s="34" t="s">
        <v>54</v>
      </c>
      <c r="G265" s="34" t="str">
        <f>VLOOKUP(B265,Dane!$A$1:$G$1001,6,FALSE)</f>
        <v>własność</v>
      </c>
    </row>
    <row r="266" spans="1:7" x14ac:dyDescent="0.3">
      <c r="A266" s="34">
        <v>265</v>
      </c>
      <c r="B266" s="34">
        <v>404</v>
      </c>
      <c r="C266" s="34">
        <v>14</v>
      </c>
      <c r="D266" s="34">
        <v>802</v>
      </c>
      <c r="E266" s="34">
        <v>27</v>
      </c>
      <c r="F266" s="34" t="s">
        <v>54</v>
      </c>
      <c r="G266" s="34" t="str">
        <f>VLOOKUP(B266,Dane!$A$1:$G$1001,6,FALSE)</f>
        <v>własność</v>
      </c>
    </row>
    <row r="267" spans="1:7" x14ac:dyDescent="0.3">
      <c r="A267" s="34">
        <v>266</v>
      </c>
      <c r="B267" s="34">
        <v>127</v>
      </c>
      <c r="C267" s="34">
        <v>12</v>
      </c>
      <c r="D267" s="34">
        <v>701</v>
      </c>
      <c r="E267" s="34">
        <v>40</v>
      </c>
      <c r="F267" s="34" t="s">
        <v>54</v>
      </c>
      <c r="G267" s="34" t="str">
        <f>VLOOKUP(B267,Dane!$A$1:$G$1001,6,FALSE)</f>
        <v>własność</v>
      </c>
    </row>
    <row r="268" spans="1:7" x14ac:dyDescent="0.3">
      <c r="A268" s="34">
        <v>267</v>
      </c>
      <c r="B268" s="34">
        <v>16</v>
      </c>
      <c r="C268" s="34">
        <v>24</v>
      </c>
      <c r="D268" s="34">
        <v>1282</v>
      </c>
      <c r="E268" s="34">
        <v>32</v>
      </c>
      <c r="F268" s="34" t="s">
        <v>57</v>
      </c>
      <c r="G268" s="34" t="str">
        <f>VLOOKUP(B268,Dane!$A$1:$G$1001,6,FALSE)</f>
        <v>własność</v>
      </c>
    </row>
    <row r="269" spans="1:7" x14ac:dyDescent="0.3">
      <c r="A269" s="34">
        <v>268</v>
      </c>
      <c r="B269" s="34">
        <v>164</v>
      </c>
      <c r="C269" s="34">
        <v>10</v>
      </c>
      <c r="D269" s="34">
        <v>7308</v>
      </c>
      <c r="E269" s="34">
        <v>70</v>
      </c>
      <c r="F269" s="34" t="s">
        <v>54</v>
      </c>
      <c r="G269" s="34" t="str">
        <f>VLOOKUP(B269,Dane!$A$1:$G$1001,6,FALSE)</f>
        <v>za darmo</v>
      </c>
    </row>
    <row r="270" spans="1:7" x14ac:dyDescent="0.3">
      <c r="A270" s="34">
        <v>269</v>
      </c>
      <c r="B270" s="34">
        <v>370</v>
      </c>
      <c r="C270" s="34">
        <v>18</v>
      </c>
      <c r="D270" s="34">
        <v>3001</v>
      </c>
      <c r="E270" s="34">
        <v>40</v>
      </c>
      <c r="F270" s="34" t="s">
        <v>56</v>
      </c>
      <c r="G270" s="34" t="str">
        <f>VLOOKUP(B270,Dane!$A$1:$G$1001,6,FALSE)</f>
        <v>wynajem</v>
      </c>
    </row>
    <row r="271" spans="1:7" x14ac:dyDescent="0.3">
      <c r="A271" s="34">
        <v>270</v>
      </c>
      <c r="B271" s="34">
        <v>583</v>
      </c>
      <c r="C271" s="34">
        <v>9</v>
      </c>
      <c r="D271" s="34">
        <v>1388</v>
      </c>
      <c r="E271" s="34">
        <v>26</v>
      </c>
      <c r="F271" s="34" t="s">
        <v>56</v>
      </c>
      <c r="G271" s="34" t="str">
        <f>VLOOKUP(B271,Dane!$A$1:$G$1001,6,FALSE)</f>
        <v>wynajem</v>
      </c>
    </row>
    <row r="272" spans="1:7" x14ac:dyDescent="0.3">
      <c r="A272" s="34">
        <v>271</v>
      </c>
      <c r="B272" s="34">
        <v>70</v>
      </c>
      <c r="C272" s="34">
        <v>36</v>
      </c>
      <c r="D272" s="34">
        <v>2394</v>
      </c>
      <c r="E272" s="34">
        <v>25</v>
      </c>
      <c r="F272" s="34" t="s">
        <v>56</v>
      </c>
      <c r="G272" s="34" t="str">
        <f>VLOOKUP(B272,Dane!$A$1:$G$1001,6,FALSE)</f>
        <v>własność</v>
      </c>
    </row>
    <row r="273" spans="1:7" x14ac:dyDescent="0.3">
      <c r="A273" s="34">
        <v>272</v>
      </c>
      <c r="B273" s="34">
        <v>806</v>
      </c>
      <c r="C273" s="34">
        <v>36</v>
      </c>
      <c r="D273" s="34">
        <v>9271</v>
      </c>
      <c r="E273" s="34">
        <v>24</v>
      </c>
      <c r="F273" s="34" t="s">
        <v>55</v>
      </c>
      <c r="G273" s="34" t="str">
        <f>VLOOKUP(B273,Dane!$A$1:$G$1001,6,FALSE)</f>
        <v>własność</v>
      </c>
    </row>
    <row r="274" spans="1:7" x14ac:dyDescent="0.3">
      <c r="A274" s="34">
        <v>273</v>
      </c>
      <c r="B274" s="34">
        <v>354</v>
      </c>
      <c r="C274" s="34">
        <v>12</v>
      </c>
      <c r="D274" s="34">
        <v>6199</v>
      </c>
      <c r="E274" s="34">
        <v>28</v>
      </c>
      <c r="F274" s="34" t="s">
        <v>55</v>
      </c>
      <c r="G274" s="34" t="str">
        <f>VLOOKUP(B274,Dane!$A$1:$G$1001,6,FALSE)</f>
        <v>wynajem</v>
      </c>
    </row>
    <row r="275" spans="1:7" x14ac:dyDescent="0.3">
      <c r="A275" s="34">
        <v>274</v>
      </c>
      <c r="B275" s="34">
        <v>513</v>
      </c>
      <c r="C275" s="34">
        <v>15</v>
      </c>
      <c r="D275" s="34">
        <v>2687</v>
      </c>
      <c r="E275" s="34">
        <v>26</v>
      </c>
      <c r="F275" s="34" t="s">
        <v>54</v>
      </c>
      <c r="G275" s="34" t="str">
        <f>VLOOKUP(B275,Dane!$A$1:$G$1001,6,FALSE)</f>
        <v>wynajem</v>
      </c>
    </row>
    <row r="276" spans="1:7" x14ac:dyDescent="0.3">
      <c r="A276" s="34">
        <v>275</v>
      </c>
      <c r="B276" s="34">
        <v>748</v>
      </c>
      <c r="C276" s="34">
        <v>12</v>
      </c>
      <c r="D276" s="34">
        <v>1274</v>
      </c>
      <c r="E276" s="34">
        <v>37</v>
      </c>
      <c r="F276" s="34" t="s">
        <v>57</v>
      </c>
      <c r="G276" s="34" t="str">
        <f>VLOOKUP(B276,Dane!$A$1:$G$1001,6,FALSE)</f>
        <v>własność</v>
      </c>
    </row>
    <row r="277" spans="1:7" x14ac:dyDescent="0.3">
      <c r="A277" s="34">
        <v>276</v>
      </c>
      <c r="B277" s="34">
        <v>852</v>
      </c>
      <c r="C277" s="34">
        <v>24</v>
      </c>
      <c r="D277" s="34">
        <v>4042</v>
      </c>
      <c r="E277" s="34">
        <v>43</v>
      </c>
      <c r="F277" s="34" t="s">
        <v>54</v>
      </c>
      <c r="G277" s="34" t="str">
        <f>VLOOKUP(B277,Dane!$A$1:$G$1001,6,FALSE)</f>
        <v>własność</v>
      </c>
    </row>
    <row r="278" spans="1:7" x14ac:dyDescent="0.3">
      <c r="A278" s="34">
        <v>277</v>
      </c>
      <c r="B278" s="34">
        <v>243</v>
      </c>
      <c r="C278" s="34">
        <v>48</v>
      </c>
      <c r="D278" s="34">
        <v>4605</v>
      </c>
      <c r="E278" s="34">
        <v>24</v>
      </c>
      <c r="F278" s="34" t="s">
        <v>55</v>
      </c>
      <c r="G278" s="34" t="str">
        <f>VLOOKUP(B278,Dane!$A$1:$G$1001,6,FALSE)</f>
        <v>za darmo</v>
      </c>
    </row>
    <row r="279" spans="1:7" x14ac:dyDescent="0.3">
      <c r="A279" s="34">
        <v>278</v>
      </c>
      <c r="B279" s="34">
        <v>110</v>
      </c>
      <c r="C279" s="34">
        <v>14</v>
      </c>
      <c r="D279" s="34">
        <v>1410</v>
      </c>
      <c r="E279" s="34">
        <v>35</v>
      </c>
      <c r="F279" s="34" t="s">
        <v>54</v>
      </c>
      <c r="G279" s="34" t="str">
        <f>VLOOKUP(B279,Dane!$A$1:$G$1001,6,FALSE)</f>
        <v>własność</v>
      </c>
    </row>
    <row r="280" spans="1:7" x14ac:dyDescent="0.3">
      <c r="A280" s="34">
        <v>279</v>
      </c>
      <c r="B280" s="34">
        <v>264</v>
      </c>
      <c r="C280" s="34">
        <v>12</v>
      </c>
      <c r="D280" s="34">
        <v>2748</v>
      </c>
      <c r="E280" s="34">
        <v>57</v>
      </c>
      <c r="F280" s="34" t="s">
        <v>56</v>
      </c>
      <c r="G280" s="34" t="str">
        <f>VLOOKUP(B280,Dane!$A$1:$G$1001,6,FALSE)</f>
        <v>za darmo</v>
      </c>
    </row>
    <row r="281" spans="1:7" x14ac:dyDescent="0.3">
      <c r="A281" s="34">
        <v>280</v>
      </c>
      <c r="B281" s="34">
        <v>419</v>
      </c>
      <c r="C281" s="34">
        <v>21</v>
      </c>
      <c r="D281" s="34">
        <v>2782</v>
      </c>
      <c r="E281" s="34">
        <v>31</v>
      </c>
      <c r="F281" s="34" t="s">
        <v>56</v>
      </c>
      <c r="G281" s="34" t="str">
        <f>VLOOKUP(B281,Dane!$A$1:$G$1001,6,FALSE)</f>
        <v>własność</v>
      </c>
    </row>
    <row r="282" spans="1:7" x14ac:dyDescent="0.3">
      <c r="A282" s="34">
        <v>281</v>
      </c>
      <c r="B282" s="34">
        <v>445</v>
      </c>
      <c r="C282" s="34">
        <v>48</v>
      </c>
      <c r="D282" s="34">
        <v>5096</v>
      </c>
      <c r="E282" s="34">
        <v>30</v>
      </c>
      <c r="F282" s="34" t="s">
        <v>57</v>
      </c>
      <c r="G282" s="34" t="str">
        <f>VLOOKUP(B282,Dane!$A$1:$G$1001,6,FALSE)</f>
        <v>własność</v>
      </c>
    </row>
    <row r="283" spans="1:7" x14ac:dyDescent="0.3">
      <c r="A283" s="34">
        <v>282</v>
      </c>
      <c r="B283" s="34">
        <v>527</v>
      </c>
      <c r="C283" s="34">
        <v>15</v>
      </c>
      <c r="D283" s="34">
        <v>1532</v>
      </c>
      <c r="E283" s="34">
        <v>31</v>
      </c>
      <c r="F283" s="34" t="s">
        <v>56</v>
      </c>
      <c r="G283" s="34" t="str">
        <f>VLOOKUP(B283,Dane!$A$1:$G$1001,6,FALSE)</f>
        <v>własność</v>
      </c>
    </row>
    <row r="284" spans="1:7" x14ac:dyDescent="0.3">
      <c r="A284" s="34">
        <v>283</v>
      </c>
      <c r="B284" s="34">
        <v>250</v>
      </c>
      <c r="C284" s="34">
        <v>18</v>
      </c>
      <c r="D284" s="34">
        <v>433</v>
      </c>
      <c r="E284" s="34">
        <v>22</v>
      </c>
      <c r="F284" s="34" t="s">
        <v>57</v>
      </c>
      <c r="G284" s="34" t="str">
        <f>VLOOKUP(B284,Dane!$A$1:$G$1001,6,FALSE)</f>
        <v>wynajem</v>
      </c>
    </row>
    <row r="285" spans="1:7" x14ac:dyDescent="0.3">
      <c r="A285" s="34">
        <v>284</v>
      </c>
      <c r="B285" s="34">
        <v>567</v>
      </c>
      <c r="C285" s="34">
        <v>12</v>
      </c>
      <c r="D285" s="34">
        <v>1372</v>
      </c>
      <c r="E285" s="34">
        <v>36</v>
      </c>
      <c r="F285" s="34" t="s">
        <v>55</v>
      </c>
      <c r="G285" s="34" t="str">
        <f>VLOOKUP(B285,Dane!$A$1:$G$1001,6,FALSE)</f>
        <v>własność</v>
      </c>
    </row>
    <row r="286" spans="1:7" x14ac:dyDescent="0.3">
      <c r="A286" s="34">
        <v>285</v>
      </c>
      <c r="B286" s="34">
        <v>320</v>
      </c>
      <c r="C286" s="34">
        <v>15</v>
      </c>
      <c r="D286" s="34">
        <v>3643</v>
      </c>
      <c r="E286" s="34">
        <v>27</v>
      </c>
      <c r="F286" s="34" t="s">
        <v>56</v>
      </c>
      <c r="G286" s="34" t="str">
        <f>VLOOKUP(B286,Dane!$A$1:$G$1001,6,FALSE)</f>
        <v>własność</v>
      </c>
    </row>
    <row r="287" spans="1:7" x14ac:dyDescent="0.3">
      <c r="A287" s="34">
        <v>286</v>
      </c>
      <c r="B287" s="34">
        <v>893</v>
      </c>
      <c r="C287" s="34">
        <v>12</v>
      </c>
      <c r="D287" s="34">
        <v>2171</v>
      </c>
      <c r="E287" s="34">
        <v>38</v>
      </c>
      <c r="F287" s="34" t="s">
        <v>54</v>
      </c>
      <c r="G287" s="34" t="str">
        <f>VLOOKUP(B287,Dane!$A$1:$G$1001,6,FALSE)</f>
        <v>własność</v>
      </c>
    </row>
    <row r="288" spans="1:7" x14ac:dyDescent="0.3">
      <c r="A288" s="34">
        <v>287</v>
      </c>
      <c r="B288" s="34">
        <v>843</v>
      </c>
      <c r="C288" s="34">
        <v>18</v>
      </c>
      <c r="D288" s="34">
        <v>1943</v>
      </c>
      <c r="E288" s="34">
        <v>23</v>
      </c>
      <c r="F288" s="34" t="s">
        <v>57</v>
      </c>
      <c r="G288" s="34" t="str">
        <f>VLOOKUP(B288,Dane!$A$1:$G$1001,6,FALSE)</f>
        <v>własność</v>
      </c>
    </row>
    <row r="289" spans="1:7" x14ac:dyDescent="0.3">
      <c r="A289" s="34">
        <v>288</v>
      </c>
      <c r="B289" s="34">
        <v>639</v>
      </c>
      <c r="C289" s="34">
        <v>12</v>
      </c>
      <c r="D289" s="34">
        <v>1493</v>
      </c>
      <c r="E289" s="34">
        <v>34</v>
      </c>
      <c r="F289" s="34" t="s">
        <v>56</v>
      </c>
      <c r="G289" s="34" t="str">
        <f>VLOOKUP(B289,Dane!$A$1:$G$1001,6,FALSE)</f>
        <v>własność</v>
      </c>
    </row>
    <row r="290" spans="1:7" x14ac:dyDescent="0.3">
      <c r="A290" s="34">
        <v>289</v>
      </c>
      <c r="B290" s="34">
        <v>376</v>
      </c>
      <c r="C290" s="34">
        <v>48</v>
      </c>
      <c r="D290" s="34">
        <v>7685</v>
      </c>
      <c r="E290" s="34">
        <v>37</v>
      </c>
      <c r="F290" s="34" t="s">
        <v>57</v>
      </c>
      <c r="G290" s="34" t="str">
        <f>VLOOKUP(B290,Dane!$A$1:$G$1001,6,FALSE)</f>
        <v>wynajem</v>
      </c>
    </row>
    <row r="291" spans="1:7" x14ac:dyDescent="0.3">
      <c r="A291" s="34">
        <v>290</v>
      </c>
      <c r="B291" s="34">
        <v>112</v>
      </c>
      <c r="C291" s="34">
        <v>15</v>
      </c>
      <c r="D291" s="34">
        <v>392</v>
      </c>
      <c r="E291" s="34">
        <v>23</v>
      </c>
      <c r="F291" s="34" t="s">
        <v>56</v>
      </c>
      <c r="G291" s="34" t="str">
        <f>VLOOKUP(B291,Dane!$A$1:$G$1001,6,FALSE)</f>
        <v>wynajem</v>
      </c>
    </row>
    <row r="292" spans="1:7" x14ac:dyDescent="0.3">
      <c r="A292" s="34">
        <v>291</v>
      </c>
      <c r="B292" s="34">
        <v>625</v>
      </c>
      <c r="C292" s="34">
        <v>18</v>
      </c>
      <c r="D292" s="34">
        <v>2600</v>
      </c>
      <c r="E292" s="34">
        <v>65</v>
      </c>
      <c r="F292" s="34" t="s">
        <v>55</v>
      </c>
      <c r="G292" s="34" t="str">
        <f>VLOOKUP(B292,Dane!$A$1:$G$1001,6,FALSE)</f>
        <v>za darmo</v>
      </c>
    </row>
    <row r="293" spans="1:7" x14ac:dyDescent="0.3">
      <c r="A293" s="34">
        <v>292</v>
      </c>
      <c r="B293" s="34">
        <v>705</v>
      </c>
      <c r="C293" s="34">
        <v>27</v>
      </c>
      <c r="D293" s="34">
        <v>2528</v>
      </c>
      <c r="E293" s="34">
        <v>32</v>
      </c>
      <c r="F293" s="34" t="s">
        <v>56</v>
      </c>
      <c r="G293" s="34" t="str">
        <f>VLOOKUP(B293,Dane!$A$1:$G$1001,6,FALSE)</f>
        <v>własność</v>
      </c>
    </row>
    <row r="294" spans="1:7" x14ac:dyDescent="0.3">
      <c r="A294" s="34">
        <v>293</v>
      </c>
      <c r="B294" s="34">
        <v>908</v>
      </c>
      <c r="C294" s="34">
        <v>36</v>
      </c>
      <c r="D294" s="34">
        <v>3711</v>
      </c>
      <c r="E294" s="34">
        <v>27</v>
      </c>
      <c r="F294" s="34" t="s">
        <v>54</v>
      </c>
      <c r="G294" s="34" t="str">
        <f>VLOOKUP(B294,Dane!$A$1:$G$1001,6,FALSE)</f>
        <v>własność</v>
      </c>
    </row>
    <row r="295" spans="1:7" x14ac:dyDescent="0.3">
      <c r="A295" s="34">
        <v>294</v>
      </c>
      <c r="B295" s="34">
        <v>487</v>
      </c>
      <c r="C295" s="34">
        <v>12</v>
      </c>
      <c r="D295" s="34">
        <v>3077</v>
      </c>
      <c r="E295" s="34">
        <v>52</v>
      </c>
      <c r="F295" s="34" t="s">
        <v>54</v>
      </c>
      <c r="G295" s="34" t="str">
        <f>VLOOKUP(B295,Dane!$A$1:$G$1001,6,FALSE)</f>
        <v>własność</v>
      </c>
    </row>
    <row r="296" spans="1:7" x14ac:dyDescent="0.3">
      <c r="A296" s="34">
        <v>295</v>
      </c>
      <c r="B296" s="34">
        <v>771</v>
      </c>
      <c r="C296" s="34">
        <v>24</v>
      </c>
      <c r="D296" s="34">
        <v>2812</v>
      </c>
      <c r="E296" s="34">
        <v>26</v>
      </c>
      <c r="F296" s="34" t="s">
        <v>56</v>
      </c>
      <c r="G296" s="34" t="str">
        <f>VLOOKUP(B296,Dane!$A$1:$G$1001,6,FALSE)</f>
        <v>wynajem</v>
      </c>
    </row>
    <row r="297" spans="1:7" x14ac:dyDescent="0.3">
      <c r="A297" s="34">
        <v>296</v>
      </c>
      <c r="B297" s="34">
        <v>281</v>
      </c>
      <c r="C297" s="34">
        <v>15</v>
      </c>
      <c r="D297" s="34">
        <v>3368</v>
      </c>
      <c r="E297" s="34">
        <v>23</v>
      </c>
      <c r="F297" s="34" t="s">
        <v>54</v>
      </c>
      <c r="G297" s="34" t="str">
        <f>VLOOKUP(B297,Dane!$A$1:$G$1001,6,FALSE)</f>
        <v>wynajem</v>
      </c>
    </row>
    <row r="298" spans="1:7" x14ac:dyDescent="0.3">
      <c r="A298" s="34">
        <v>297</v>
      </c>
      <c r="B298" s="34">
        <v>867</v>
      </c>
      <c r="C298" s="34">
        <v>18</v>
      </c>
      <c r="D298" s="34">
        <v>2389</v>
      </c>
      <c r="E298" s="34">
        <v>27</v>
      </c>
      <c r="F298" s="34" t="s">
        <v>56</v>
      </c>
      <c r="G298" s="34" t="str">
        <f>VLOOKUP(B298,Dane!$A$1:$G$1001,6,FALSE)</f>
        <v>własność</v>
      </c>
    </row>
    <row r="299" spans="1:7" x14ac:dyDescent="0.3">
      <c r="A299" s="34">
        <v>298</v>
      </c>
      <c r="B299" s="34">
        <v>485</v>
      </c>
      <c r="C299" s="34">
        <v>12</v>
      </c>
      <c r="D299" s="34">
        <v>1163</v>
      </c>
      <c r="E299" s="34">
        <v>44</v>
      </c>
      <c r="F299" s="34" t="s">
        <v>54</v>
      </c>
      <c r="G299" s="34" t="str">
        <f>VLOOKUP(B299,Dane!$A$1:$G$1001,6,FALSE)</f>
        <v>własność</v>
      </c>
    </row>
    <row r="300" spans="1:7" x14ac:dyDescent="0.3">
      <c r="A300" s="34">
        <v>299</v>
      </c>
      <c r="B300" s="34">
        <v>326</v>
      </c>
      <c r="C300" s="34">
        <v>8</v>
      </c>
      <c r="D300" s="34">
        <v>3398</v>
      </c>
      <c r="E300" s="34">
        <v>39</v>
      </c>
      <c r="F300" s="34" t="s">
        <v>54</v>
      </c>
      <c r="G300" s="34" t="str">
        <f>VLOOKUP(B300,Dane!$A$1:$G$1001,6,FALSE)</f>
        <v>własność</v>
      </c>
    </row>
    <row r="301" spans="1:7" x14ac:dyDescent="0.3">
      <c r="A301" s="34">
        <v>300</v>
      </c>
      <c r="B301" s="34">
        <v>782</v>
      </c>
      <c r="C301" s="34">
        <v>24</v>
      </c>
      <c r="D301" s="34">
        <v>1940</v>
      </c>
      <c r="E301" s="34">
        <v>60</v>
      </c>
      <c r="F301" s="34" t="s">
        <v>54</v>
      </c>
      <c r="G301" s="34" t="str">
        <f>VLOOKUP(B301,Dane!$A$1:$G$1001,6,FALSE)</f>
        <v>własność</v>
      </c>
    </row>
    <row r="302" spans="1:7" x14ac:dyDescent="0.3">
      <c r="A302" s="34">
        <v>301</v>
      </c>
      <c r="B302" s="34">
        <v>429</v>
      </c>
      <c r="C302" s="34">
        <v>9</v>
      </c>
      <c r="D302" s="34">
        <v>1313</v>
      </c>
      <c r="E302" s="34">
        <v>20</v>
      </c>
      <c r="F302" s="34" t="s">
        <v>54</v>
      </c>
      <c r="G302" s="34" t="str">
        <f>VLOOKUP(B302,Dane!$A$1:$G$1001,6,FALSE)</f>
        <v>własność</v>
      </c>
    </row>
    <row r="303" spans="1:7" x14ac:dyDescent="0.3">
      <c r="A303" s="34">
        <v>302</v>
      </c>
      <c r="B303" s="34">
        <v>50</v>
      </c>
      <c r="C303" s="34">
        <v>12</v>
      </c>
      <c r="D303" s="34">
        <v>2073</v>
      </c>
      <c r="E303" s="34">
        <v>28</v>
      </c>
      <c r="F303" s="34" t="s">
        <v>56</v>
      </c>
      <c r="G303" s="34" t="str">
        <f>VLOOKUP(B303,Dane!$A$1:$G$1001,6,FALSE)</f>
        <v>własność</v>
      </c>
    </row>
    <row r="304" spans="1:7" x14ac:dyDescent="0.3">
      <c r="A304" s="34">
        <v>303</v>
      </c>
      <c r="B304" s="34">
        <v>491</v>
      </c>
      <c r="C304" s="34">
        <v>12</v>
      </c>
      <c r="D304" s="34">
        <v>1934</v>
      </c>
      <c r="E304" s="34">
        <v>26</v>
      </c>
      <c r="F304" s="34" t="s">
        <v>54</v>
      </c>
      <c r="G304" s="34" t="str">
        <f>VLOOKUP(B304,Dane!$A$1:$G$1001,6,FALSE)</f>
        <v>własność</v>
      </c>
    </row>
    <row r="305" spans="1:7" x14ac:dyDescent="0.3">
      <c r="A305" s="34">
        <v>304</v>
      </c>
      <c r="B305" s="34">
        <v>211</v>
      </c>
      <c r="C305" s="34">
        <v>9</v>
      </c>
      <c r="D305" s="34">
        <v>3074</v>
      </c>
      <c r="E305" s="34">
        <v>33</v>
      </c>
      <c r="F305" s="34" t="s">
        <v>54</v>
      </c>
      <c r="G305" s="34" t="str">
        <f>VLOOKUP(B305,Dane!$A$1:$G$1001,6,FALSE)</f>
        <v>własność</v>
      </c>
    </row>
    <row r="306" spans="1:7" x14ac:dyDescent="0.3">
      <c r="A306" s="34">
        <v>305</v>
      </c>
      <c r="B306" s="34">
        <v>488</v>
      </c>
      <c r="C306" s="34">
        <v>24</v>
      </c>
      <c r="D306" s="34">
        <v>3757</v>
      </c>
      <c r="E306" s="34">
        <v>62</v>
      </c>
      <c r="F306" s="34" t="s">
        <v>56</v>
      </c>
      <c r="G306" s="34" t="str">
        <f>VLOOKUP(B306,Dane!$A$1:$G$1001,6,FALSE)</f>
        <v>za darmo</v>
      </c>
    </row>
    <row r="307" spans="1:7" x14ac:dyDescent="0.3">
      <c r="A307" s="34">
        <v>306</v>
      </c>
      <c r="B307" s="34">
        <v>362</v>
      </c>
      <c r="C307" s="34">
        <v>12</v>
      </c>
      <c r="D307" s="34">
        <v>3399</v>
      </c>
      <c r="E307" s="34">
        <v>37</v>
      </c>
      <c r="F307" s="34" t="s">
        <v>54</v>
      </c>
      <c r="G307" s="34" t="str">
        <f>VLOOKUP(B307,Dane!$A$1:$G$1001,6,FALSE)</f>
        <v>własność</v>
      </c>
    </row>
    <row r="308" spans="1:7" x14ac:dyDescent="0.3">
      <c r="A308" s="34">
        <v>307</v>
      </c>
      <c r="B308" s="34">
        <v>186</v>
      </c>
      <c r="C308" s="34">
        <v>15</v>
      </c>
      <c r="D308" s="34">
        <v>1360</v>
      </c>
      <c r="E308" s="34">
        <v>31</v>
      </c>
      <c r="F308" s="34" t="s">
        <v>54</v>
      </c>
      <c r="G308" s="34" t="str">
        <f>VLOOKUP(B308,Dane!$A$1:$G$1001,6,FALSE)</f>
        <v>własność</v>
      </c>
    </row>
    <row r="309" spans="1:7" x14ac:dyDescent="0.3">
      <c r="A309" s="34">
        <v>308</v>
      </c>
      <c r="B309" s="34">
        <v>816</v>
      </c>
      <c r="C309" s="34">
        <v>36</v>
      </c>
      <c r="D309" s="34">
        <v>7432</v>
      </c>
      <c r="E309" s="34">
        <v>54</v>
      </c>
      <c r="F309" s="34" t="s">
        <v>56</v>
      </c>
      <c r="G309" s="34" t="str">
        <f>VLOOKUP(B309,Dane!$A$1:$G$1001,6,FALSE)</f>
        <v>wynajem</v>
      </c>
    </row>
    <row r="310" spans="1:7" x14ac:dyDescent="0.3">
      <c r="A310" s="34">
        <v>309</v>
      </c>
      <c r="B310" s="34">
        <v>475</v>
      </c>
      <c r="C310" s="34">
        <v>18</v>
      </c>
      <c r="D310" s="34">
        <v>1245</v>
      </c>
      <c r="E310" s="34">
        <v>33</v>
      </c>
      <c r="F310" s="34" t="s">
        <v>55</v>
      </c>
      <c r="G310" s="34" t="str">
        <f>VLOOKUP(B310,Dane!$A$1:$G$1001,6,FALSE)</f>
        <v>własność</v>
      </c>
    </row>
    <row r="311" spans="1:7" x14ac:dyDescent="0.3">
      <c r="A311" s="34">
        <v>310</v>
      </c>
      <c r="B311" s="34">
        <v>489</v>
      </c>
      <c r="C311" s="34">
        <v>10</v>
      </c>
      <c r="D311" s="34">
        <v>1418</v>
      </c>
      <c r="E311" s="34">
        <v>35</v>
      </c>
      <c r="F311" s="34" t="s">
        <v>54</v>
      </c>
      <c r="G311" s="34" t="str">
        <f>VLOOKUP(B311,Dane!$A$1:$G$1001,6,FALSE)</f>
        <v>wynajem</v>
      </c>
    </row>
    <row r="312" spans="1:7" x14ac:dyDescent="0.3">
      <c r="A312" s="34">
        <v>311</v>
      </c>
      <c r="B312" s="34">
        <v>511</v>
      </c>
      <c r="C312" s="34">
        <v>12</v>
      </c>
      <c r="D312" s="34">
        <v>759</v>
      </c>
      <c r="E312" s="34">
        <v>26</v>
      </c>
      <c r="F312" s="34" t="s">
        <v>55</v>
      </c>
      <c r="G312" s="34" t="str">
        <f>VLOOKUP(B312,Dane!$A$1:$G$1001,6,FALSE)</f>
        <v>własność</v>
      </c>
    </row>
    <row r="313" spans="1:7" x14ac:dyDescent="0.3">
      <c r="A313" s="34">
        <v>312</v>
      </c>
      <c r="B313" s="34">
        <v>230</v>
      </c>
      <c r="C313" s="34">
        <v>24</v>
      </c>
      <c r="D313" s="34">
        <v>3149</v>
      </c>
      <c r="E313" s="34">
        <v>22</v>
      </c>
      <c r="F313" s="34" t="s">
        <v>54</v>
      </c>
      <c r="G313" s="34" t="str">
        <f>VLOOKUP(B313,Dane!$A$1:$G$1001,6,FALSE)</f>
        <v>za darmo</v>
      </c>
    </row>
    <row r="314" spans="1:7" x14ac:dyDescent="0.3">
      <c r="A314" s="34">
        <v>313</v>
      </c>
      <c r="B314" s="34">
        <v>289</v>
      </c>
      <c r="C314" s="34">
        <v>12</v>
      </c>
      <c r="D314" s="34">
        <v>1092</v>
      </c>
      <c r="E314" s="34">
        <v>49</v>
      </c>
      <c r="F314" s="34" t="s">
        <v>56</v>
      </c>
      <c r="G314" s="34" t="str">
        <f>VLOOKUP(B314,Dane!$A$1:$G$1001,6,FALSE)</f>
        <v>własność</v>
      </c>
    </row>
    <row r="315" spans="1:7" x14ac:dyDescent="0.3">
      <c r="A315" s="34">
        <v>314</v>
      </c>
      <c r="B315" s="34">
        <v>257</v>
      </c>
      <c r="C315" s="34">
        <v>24</v>
      </c>
      <c r="D315" s="34">
        <v>2684</v>
      </c>
      <c r="E315" s="34">
        <v>35</v>
      </c>
      <c r="F315" s="34" t="s">
        <v>54</v>
      </c>
      <c r="G315" s="34" t="str">
        <f>VLOOKUP(B315,Dane!$A$1:$G$1001,6,FALSE)</f>
        <v>własność</v>
      </c>
    </row>
    <row r="316" spans="1:7" x14ac:dyDescent="0.3">
      <c r="A316" s="34">
        <v>315</v>
      </c>
      <c r="B316" s="34">
        <v>614</v>
      </c>
      <c r="C316" s="34">
        <v>24</v>
      </c>
      <c r="D316" s="34">
        <v>3632</v>
      </c>
      <c r="E316" s="34">
        <v>22</v>
      </c>
      <c r="F316" s="34" t="s">
        <v>56</v>
      </c>
      <c r="G316" s="34" t="str">
        <f>VLOOKUP(B316,Dane!$A$1:$G$1001,6,FALSE)</f>
        <v>wynajem</v>
      </c>
    </row>
    <row r="317" spans="1:7" x14ac:dyDescent="0.3">
      <c r="A317" s="34">
        <v>316</v>
      </c>
      <c r="B317" s="34">
        <v>469</v>
      </c>
      <c r="C317" s="34">
        <v>33</v>
      </c>
      <c r="D317" s="34">
        <v>2764</v>
      </c>
      <c r="E317" s="34">
        <v>26</v>
      </c>
      <c r="F317" s="34" t="s">
        <v>56</v>
      </c>
      <c r="G317" s="34" t="str">
        <f>VLOOKUP(B317,Dane!$A$1:$G$1001,6,FALSE)</f>
        <v>własność</v>
      </c>
    </row>
    <row r="318" spans="1:7" x14ac:dyDescent="0.3">
      <c r="A318" s="34">
        <v>317</v>
      </c>
      <c r="B318" s="34">
        <v>212</v>
      </c>
      <c r="C318" s="34">
        <v>36</v>
      </c>
      <c r="D318" s="34">
        <v>3835</v>
      </c>
      <c r="E318" s="34">
        <v>45</v>
      </c>
      <c r="F318" s="34" t="s">
        <v>56</v>
      </c>
      <c r="G318" s="34" t="str">
        <f>VLOOKUP(B318,Dane!$A$1:$G$1001,6,FALSE)</f>
        <v>własność</v>
      </c>
    </row>
    <row r="319" spans="1:7" x14ac:dyDescent="0.3">
      <c r="A319" s="34">
        <v>318</v>
      </c>
      <c r="B319" s="34">
        <v>636</v>
      </c>
      <c r="C319" s="34">
        <v>12</v>
      </c>
      <c r="D319" s="34">
        <v>1393</v>
      </c>
      <c r="E319" s="34">
        <v>47</v>
      </c>
      <c r="F319" s="34" t="s">
        <v>54</v>
      </c>
      <c r="G319" s="34" t="str">
        <f>VLOOKUP(B319,Dane!$A$1:$G$1001,6,FALSE)</f>
        <v>własność</v>
      </c>
    </row>
    <row r="320" spans="1:7" x14ac:dyDescent="0.3">
      <c r="A320" s="34">
        <v>319</v>
      </c>
      <c r="B320" s="34">
        <v>389</v>
      </c>
      <c r="C320" s="34">
        <v>15</v>
      </c>
      <c r="D320" s="34">
        <v>2326</v>
      </c>
      <c r="E320" s="34">
        <v>27</v>
      </c>
      <c r="F320" s="34" t="s">
        <v>54</v>
      </c>
      <c r="G320" s="34" t="str">
        <f>VLOOKUP(B320,Dane!$A$1:$G$1001,6,FALSE)</f>
        <v>własność</v>
      </c>
    </row>
    <row r="321" spans="1:7" x14ac:dyDescent="0.3">
      <c r="A321" s="34">
        <v>320</v>
      </c>
      <c r="B321" s="34">
        <v>509</v>
      </c>
      <c r="C321" s="34">
        <v>24</v>
      </c>
      <c r="D321" s="34">
        <v>1413</v>
      </c>
      <c r="E321" s="34">
        <v>28</v>
      </c>
      <c r="F321" s="34" t="s">
        <v>54</v>
      </c>
      <c r="G321" s="34" t="str">
        <f>VLOOKUP(B321,Dane!$A$1:$G$1001,6,FALSE)</f>
        <v>własność</v>
      </c>
    </row>
    <row r="322" spans="1:7" x14ac:dyDescent="0.3">
      <c r="A322" s="34">
        <v>321</v>
      </c>
      <c r="B322" s="34">
        <v>933</v>
      </c>
      <c r="C322" s="34">
        <v>9</v>
      </c>
      <c r="D322" s="34">
        <v>1224</v>
      </c>
      <c r="E322" s="34">
        <v>30</v>
      </c>
      <c r="F322" s="34" t="s">
        <v>54</v>
      </c>
      <c r="G322" s="34" t="str">
        <f>VLOOKUP(B322,Dane!$A$1:$G$1001,6,FALSE)</f>
        <v>własność</v>
      </c>
    </row>
    <row r="323" spans="1:7" x14ac:dyDescent="0.3">
      <c r="A323" s="34">
        <v>322</v>
      </c>
      <c r="B323" s="34">
        <v>29</v>
      </c>
      <c r="C323" s="34">
        <v>7</v>
      </c>
      <c r="D323" s="34">
        <v>2415</v>
      </c>
      <c r="E323" s="34">
        <v>34</v>
      </c>
      <c r="F323" s="34" t="s">
        <v>54</v>
      </c>
      <c r="G323" s="34" t="str">
        <f>VLOOKUP(B323,Dane!$A$1:$G$1001,6,FALSE)</f>
        <v>własność</v>
      </c>
    </row>
    <row r="324" spans="1:7" x14ac:dyDescent="0.3">
      <c r="A324" s="34">
        <v>323</v>
      </c>
      <c r="B324" s="34">
        <v>873</v>
      </c>
      <c r="C324" s="34">
        <v>24</v>
      </c>
      <c r="D324" s="34">
        <v>1382</v>
      </c>
      <c r="E324" s="34">
        <v>26</v>
      </c>
      <c r="F324" s="34" t="s">
        <v>54</v>
      </c>
      <c r="G324" s="34" t="str">
        <f>VLOOKUP(B324,Dane!$A$1:$G$1001,6,FALSE)</f>
        <v>własność</v>
      </c>
    </row>
    <row r="325" spans="1:7" x14ac:dyDescent="0.3">
      <c r="A325" s="34">
        <v>324</v>
      </c>
      <c r="B325" s="34">
        <v>902</v>
      </c>
      <c r="C325" s="34">
        <v>20</v>
      </c>
      <c r="D325" s="34">
        <v>3485</v>
      </c>
      <c r="E325" s="34">
        <v>44</v>
      </c>
      <c r="F325" s="34" t="s">
        <v>54</v>
      </c>
      <c r="G325" s="34" t="str">
        <f>VLOOKUP(B325,Dane!$A$1:$G$1001,6,FALSE)</f>
        <v>własność</v>
      </c>
    </row>
    <row r="326" spans="1:7" x14ac:dyDescent="0.3">
      <c r="A326" s="34">
        <v>325</v>
      </c>
      <c r="B326" s="34">
        <v>992</v>
      </c>
      <c r="C326" s="34">
        <v>15</v>
      </c>
      <c r="D326" s="34">
        <v>1569</v>
      </c>
      <c r="E326" s="34">
        <v>34</v>
      </c>
      <c r="F326" s="34" t="s">
        <v>54</v>
      </c>
      <c r="G326" s="34" t="str">
        <f>VLOOKUP(B326,Dane!$A$1:$G$1001,6,FALSE)</f>
        <v>własność</v>
      </c>
    </row>
    <row r="327" spans="1:7" x14ac:dyDescent="0.3">
      <c r="A327" s="34">
        <v>326</v>
      </c>
      <c r="B327" s="34">
        <v>133</v>
      </c>
      <c r="C327" s="34">
        <v>15</v>
      </c>
      <c r="D327" s="34">
        <v>2708</v>
      </c>
      <c r="E327" s="34">
        <v>27</v>
      </c>
      <c r="F327" s="34" t="s">
        <v>54</v>
      </c>
      <c r="G327" s="34" t="str">
        <f>VLOOKUP(B327,Dane!$A$1:$G$1001,6,FALSE)</f>
        <v>własność</v>
      </c>
    </row>
    <row r="328" spans="1:7" x14ac:dyDescent="0.3">
      <c r="A328" s="34">
        <v>327</v>
      </c>
      <c r="B328" s="34">
        <v>624</v>
      </c>
      <c r="C328" s="34">
        <v>12</v>
      </c>
      <c r="D328" s="34">
        <v>1858</v>
      </c>
      <c r="E328" s="34">
        <v>22</v>
      </c>
      <c r="F328" s="34" t="s">
        <v>56</v>
      </c>
      <c r="G328" s="34" t="str">
        <f>VLOOKUP(B328,Dane!$A$1:$G$1001,6,FALSE)</f>
        <v>wynajem</v>
      </c>
    </row>
    <row r="329" spans="1:7" x14ac:dyDescent="0.3">
      <c r="A329" s="34">
        <v>328</v>
      </c>
      <c r="B329" s="34">
        <v>193</v>
      </c>
      <c r="C329" s="34">
        <v>27</v>
      </c>
      <c r="D329" s="34">
        <v>3915</v>
      </c>
      <c r="E329" s="34">
        <v>36</v>
      </c>
      <c r="F329" s="34" t="s">
        <v>55</v>
      </c>
      <c r="G329" s="34" t="str">
        <f>VLOOKUP(B329,Dane!$A$1:$G$1001,6,FALSE)</f>
        <v>własność</v>
      </c>
    </row>
    <row r="330" spans="1:7" x14ac:dyDescent="0.3">
      <c r="A330" s="34">
        <v>329</v>
      </c>
      <c r="B330" s="34">
        <v>394</v>
      </c>
      <c r="C330" s="34">
        <v>6</v>
      </c>
      <c r="D330" s="34">
        <v>1957</v>
      </c>
      <c r="E330" s="34">
        <v>31</v>
      </c>
      <c r="F330" s="34" t="s">
        <v>56</v>
      </c>
      <c r="G330" s="34" t="str">
        <f>VLOOKUP(B330,Dane!$A$1:$G$1001,6,FALSE)</f>
        <v>własność</v>
      </c>
    </row>
    <row r="331" spans="1:7" x14ac:dyDescent="0.3">
      <c r="A331" s="34">
        <v>330</v>
      </c>
      <c r="B331" s="34">
        <v>413</v>
      </c>
      <c r="C331" s="34">
        <v>12</v>
      </c>
      <c r="D331" s="34">
        <v>2292</v>
      </c>
      <c r="E331" s="34">
        <v>42</v>
      </c>
      <c r="F331" s="34" t="s">
        <v>55</v>
      </c>
      <c r="G331" s="34" t="str">
        <f>VLOOKUP(B331,Dane!$A$1:$G$1001,6,FALSE)</f>
        <v>własność</v>
      </c>
    </row>
    <row r="332" spans="1:7" x14ac:dyDescent="0.3">
      <c r="A332" s="34">
        <v>331</v>
      </c>
      <c r="B332" s="34">
        <v>344</v>
      </c>
      <c r="C332" s="34">
        <v>18</v>
      </c>
      <c r="D332" s="34">
        <v>4439</v>
      </c>
      <c r="E332" s="34">
        <v>33</v>
      </c>
      <c r="F332" s="34" t="s">
        <v>54</v>
      </c>
      <c r="G332" s="34" t="str">
        <f>VLOOKUP(B332,Dane!$A$1:$G$1001,6,FALSE)</f>
        <v>własność</v>
      </c>
    </row>
    <row r="333" spans="1:7" x14ac:dyDescent="0.3">
      <c r="A333" s="34">
        <v>332</v>
      </c>
      <c r="B333" s="34">
        <v>678</v>
      </c>
      <c r="C333" s="34">
        <v>72</v>
      </c>
      <c r="D333" s="34">
        <v>5595</v>
      </c>
      <c r="E333" s="34">
        <v>24</v>
      </c>
      <c r="F333" s="34" t="s">
        <v>55</v>
      </c>
      <c r="G333" s="34" t="str">
        <f>VLOOKUP(B333,Dane!$A$1:$G$1001,6,FALSE)</f>
        <v>własność</v>
      </c>
    </row>
    <row r="334" spans="1:7" x14ac:dyDescent="0.3">
      <c r="A334" s="34">
        <v>333</v>
      </c>
      <c r="B334" s="34">
        <v>733</v>
      </c>
      <c r="C334" s="34">
        <v>8</v>
      </c>
      <c r="D334" s="34">
        <v>760</v>
      </c>
      <c r="E334" s="34">
        <v>44</v>
      </c>
      <c r="F334" s="34" t="s">
        <v>56</v>
      </c>
      <c r="G334" s="34" t="str">
        <f>VLOOKUP(B334,Dane!$A$1:$G$1001,6,FALSE)</f>
        <v>własność</v>
      </c>
    </row>
    <row r="335" spans="1:7" x14ac:dyDescent="0.3">
      <c r="A335" s="34">
        <v>334</v>
      </c>
      <c r="B335" s="34">
        <v>283</v>
      </c>
      <c r="C335" s="34">
        <v>18</v>
      </c>
      <c r="D335" s="34">
        <v>1445</v>
      </c>
      <c r="E335" s="34">
        <v>49</v>
      </c>
      <c r="F335" s="34" t="s">
        <v>54</v>
      </c>
      <c r="G335" s="34" t="str">
        <f>VLOOKUP(B335,Dane!$A$1:$G$1001,6,FALSE)</f>
        <v>własność</v>
      </c>
    </row>
    <row r="336" spans="1:7" x14ac:dyDescent="0.3">
      <c r="A336" s="34">
        <v>335</v>
      </c>
      <c r="B336" s="34">
        <v>830</v>
      </c>
      <c r="C336" s="34">
        <v>48</v>
      </c>
      <c r="D336" s="34">
        <v>6681</v>
      </c>
      <c r="E336" s="34">
        <v>38</v>
      </c>
      <c r="F336" s="34" t="s">
        <v>54</v>
      </c>
      <c r="G336" s="34" t="str">
        <f>VLOOKUP(B336,Dane!$A$1:$G$1001,6,FALSE)</f>
        <v>za darmo</v>
      </c>
    </row>
    <row r="337" spans="1:7" x14ac:dyDescent="0.3">
      <c r="A337" s="34">
        <v>336</v>
      </c>
      <c r="B337" s="34">
        <v>426</v>
      </c>
      <c r="C337" s="34">
        <v>18</v>
      </c>
      <c r="D337" s="34">
        <v>2779</v>
      </c>
      <c r="E337" s="34">
        <v>21</v>
      </c>
      <c r="F337" s="34" t="s">
        <v>54</v>
      </c>
      <c r="G337" s="34" t="str">
        <f>VLOOKUP(B337,Dane!$A$1:$G$1001,6,FALSE)</f>
        <v>wynajem</v>
      </c>
    </row>
    <row r="338" spans="1:7" x14ac:dyDescent="0.3">
      <c r="A338" s="34">
        <v>337</v>
      </c>
      <c r="B338" s="34">
        <v>665</v>
      </c>
      <c r="C338" s="34">
        <v>6</v>
      </c>
      <c r="D338" s="34">
        <v>1047</v>
      </c>
      <c r="E338" s="34">
        <v>50</v>
      </c>
      <c r="F338" s="34" t="s">
        <v>56</v>
      </c>
      <c r="G338" s="34" t="str">
        <f>VLOOKUP(B338,Dane!$A$1:$G$1001,6,FALSE)</f>
        <v>własność</v>
      </c>
    </row>
    <row r="339" spans="1:7" x14ac:dyDescent="0.3">
      <c r="A339" s="34">
        <v>338</v>
      </c>
      <c r="B339" s="34">
        <v>141</v>
      </c>
      <c r="C339" s="34">
        <v>6</v>
      </c>
      <c r="D339" s="34">
        <v>709</v>
      </c>
      <c r="E339" s="34">
        <v>27</v>
      </c>
      <c r="F339" s="34" t="s">
        <v>54</v>
      </c>
      <c r="G339" s="34" t="str">
        <f>VLOOKUP(B339,Dane!$A$1:$G$1001,6,FALSE)</f>
        <v>własność</v>
      </c>
    </row>
    <row r="340" spans="1:7" x14ac:dyDescent="0.3">
      <c r="A340" s="34">
        <v>339</v>
      </c>
      <c r="B340" s="34">
        <v>809</v>
      </c>
      <c r="C340" s="34">
        <v>42</v>
      </c>
      <c r="D340" s="34">
        <v>9283</v>
      </c>
      <c r="E340" s="34">
        <v>55</v>
      </c>
      <c r="F340" s="34" t="s">
        <v>54</v>
      </c>
      <c r="G340" s="34" t="str">
        <f>VLOOKUP(B340,Dane!$A$1:$G$1001,6,FALSE)</f>
        <v>za darmo</v>
      </c>
    </row>
    <row r="341" spans="1:7" x14ac:dyDescent="0.3">
      <c r="A341" s="34">
        <v>340</v>
      </c>
      <c r="B341" s="34">
        <v>589</v>
      </c>
      <c r="C341" s="34">
        <v>18</v>
      </c>
      <c r="D341" s="34">
        <v>1217</v>
      </c>
      <c r="E341" s="34">
        <v>47</v>
      </c>
      <c r="F341" s="34" t="s">
        <v>55</v>
      </c>
      <c r="G341" s="34" t="str">
        <f>VLOOKUP(B341,Dane!$A$1:$G$1001,6,FALSE)</f>
        <v>własność</v>
      </c>
    </row>
    <row r="342" spans="1:7" x14ac:dyDescent="0.3">
      <c r="A342" s="34">
        <v>341</v>
      </c>
      <c r="B342" s="34">
        <v>297</v>
      </c>
      <c r="C342" s="34">
        <v>12</v>
      </c>
      <c r="D342" s="34">
        <v>4675</v>
      </c>
      <c r="E342" s="34">
        <v>20</v>
      </c>
      <c r="F342" s="34" t="s">
        <v>56</v>
      </c>
      <c r="G342" s="34" t="str">
        <f>VLOOKUP(B342,Dane!$A$1:$G$1001,6,FALSE)</f>
        <v>wynajem</v>
      </c>
    </row>
    <row r="343" spans="1:7" x14ac:dyDescent="0.3">
      <c r="A343" s="34">
        <v>342</v>
      </c>
      <c r="B343" s="34">
        <v>448</v>
      </c>
      <c r="C343" s="34">
        <v>7</v>
      </c>
      <c r="D343" s="34">
        <v>2576</v>
      </c>
      <c r="E343" s="34">
        <v>35</v>
      </c>
      <c r="F343" s="34" t="s">
        <v>54</v>
      </c>
      <c r="G343" s="34" t="str">
        <f>VLOOKUP(B343,Dane!$A$1:$G$1001,6,FALSE)</f>
        <v>własność</v>
      </c>
    </row>
    <row r="344" spans="1:7" x14ac:dyDescent="0.3">
      <c r="A344" s="34">
        <v>343</v>
      </c>
      <c r="B344" s="34">
        <v>557</v>
      </c>
      <c r="C344" s="34">
        <v>18</v>
      </c>
      <c r="D344" s="34">
        <v>2278</v>
      </c>
      <c r="E344" s="34">
        <v>28</v>
      </c>
      <c r="F344" s="34" t="s">
        <v>57</v>
      </c>
      <c r="G344" s="34" t="str">
        <f>VLOOKUP(B344,Dane!$A$1:$G$1001,6,FALSE)</f>
        <v>własność</v>
      </c>
    </row>
    <row r="345" spans="1:7" x14ac:dyDescent="0.3">
      <c r="A345" s="34">
        <v>344</v>
      </c>
      <c r="B345" s="34">
        <v>345</v>
      </c>
      <c r="C345" s="34">
        <v>10</v>
      </c>
      <c r="D345" s="34">
        <v>3949</v>
      </c>
      <c r="E345" s="34">
        <v>37</v>
      </c>
      <c r="F345" s="34" t="s">
        <v>54</v>
      </c>
      <c r="G345" s="34" t="str">
        <f>VLOOKUP(B345,Dane!$A$1:$G$1001,6,FALSE)</f>
        <v>własność</v>
      </c>
    </row>
    <row r="346" spans="1:7" x14ac:dyDescent="0.3">
      <c r="A346" s="34">
        <v>345</v>
      </c>
      <c r="B346" s="34">
        <v>615</v>
      </c>
      <c r="C346" s="34">
        <v>18</v>
      </c>
      <c r="D346" s="34">
        <v>1808</v>
      </c>
      <c r="E346" s="34">
        <v>22</v>
      </c>
      <c r="F346" s="34" t="s">
        <v>57</v>
      </c>
      <c r="G346" s="34" t="str">
        <f>VLOOKUP(B346,Dane!$A$1:$G$1001,6,FALSE)</f>
        <v>własność</v>
      </c>
    </row>
    <row r="347" spans="1:7" x14ac:dyDescent="0.3">
      <c r="A347" s="34">
        <v>346</v>
      </c>
      <c r="B347" s="34">
        <v>773</v>
      </c>
      <c r="C347" s="34">
        <v>21</v>
      </c>
      <c r="D347" s="34">
        <v>3275</v>
      </c>
      <c r="E347" s="34">
        <v>36</v>
      </c>
      <c r="F347" s="34" t="s">
        <v>54</v>
      </c>
      <c r="G347" s="34" t="str">
        <f>VLOOKUP(B347,Dane!$A$1:$G$1001,6,FALSE)</f>
        <v>własność</v>
      </c>
    </row>
    <row r="348" spans="1:7" x14ac:dyDescent="0.3">
      <c r="A348" s="34">
        <v>347</v>
      </c>
      <c r="B348" s="34">
        <v>645</v>
      </c>
      <c r="C348" s="34">
        <v>18</v>
      </c>
      <c r="D348" s="34">
        <v>1880</v>
      </c>
      <c r="E348" s="34">
        <v>32</v>
      </c>
      <c r="F348" s="34" t="s">
        <v>54</v>
      </c>
      <c r="G348" s="34" t="str">
        <f>VLOOKUP(B348,Dane!$A$1:$G$1001,6,FALSE)</f>
        <v>własność</v>
      </c>
    </row>
    <row r="349" spans="1:7" x14ac:dyDescent="0.3">
      <c r="A349" s="34">
        <v>348</v>
      </c>
      <c r="B349" s="34">
        <v>632</v>
      </c>
      <c r="C349" s="34">
        <v>18</v>
      </c>
      <c r="D349" s="34">
        <v>1553</v>
      </c>
      <c r="E349" s="34">
        <v>44</v>
      </c>
      <c r="F349" s="34" t="s">
        <v>55</v>
      </c>
      <c r="G349" s="34" t="str">
        <f>VLOOKUP(B349,Dane!$A$1:$G$1001,6,FALSE)</f>
        <v>własność</v>
      </c>
    </row>
    <row r="350" spans="1:7" x14ac:dyDescent="0.3">
      <c r="A350" s="34">
        <v>349</v>
      </c>
      <c r="B350" s="34">
        <v>422</v>
      </c>
      <c r="C350" s="34">
        <v>12</v>
      </c>
      <c r="D350" s="34">
        <v>2028</v>
      </c>
      <c r="E350" s="34">
        <v>30</v>
      </c>
      <c r="F350" s="34" t="s">
        <v>54</v>
      </c>
      <c r="G350" s="34" t="str">
        <f>VLOOKUP(B350,Dane!$A$1:$G$1001,6,FALSE)</f>
        <v>własność</v>
      </c>
    </row>
    <row r="351" spans="1:7" x14ac:dyDescent="0.3">
      <c r="A351" s="34">
        <v>350</v>
      </c>
      <c r="B351" s="34">
        <v>860</v>
      </c>
      <c r="C351" s="34">
        <v>9</v>
      </c>
      <c r="D351" s="34">
        <v>3577</v>
      </c>
      <c r="E351" s="34">
        <v>26</v>
      </c>
      <c r="F351" s="34" t="s">
        <v>54</v>
      </c>
      <c r="G351" s="34" t="str">
        <f>VLOOKUP(B351,Dane!$A$1:$G$1001,6,FALSE)</f>
        <v>wynajem</v>
      </c>
    </row>
    <row r="352" spans="1:7" x14ac:dyDescent="0.3">
      <c r="A352" s="34">
        <v>351</v>
      </c>
      <c r="B352" s="34">
        <v>970</v>
      </c>
      <c r="C352" s="34">
        <v>11</v>
      </c>
      <c r="D352" s="34">
        <v>3939</v>
      </c>
      <c r="E352" s="34">
        <v>40</v>
      </c>
      <c r="F352" s="34" t="s">
        <v>54</v>
      </c>
      <c r="G352" s="34" t="str">
        <f>VLOOKUP(B352,Dane!$A$1:$G$1001,6,FALSE)</f>
        <v>własność</v>
      </c>
    </row>
    <row r="353" spans="1:7" x14ac:dyDescent="0.3">
      <c r="A353" s="34">
        <v>352</v>
      </c>
      <c r="B353" s="34">
        <v>83</v>
      </c>
      <c r="C353" s="34">
        <v>18</v>
      </c>
      <c r="D353" s="34">
        <v>1568</v>
      </c>
      <c r="E353" s="34">
        <v>24</v>
      </c>
      <c r="F353" s="34" t="s">
        <v>56</v>
      </c>
      <c r="G353" s="34" t="str">
        <f>VLOOKUP(B353,Dane!$A$1:$G$1001,6,FALSE)</f>
        <v>wynajem</v>
      </c>
    </row>
    <row r="354" spans="1:7" x14ac:dyDescent="0.3">
      <c r="A354" s="34">
        <v>353</v>
      </c>
      <c r="B354" s="34">
        <v>280</v>
      </c>
      <c r="C354" s="34">
        <v>24</v>
      </c>
      <c r="D354" s="34">
        <v>1901</v>
      </c>
      <c r="E354" s="34">
        <v>29</v>
      </c>
      <c r="F354" s="34" t="s">
        <v>54</v>
      </c>
      <c r="G354" s="34" t="str">
        <f>VLOOKUP(B354,Dane!$A$1:$G$1001,6,FALSE)</f>
        <v>wynajem</v>
      </c>
    </row>
    <row r="355" spans="1:7" x14ac:dyDescent="0.3">
      <c r="A355" s="34">
        <v>354</v>
      </c>
      <c r="B355" s="34">
        <v>775</v>
      </c>
      <c r="C355" s="34">
        <v>12</v>
      </c>
      <c r="D355" s="34">
        <v>1480</v>
      </c>
      <c r="E355" s="34">
        <v>66</v>
      </c>
      <c r="F355" s="34" t="s">
        <v>54</v>
      </c>
      <c r="G355" s="34" t="str">
        <f>VLOOKUP(B355,Dane!$A$1:$G$1001,6,FALSE)</f>
        <v>za darmo</v>
      </c>
    </row>
    <row r="356" spans="1:7" x14ac:dyDescent="0.3">
      <c r="A356" s="34">
        <v>355</v>
      </c>
      <c r="B356" s="34">
        <v>795</v>
      </c>
      <c r="C356" s="34">
        <v>24</v>
      </c>
      <c r="D356" s="34">
        <v>3062</v>
      </c>
      <c r="E356" s="34">
        <v>32</v>
      </c>
      <c r="F356" s="34" t="s">
        <v>54</v>
      </c>
      <c r="G356" s="34" t="str">
        <f>VLOOKUP(B356,Dane!$A$1:$G$1001,6,FALSE)</f>
        <v>wynajem</v>
      </c>
    </row>
    <row r="357" spans="1:7" x14ac:dyDescent="0.3">
      <c r="A357" s="34">
        <v>356</v>
      </c>
      <c r="B357" s="34">
        <v>769</v>
      </c>
      <c r="C357" s="34">
        <v>12</v>
      </c>
      <c r="D357" s="34">
        <v>3617</v>
      </c>
      <c r="E357" s="34">
        <v>28</v>
      </c>
      <c r="F357" s="34" t="s">
        <v>54</v>
      </c>
      <c r="G357" s="34" t="str">
        <f>VLOOKUP(B357,Dane!$A$1:$G$1001,6,FALSE)</f>
        <v>wynajem</v>
      </c>
    </row>
    <row r="358" spans="1:7" x14ac:dyDescent="0.3">
      <c r="A358" s="34">
        <v>357</v>
      </c>
      <c r="B358" s="34">
        <v>736</v>
      </c>
      <c r="C358" s="34">
        <v>36</v>
      </c>
      <c r="D358" s="34">
        <v>3990</v>
      </c>
      <c r="E358" s="34">
        <v>29</v>
      </c>
      <c r="F358" s="34" t="s">
        <v>56</v>
      </c>
      <c r="G358" s="34" t="str">
        <f>VLOOKUP(B358,Dane!$A$1:$G$1001,6,FALSE)</f>
        <v>własność</v>
      </c>
    </row>
    <row r="359" spans="1:7" x14ac:dyDescent="0.3">
      <c r="A359" s="34">
        <v>358</v>
      </c>
      <c r="B359" s="34">
        <v>182</v>
      </c>
      <c r="C359" s="34">
        <v>36</v>
      </c>
      <c r="D359" s="34">
        <v>4455</v>
      </c>
      <c r="E359" s="34">
        <v>30</v>
      </c>
      <c r="F359" s="34" t="s">
        <v>55</v>
      </c>
      <c r="G359" s="34" t="str">
        <f>VLOOKUP(B359,Dane!$A$1:$G$1001,6,FALSE)</f>
        <v>własność</v>
      </c>
    </row>
    <row r="360" spans="1:7" x14ac:dyDescent="0.3">
      <c r="A360" s="34">
        <v>359</v>
      </c>
      <c r="B360" s="34">
        <v>478</v>
      </c>
      <c r="C360" s="34">
        <v>24</v>
      </c>
      <c r="D360" s="34">
        <v>5152</v>
      </c>
      <c r="E360" s="34">
        <v>25</v>
      </c>
      <c r="F360" s="34" t="s">
        <v>54</v>
      </c>
      <c r="G360" s="34" t="str">
        <f>VLOOKUP(B360,Dane!$A$1:$G$1001,6,FALSE)</f>
        <v>własność</v>
      </c>
    </row>
    <row r="361" spans="1:7" x14ac:dyDescent="0.3">
      <c r="A361" s="34">
        <v>360</v>
      </c>
      <c r="B361" s="34">
        <v>556</v>
      </c>
      <c r="C361" s="34">
        <v>12</v>
      </c>
      <c r="D361" s="34">
        <v>1331</v>
      </c>
      <c r="E361" s="34">
        <v>22</v>
      </c>
      <c r="F361" s="34" t="s">
        <v>55</v>
      </c>
      <c r="G361" s="34" t="str">
        <f>VLOOKUP(B361,Dane!$A$1:$G$1001,6,FALSE)</f>
        <v>własność</v>
      </c>
    </row>
    <row r="362" spans="1:7" x14ac:dyDescent="0.3">
      <c r="A362" s="34">
        <v>361</v>
      </c>
      <c r="B362" s="34">
        <v>393</v>
      </c>
      <c r="C362" s="34">
        <v>36</v>
      </c>
      <c r="D362" s="34">
        <v>3249</v>
      </c>
      <c r="E362" s="34">
        <v>39</v>
      </c>
      <c r="F362" s="34" t="s">
        <v>54</v>
      </c>
      <c r="G362" s="34" t="str">
        <f>VLOOKUP(B362,Dane!$A$1:$G$1001,6,FALSE)</f>
        <v>za darmo</v>
      </c>
    </row>
    <row r="363" spans="1:7" x14ac:dyDescent="0.3">
      <c r="A363" s="34">
        <v>362</v>
      </c>
      <c r="B363" s="34">
        <v>447</v>
      </c>
      <c r="C363" s="34">
        <v>36</v>
      </c>
      <c r="D363" s="34">
        <v>1842</v>
      </c>
      <c r="E363" s="34">
        <v>34</v>
      </c>
      <c r="F363" s="34" t="s">
        <v>57</v>
      </c>
      <c r="G363" s="34" t="str">
        <f>VLOOKUP(B363,Dane!$A$1:$G$1001,6,FALSE)</f>
        <v>własność</v>
      </c>
    </row>
    <row r="364" spans="1:7" x14ac:dyDescent="0.3">
      <c r="A364" s="34">
        <v>363</v>
      </c>
      <c r="B364" s="34">
        <v>910</v>
      </c>
      <c r="C364" s="34">
        <v>9</v>
      </c>
      <c r="D364" s="34">
        <v>3195</v>
      </c>
      <c r="E364" s="34">
        <v>33</v>
      </c>
      <c r="F364" s="34" t="s">
        <v>56</v>
      </c>
      <c r="G364" s="34" t="str">
        <f>VLOOKUP(B364,Dane!$A$1:$G$1001,6,FALSE)</f>
        <v>własność</v>
      </c>
    </row>
    <row r="365" spans="1:7" x14ac:dyDescent="0.3">
      <c r="A365" s="34">
        <v>364</v>
      </c>
      <c r="B365" s="34">
        <v>135</v>
      </c>
      <c r="C365" s="34">
        <v>60</v>
      </c>
      <c r="D365" s="34">
        <v>10144</v>
      </c>
      <c r="E365" s="34">
        <v>21</v>
      </c>
      <c r="F365" s="34" t="s">
        <v>56</v>
      </c>
      <c r="G365" s="34" t="str">
        <f>VLOOKUP(B365,Dane!$A$1:$G$1001,6,FALSE)</f>
        <v>własność</v>
      </c>
    </row>
    <row r="366" spans="1:7" x14ac:dyDescent="0.3">
      <c r="A366" s="34">
        <v>365</v>
      </c>
      <c r="B366" s="34">
        <v>903</v>
      </c>
      <c r="C366" s="34">
        <v>36</v>
      </c>
      <c r="D366" s="34">
        <v>10477</v>
      </c>
      <c r="E366" s="34">
        <v>42</v>
      </c>
      <c r="F366" s="34" t="s">
        <v>54</v>
      </c>
      <c r="G366" s="34" t="str">
        <f>VLOOKUP(B366,Dane!$A$1:$G$1001,6,FALSE)</f>
        <v>za darmo</v>
      </c>
    </row>
    <row r="367" spans="1:7" x14ac:dyDescent="0.3">
      <c r="A367" s="34">
        <v>366</v>
      </c>
      <c r="B367" s="34">
        <v>542</v>
      </c>
      <c r="C367" s="34">
        <v>24</v>
      </c>
      <c r="D367" s="34">
        <v>2032</v>
      </c>
      <c r="E367" s="34">
        <v>60</v>
      </c>
      <c r="F367" s="34" t="s">
        <v>54</v>
      </c>
      <c r="G367" s="34" t="str">
        <f>VLOOKUP(B367,Dane!$A$1:$G$1001,6,FALSE)</f>
        <v>za darmo</v>
      </c>
    </row>
    <row r="368" spans="1:7" x14ac:dyDescent="0.3">
      <c r="A368" s="34">
        <v>367</v>
      </c>
      <c r="B368" s="34">
        <v>586</v>
      </c>
      <c r="C368" s="34">
        <v>18</v>
      </c>
      <c r="D368" s="34">
        <v>2039</v>
      </c>
      <c r="E368" s="34">
        <v>20</v>
      </c>
      <c r="F368" s="34" t="s">
        <v>57</v>
      </c>
      <c r="G368" s="34" t="str">
        <f>VLOOKUP(B368,Dane!$A$1:$G$1001,6,FALSE)</f>
        <v>wynajem</v>
      </c>
    </row>
    <row r="369" spans="1:7" x14ac:dyDescent="0.3">
      <c r="A369" s="34">
        <v>368</v>
      </c>
      <c r="B369" s="34">
        <v>235</v>
      </c>
      <c r="C369" s="34">
        <v>4</v>
      </c>
      <c r="D369" s="34">
        <v>1544</v>
      </c>
      <c r="E369" s="34">
        <v>42</v>
      </c>
      <c r="F369" s="34" t="s">
        <v>54</v>
      </c>
      <c r="G369" s="34" t="str">
        <f>VLOOKUP(B369,Dane!$A$1:$G$1001,6,FALSE)</f>
        <v>własność</v>
      </c>
    </row>
    <row r="370" spans="1:7" x14ac:dyDescent="0.3">
      <c r="A370" s="34">
        <v>369</v>
      </c>
      <c r="B370" s="34">
        <v>213</v>
      </c>
      <c r="C370" s="34">
        <v>27</v>
      </c>
      <c r="D370" s="34">
        <v>5293</v>
      </c>
      <c r="E370" s="34">
        <v>50</v>
      </c>
      <c r="F370" s="34" t="s">
        <v>55</v>
      </c>
      <c r="G370" s="34" t="str">
        <f>VLOOKUP(B370,Dane!$A$1:$G$1001,6,FALSE)</f>
        <v>własność</v>
      </c>
    </row>
    <row r="371" spans="1:7" x14ac:dyDescent="0.3">
      <c r="A371" s="34">
        <v>370</v>
      </c>
      <c r="B371" s="34">
        <v>33</v>
      </c>
      <c r="C371" s="34">
        <v>18</v>
      </c>
      <c r="D371" s="34">
        <v>5866</v>
      </c>
      <c r="E371" s="34">
        <v>30</v>
      </c>
      <c r="F371" s="34" t="s">
        <v>54</v>
      </c>
      <c r="G371" s="34" t="str">
        <f>VLOOKUP(B371,Dane!$A$1:$G$1001,6,FALSE)</f>
        <v>własność</v>
      </c>
    </row>
    <row r="372" spans="1:7" x14ac:dyDescent="0.3">
      <c r="A372" s="34">
        <v>371</v>
      </c>
      <c r="B372" s="34">
        <v>128</v>
      </c>
      <c r="C372" s="34">
        <v>12</v>
      </c>
      <c r="D372" s="34">
        <v>639</v>
      </c>
      <c r="E372" s="34">
        <v>30</v>
      </c>
      <c r="F372" s="34" t="s">
        <v>55</v>
      </c>
      <c r="G372" s="34" t="str">
        <f>VLOOKUP(B372,Dane!$A$1:$G$1001,6,FALSE)</f>
        <v>własność</v>
      </c>
    </row>
    <row r="373" spans="1:7" x14ac:dyDescent="0.3">
      <c r="A373" s="34">
        <v>372</v>
      </c>
      <c r="B373" s="34">
        <v>397</v>
      </c>
      <c r="C373" s="34">
        <v>12</v>
      </c>
      <c r="D373" s="34">
        <v>2578</v>
      </c>
      <c r="E373" s="34">
        <v>55</v>
      </c>
      <c r="F373" s="34" t="s">
        <v>56</v>
      </c>
      <c r="G373" s="34" t="str">
        <f>VLOOKUP(B373,Dane!$A$1:$G$1001,6,FALSE)</f>
        <v>za darmo</v>
      </c>
    </row>
    <row r="374" spans="1:7" x14ac:dyDescent="0.3">
      <c r="A374" s="34">
        <v>373</v>
      </c>
      <c r="B374" s="34">
        <v>543</v>
      </c>
      <c r="C374" s="34">
        <v>30</v>
      </c>
      <c r="D374" s="34">
        <v>6350</v>
      </c>
      <c r="E374" s="34">
        <v>31</v>
      </c>
      <c r="F374" s="34" t="s">
        <v>55</v>
      </c>
      <c r="G374" s="34" t="str">
        <f>VLOOKUP(B374,Dane!$A$1:$G$1001,6,FALSE)</f>
        <v>własność</v>
      </c>
    </row>
    <row r="375" spans="1:7" x14ac:dyDescent="0.3">
      <c r="A375" s="34">
        <v>374</v>
      </c>
      <c r="B375" s="34">
        <v>60</v>
      </c>
      <c r="C375" s="34">
        <v>36</v>
      </c>
      <c r="D375" s="34">
        <v>6229</v>
      </c>
      <c r="E375" s="34">
        <v>23</v>
      </c>
      <c r="F375" s="34" t="s">
        <v>57</v>
      </c>
      <c r="G375" s="34" t="str">
        <f>VLOOKUP(B375,Dane!$A$1:$G$1001,6,FALSE)</f>
        <v>wynajem</v>
      </c>
    </row>
    <row r="376" spans="1:7" x14ac:dyDescent="0.3">
      <c r="A376" s="34">
        <v>375</v>
      </c>
      <c r="B376" s="34">
        <v>92</v>
      </c>
      <c r="C376" s="34">
        <v>12</v>
      </c>
      <c r="D376" s="34">
        <v>1409</v>
      </c>
      <c r="E376" s="34">
        <v>54</v>
      </c>
      <c r="F376" s="34" t="s">
        <v>54</v>
      </c>
      <c r="G376" s="34" t="str">
        <f>VLOOKUP(B376,Dane!$A$1:$G$1001,6,FALSE)</f>
        <v>własność</v>
      </c>
    </row>
    <row r="377" spans="1:7" x14ac:dyDescent="0.3">
      <c r="A377" s="34">
        <v>376</v>
      </c>
      <c r="B377" s="34">
        <v>285</v>
      </c>
      <c r="C377" s="34">
        <v>24</v>
      </c>
      <c r="D377" s="34">
        <v>3878</v>
      </c>
      <c r="E377" s="34">
        <v>37</v>
      </c>
      <c r="F377" s="34" t="s">
        <v>54</v>
      </c>
      <c r="G377" s="34" t="str">
        <f>VLOOKUP(B377,Dane!$A$1:$G$1001,6,FALSE)</f>
        <v>własność</v>
      </c>
    </row>
    <row r="378" spans="1:7" x14ac:dyDescent="0.3">
      <c r="A378" s="34">
        <v>377</v>
      </c>
      <c r="B378" s="34">
        <v>79</v>
      </c>
      <c r="C378" s="34">
        <v>54</v>
      </c>
      <c r="D378" s="34">
        <v>9436</v>
      </c>
      <c r="E378" s="34">
        <v>39</v>
      </c>
      <c r="F378" s="34" t="s">
        <v>54</v>
      </c>
      <c r="G378" s="34" t="str">
        <f>VLOOKUP(B378,Dane!$A$1:$G$1001,6,FALSE)</f>
        <v>własność</v>
      </c>
    </row>
    <row r="379" spans="1:7" x14ac:dyDescent="0.3">
      <c r="A379" s="34">
        <v>378</v>
      </c>
      <c r="B379" s="34">
        <v>993</v>
      </c>
      <c r="C379" s="34">
        <v>18</v>
      </c>
      <c r="D379" s="34">
        <v>1936</v>
      </c>
      <c r="E379" s="34">
        <v>23</v>
      </c>
      <c r="F379" s="34" t="s">
        <v>54</v>
      </c>
      <c r="G379" s="34" t="str">
        <f>VLOOKUP(B379,Dane!$A$1:$G$1001,6,FALSE)</f>
        <v>wynajem</v>
      </c>
    </row>
    <row r="380" spans="1:7" x14ac:dyDescent="0.3">
      <c r="A380" s="34">
        <v>379</v>
      </c>
      <c r="B380" s="34">
        <v>550</v>
      </c>
      <c r="C380" s="34">
        <v>48</v>
      </c>
      <c r="D380" s="34">
        <v>8858</v>
      </c>
      <c r="E380" s="34">
        <v>35</v>
      </c>
      <c r="F380" s="34" t="s">
        <v>54</v>
      </c>
      <c r="G380" s="34" t="str">
        <f>VLOOKUP(B380,Dane!$A$1:$G$1001,6,FALSE)</f>
        <v>za darmo</v>
      </c>
    </row>
    <row r="381" spans="1:7" x14ac:dyDescent="0.3">
      <c r="A381" s="34">
        <v>380</v>
      </c>
      <c r="B381" s="34">
        <v>96</v>
      </c>
      <c r="C381" s="34">
        <v>54</v>
      </c>
      <c r="D381" s="34">
        <v>15945</v>
      </c>
      <c r="E381" s="34">
        <v>58</v>
      </c>
      <c r="F381" s="34" t="s">
        <v>55</v>
      </c>
      <c r="G381" s="34" t="str">
        <f>VLOOKUP(B381,Dane!$A$1:$G$1001,6,FALSE)</f>
        <v>wynajem</v>
      </c>
    </row>
    <row r="382" spans="1:7" x14ac:dyDescent="0.3">
      <c r="A382" s="34">
        <v>381</v>
      </c>
      <c r="B382" s="34">
        <v>612</v>
      </c>
      <c r="C382" s="34">
        <v>10</v>
      </c>
      <c r="D382" s="34">
        <v>1240</v>
      </c>
      <c r="E382" s="34">
        <v>48</v>
      </c>
      <c r="F382" s="34" t="s">
        <v>57</v>
      </c>
      <c r="G382" s="34" t="str">
        <f>VLOOKUP(B382,Dane!$A$1:$G$1001,6,FALSE)</f>
        <v>za darmo</v>
      </c>
    </row>
    <row r="383" spans="1:7" x14ac:dyDescent="0.3">
      <c r="A383" s="34">
        <v>382</v>
      </c>
      <c r="B383" s="34">
        <v>116</v>
      </c>
      <c r="C383" s="34">
        <v>48</v>
      </c>
      <c r="D383" s="34">
        <v>3578</v>
      </c>
      <c r="E383" s="34">
        <v>47</v>
      </c>
      <c r="F383" s="34" t="s">
        <v>54</v>
      </c>
      <c r="G383" s="34" t="str">
        <f>VLOOKUP(B383,Dane!$A$1:$G$1001,6,FALSE)</f>
        <v>własność</v>
      </c>
    </row>
    <row r="384" spans="1:7" x14ac:dyDescent="0.3">
      <c r="A384" s="34">
        <v>383</v>
      </c>
      <c r="B384" s="34">
        <v>432</v>
      </c>
      <c r="C384" s="34">
        <v>24</v>
      </c>
      <c r="D384" s="34">
        <v>11328</v>
      </c>
      <c r="E384" s="34">
        <v>29</v>
      </c>
      <c r="F384" s="34" t="s">
        <v>55</v>
      </c>
      <c r="G384" s="34" t="str">
        <f>VLOOKUP(B384,Dane!$A$1:$G$1001,6,FALSE)</f>
        <v>własność</v>
      </c>
    </row>
    <row r="385" spans="1:7" x14ac:dyDescent="0.3">
      <c r="A385" s="34">
        <v>384</v>
      </c>
      <c r="B385" s="34">
        <v>441</v>
      </c>
      <c r="C385" s="34">
        <v>12</v>
      </c>
      <c r="D385" s="34">
        <v>1884</v>
      </c>
      <c r="E385" s="34">
        <v>39</v>
      </c>
      <c r="F385" s="34" t="s">
        <v>54</v>
      </c>
      <c r="G385" s="34" t="str">
        <f>VLOOKUP(B385,Dane!$A$1:$G$1001,6,FALSE)</f>
        <v>własność</v>
      </c>
    </row>
    <row r="386" spans="1:7" x14ac:dyDescent="0.3">
      <c r="A386" s="34">
        <v>385</v>
      </c>
      <c r="B386" s="34">
        <v>239</v>
      </c>
      <c r="C386" s="34">
        <v>12</v>
      </c>
      <c r="D386" s="34">
        <v>1291</v>
      </c>
      <c r="E386" s="34">
        <v>35</v>
      </c>
      <c r="F386" s="34" t="s">
        <v>56</v>
      </c>
      <c r="G386" s="34" t="str">
        <f>VLOOKUP(B386,Dane!$A$1:$G$1001,6,FALSE)</f>
        <v>własność</v>
      </c>
    </row>
    <row r="387" spans="1:7" x14ac:dyDescent="0.3">
      <c r="A387" s="34">
        <v>386</v>
      </c>
      <c r="B387" s="34">
        <v>720</v>
      </c>
      <c r="C387" s="34">
        <v>20</v>
      </c>
      <c r="D387" s="34">
        <v>6148</v>
      </c>
      <c r="E387" s="34">
        <v>31</v>
      </c>
      <c r="F387" s="34" t="s">
        <v>54</v>
      </c>
      <c r="G387" s="34" t="str">
        <f>VLOOKUP(B387,Dane!$A$1:$G$1001,6,FALSE)</f>
        <v>własność</v>
      </c>
    </row>
    <row r="388" spans="1:7" x14ac:dyDescent="0.3">
      <c r="A388" s="34">
        <v>387</v>
      </c>
      <c r="B388" s="34">
        <v>866</v>
      </c>
      <c r="C388" s="34">
        <v>15</v>
      </c>
      <c r="D388" s="34">
        <v>2221</v>
      </c>
      <c r="E388" s="34">
        <v>20</v>
      </c>
      <c r="F388" s="34" t="s">
        <v>56</v>
      </c>
      <c r="G388" s="34" t="str">
        <f>VLOOKUP(B388,Dane!$A$1:$G$1001,6,FALSE)</f>
        <v>wynajem</v>
      </c>
    </row>
    <row r="389" spans="1:7" x14ac:dyDescent="0.3">
      <c r="A389" s="34">
        <v>388</v>
      </c>
      <c r="B389" s="34">
        <v>129</v>
      </c>
      <c r="C389" s="34">
        <v>12</v>
      </c>
      <c r="D389" s="34">
        <v>1860</v>
      </c>
      <c r="E389" s="34">
        <v>34</v>
      </c>
      <c r="F389" s="34" t="s">
        <v>54</v>
      </c>
      <c r="G389" s="34" t="str">
        <f>VLOOKUP(B389,Dane!$A$1:$G$1001,6,FALSE)</f>
        <v>własność</v>
      </c>
    </row>
    <row r="390" spans="1:7" x14ac:dyDescent="0.3">
      <c r="A390" s="34">
        <v>389</v>
      </c>
      <c r="B390" s="34">
        <v>97</v>
      </c>
      <c r="C390" s="34">
        <v>12</v>
      </c>
      <c r="D390" s="34">
        <v>2012</v>
      </c>
      <c r="E390" s="34">
        <v>61</v>
      </c>
      <c r="F390" s="34" t="s">
        <v>56</v>
      </c>
      <c r="G390" s="34" t="str">
        <f>VLOOKUP(B390,Dane!$A$1:$G$1001,6,FALSE)</f>
        <v>własność</v>
      </c>
    </row>
    <row r="391" spans="1:7" x14ac:dyDescent="0.3">
      <c r="A391" s="34">
        <v>390</v>
      </c>
      <c r="B391" s="34">
        <v>761</v>
      </c>
      <c r="C391" s="34">
        <v>15</v>
      </c>
      <c r="D391" s="34">
        <v>5045</v>
      </c>
      <c r="E391" s="34">
        <v>59</v>
      </c>
      <c r="F391" s="34" t="s">
        <v>56</v>
      </c>
      <c r="G391" s="34" t="str">
        <f>VLOOKUP(B391,Dane!$A$1:$G$1001,6,FALSE)</f>
        <v>własność</v>
      </c>
    </row>
    <row r="392" spans="1:7" x14ac:dyDescent="0.3">
      <c r="A392" s="34">
        <v>391</v>
      </c>
      <c r="B392" s="34">
        <v>526</v>
      </c>
      <c r="C392" s="34">
        <v>26</v>
      </c>
      <c r="D392" s="34">
        <v>7966</v>
      </c>
      <c r="E392" s="34">
        <v>30</v>
      </c>
      <c r="F392" s="34" t="s">
        <v>54</v>
      </c>
      <c r="G392" s="34" t="str">
        <f>VLOOKUP(B392,Dane!$A$1:$G$1001,6,FALSE)</f>
        <v>własność</v>
      </c>
    </row>
    <row r="393" spans="1:7" x14ac:dyDescent="0.3">
      <c r="A393" s="34">
        <v>392</v>
      </c>
      <c r="B393" s="34">
        <v>660</v>
      </c>
      <c r="C393" s="34">
        <v>18</v>
      </c>
      <c r="D393" s="34">
        <v>6361</v>
      </c>
      <c r="E393" s="34">
        <v>41</v>
      </c>
      <c r="F393" s="34" t="s">
        <v>54</v>
      </c>
      <c r="G393" s="34" t="str">
        <f>VLOOKUP(B393,Dane!$A$1:$G$1001,6,FALSE)</f>
        <v>własność</v>
      </c>
    </row>
    <row r="394" spans="1:7" x14ac:dyDescent="0.3">
      <c r="A394" s="34">
        <v>393</v>
      </c>
      <c r="B394" s="34">
        <v>630</v>
      </c>
      <c r="C394" s="34">
        <v>9</v>
      </c>
      <c r="D394" s="34">
        <v>3832</v>
      </c>
      <c r="E394" s="34">
        <v>64</v>
      </c>
      <c r="F394" s="34" t="s">
        <v>54</v>
      </c>
      <c r="G394" s="34" t="str">
        <f>VLOOKUP(B394,Dane!$A$1:$G$1001,6,FALSE)</f>
        <v>własność</v>
      </c>
    </row>
    <row r="395" spans="1:7" x14ac:dyDescent="0.3">
      <c r="A395" s="34">
        <v>394</v>
      </c>
      <c r="B395" s="34">
        <v>618</v>
      </c>
      <c r="C395" s="34">
        <v>6</v>
      </c>
      <c r="D395" s="34">
        <v>3676</v>
      </c>
      <c r="E395" s="34">
        <v>37</v>
      </c>
      <c r="F395" s="34" t="s">
        <v>54</v>
      </c>
      <c r="G395" s="34" t="str">
        <f>VLOOKUP(B395,Dane!$A$1:$G$1001,6,FALSE)</f>
        <v>wynajem</v>
      </c>
    </row>
    <row r="396" spans="1:7" x14ac:dyDescent="0.3">
      <c r="A396" s="34">
        <v>395</v>
      </c>
      <c r="B396" s="34">
        <v>894</v>
      </c>
      <c r="C396" s="34">
        <v>36</v>
      </c>
      <c r="D396" s="34">
        <v>5800</v>
      </c>
      <c r="E396" s="34">
        <v>34</v>
      </c>
      <c r="F396" s="34" t="s">
        <v>54</v>
      </c>
      <c r="G396" s="34" t="str">
        <f>VLOOKUP(B396,Dane!$A$1:$G$1001,6,FALSE)</f>
        <v>własność</v>
      </c>
    </row>
    <row r="397" spans="1:7" x14ac:dyDescent="0.3">
      <c r="A397" s="34">
        <v>396</v>
      </c>
      <c r="B397" s="34">
        <v>753</v>
      </c>
      <c r="C397" s="34">
        <v>12</v>
      </c>
      <c r="D397" s="34">
        <v>841</v>
      </c>
      <c r="E397" s="34">
        <v>23</v>
      </c>
      <c r="F397" s="34" t="s">
        <v>56</v>
      </c>
      <c r="G397" s="34" t="str">
        <f>VLOOKUP(B397,Dane!$A$1:$G$1001,6,FALSE)</f>
        <v>wynajem</v>
      </c>
    </row>
    <row r="398" spans="1:7" x14ac:dyDescent="0.3">
      <c r="A398" s="34">
        <v>397</v>
      </c>
      <c r="B398" s="34">
        <v>482</v>
      </c>
      <c r="C398" s="34">
        <v>24</v>
      </c>
      <c r="D398" s="34">
        <v>1201</v>
      </c>
      <c r="E398" s="34">
        <v>26</v>
      </c>
      <c r="F398" s="34" t="s">
        <v>54</v>
      </c>
      <c r="G398" s="34" t="str">
        <f>VLOOKUP(B398,Dane!$A$1:$G$1001,6,FALSE)</f>
        <v>własność</v>
      </c>
    </row>
    <row r="399" spans="1:7" x14ac:dyDescent="0.3">
      <c r="A399" s="34">
        <v>398</v>
      </c>
      <c r="B399" s="34">
        <v>113</v>
      </c>
      <c r="C399" s="34">
        <v>18</v>
      </c>
      <c r="D399" s="34">
        <v>6260</v>
      </c>
      <c r="E399" s="34">
        <v>28</v>
      </c>
      <c r="F399" s="34" t="s">
        <v>54</v>
      </c>
      <c r="G399" s="34" t="str">
        <f>VLOOKUP(B399,Dane!$A$1:$G$1001,6,FALSE)</f>
        <v>wynajem</v>
      </c>
    </row>
    <row r="400" spans="1:7" x14ac:dyDescent="0.3">
      <c r="A400" s="34">
        <v>399</v>
      </c>
      <c r="B400" s="34">
        <v>739</v>
      </c>
      <c r="C400" s="34">
        <v>6</v>
      </c>
      <c r="D400" s="34">
        <v>6761</v>
      </c>
      <c r="E400" s="34">
        <v>45</v>
      </c>
      <c r="F400" s="34" t="s">
        <v>54</v>
      </c>
      <c r="G400" s="34" t="str">
        <f>VLOOKUP(B400,Dane!$A$1:$G$1001,6,FALSE)</f>
        <v>własność</v>
      </c>
    </row>
    <row r="401" spans="1:7" x14ac:dyDescent="0.3">
      <c r="A401" s="34">
        <v>400</v>
      </c>
      <c r="B401" s="34">
        <v>892</v>
      </c>
      <c r="C401" s="34">
        <v>15</v>
      </c>
      <c r="D401" s="34">
        <v>1829</v>
      </c>
      <c r="E401" s="34">
        <v>46</v>
      </c>
      <c r="F401" s="34" t="s">
        <v>54</v>
      </c>
      <c r="G401" s="34" t="str">
        <f>VLOOKUP(B401,Dane!$A$1:$G$1001,6,FALSE)</f>
        <v>własność</v>
      </c>
    </row>
    <row r="402" spans="1:7" x14ac:dyDescent="0.3">
      <c r="A402" s="34">
        <v>401</v>
      </c>
      <c r="B402" s="34">
        <v>710</v>
      </c>
      <c r="C402" s="34">
        <v>9</v>
      </c>
      <c r="D402" s="34">
        <v>2118</v>
      </c>
      <c r="E402" s="34">
        <v>37</v>
      </c>
      <c r="F402" s="34" t="s">
        <v>54</v>
      </c>
      <c r="G402" s="34" t="str">
        <f>VLOOKUP(B402,Dane!$A$1:$G$1001,6,FALSE)</f>
        <v>własność</v>
      </c>
    </row>
    <row r="403" spans="1:7" x14ac:dyDescent="0.3">
      <c r="A403" s="34">
        <v>402</v>
      </c>
      <c r="B403" s="34">
        <v>458</v>
      </c>
      <c r="C403" s="34">
        <v>12</v>
      </c>
      <c r="D403" s="34">
        <v>3386</v>
      </c>
      <c r="E403" s="34">
        <v>35</v>
      </c>
      <c r="F403" s="34" t="s">
        <v>55</v>
      </c>
      <c r="G403" s="34" t="str">
        <f>VLOOKUP(B403,Dane!$A$1:$G$1001,6,FALSE)</f>
        <v>za darmo</v>
      </c>
    </row>
    <row r="404" spans="1:7" x14ac:dyDescent="0.3">
      <c r="A404" s="34">
        <v>403</v>
      </c>
      <c r="B404" s="34">
        <v>868</v>
      </c>
      <c r="C404" s="34">
        <v>12</v>
      </c>
      <c r="D404" s="34">
        <v>3331</v>
      </c>
      <c r="E404" s="34">
        <v>42</v>
      </c>
      <c r="F404" s="34" t="s">
        <v>54</v>
      </c>
      <c r="G404" s="34" t="str">
        <f>VLOOKUP(B404,Dane!$A$1:$G$1001,6,FALSE)</f>
        <v>własność</v>
      </c>
    </row>
    <row r="405" spans="1:7" x14ac:dyDescent="0.3">
      <c r="A405" s="34">
        <v>404</v>
      </c>
      <c r="B405" s="34">
        <v>251</v>
      </c>
      <c r="C405" s="34">
        <v>6</v>
      </c>
      <c r="D405" s="34">
        <v>666</v>
      </c>
      <c r="E405" s="34">
        <v>39</v>
      </c>
      <c r="F405" s="34" t="s">
        <v>56</v>
      </c>
      <c r="G405" s="34" t="str">
        <f>VLOOKUP(B405,Dane!$A$1:$G$1001,6,FALSE)</f>
        <v>własność</v>
      </c>
    </row>
    <row r="406" spans="1:7" x14ac:dyDescent="0.3">
      <c r="A406" s="34">
        <v>405</v>
      </c>
      <c r="B406" s="34">
        <v>399</v>
      </c>
      <c r="C406" s="34">
        <v>12</v>
      </c>
      <c r="D406" s="34">
        <v>1223</v>
      </c>
      <c r="E406" s="34">
        <v>46</v>
      </c>
      <c r="F406" s="34" t="s">
        <v>55</v>
      </c>
      <c r="G406" s="34" t="str">
        <f>VLOOKUP(B406,Dane!$A$1:$G$1001,6,FALSE)</f>
        <v>wynajem</v>
      </c>
    </row>
    <row r="407" spans="1:7" x14ac:dyDescent="0.3">
      <c r="A407" s="34">
        <v>406</v>
      </c>
      <c r="B407" s="34">
        <v>812</v>
      </c>
      <c r="C407" s="34">
        <v>6</v>
      </c>
      <c r="D407" s="34">
        <v>484</v>
      </c>
      <c r="E407" s="34">
        <v>28</v>
      </c>
      <c r="F407" s="34" t="s">
        <v>54</v>
      </c>
      <c r="G407" s="34" t="str">
        <f>VLOOKUP(B407,Dane!$A$1:$G$1001,6,FALSE)</f>
        <v>własność</v>
      </c>
    </row>
    <row r="408" spans="1:7" x14ac:dyDescent="0.3">
      <c r="A408" s="34">
        <v>407</v>
      </c>
      <c r="B408" s="34">
        <v>318</v>
      </c>
      <c r="C408" s="34">
        <v>24</v>
      </c>
      <c r="D408" s="34">
        <v>4351</v>
      </c>
      <c r="E408" s="34">
        <v>48</v>
      </c>
      <c r="F408" s="34" t="s">
        <v>56</v>
      </c>
      <c r="G408" s="34" t="str">
        <f>VLOOKUP(B408,Dane!$A$1:$G$1001,6,FALSE)</f>
        <v>własność</v>
      </c>
    </row>
    <row r="409" spans="1:7" x14ac:dyDescent="0.3">
      <c r="A409" s="34">
        <v>408</v>
      </c>
      <c r="B409" s="34">
        <v>52</v>
      </c>
      <c r="C409" s="34">
        <v>27</v>
      </c>
      <c r="D409" s="34">
        <v>5965</v>
      </c>
      <c r="E409" s="34">
        <v>30</v>
      </c>
      <c r="F409" s="34" t="s">
        <v>54</v>
      </c>
      <c r="G409" s="34" t="str">
        <f>VLOOKUP(B409,Dane!$A$1:$G$1001,6,FALSE)</f>
        <v>własność</v>
      </c>
    </row>
    <row r="410" spans="1:7" x14ac:dyDescent="0.3">
      <c r="A410" s="34">
        <v>409</v>
      </c>
      <c r="B410" s="34">
        <v>346</v>
      </c>
      <c r="C410" s="34">
        <v>15</v>
      </c>
      <c r="D410" s="34">
        <v>1459</v>
      </c>
      <c r="E410" s="34">
        <v>43</v>
      </c>
      <c r="F410" s="34" t="s">
        <v>56</v>
      </c>
      <c r="G410" s="34" t="str">
        <f>VLOOKUP(B410,Dane!$A$1:$G$1001,6,FALSE)</f>
        <v>własność</v>
      </c>
    </row>
    <row r="411" spans="1:7" x14ac:dyDescent="0.3">
      <c r="A411" s="34">
        <v>410</v>
      </c>
      <c r="B411" s="34">
        <v>581</v>
      </c>
      <c r="C411" s="34">
        <v>18</v>
      </c>
      <c r="D411" s="34">
        <v>1056</v>
      </c>
      <c r="E411" s="34">
        <v>30</v>
      </c>
      <c r="F411" s="34" t="s">
        <v>55</v>
      </c>
      <c r="G411" s="34" t="str">
        <f>VLOOKUP(B411,Dane!$A$1:$G$1001,6,FALSE)</f>
        <v>własność</v>
      </c>
    </row>
    <row r="412" spans="1:7" x14ac:dyDescent="0.3">
      <c r="A412" s="34">
        <v>411</v>
      </c>
      <c r="B412" s="34">
        <v>880</v>
      </c>
      <c r="C412" s="34">
        <v>30</v>
      </c>
      <c r="D412" s="34">
        <v>6742</v>
      </c>
      <c r="E412" s="34">
        <v>36</v>
      </c>
      <c r="F412" s="34" t="s">
        <v>54</v>
      </c>
      <c r="G412" s="34" t="str">
        <f>VLOOKUP(B412,Dane!$A$1:$G$1001,6,FALSE)</f>
        <v>własność</v>
      </c>
    </row>
    <row r="413" spans="1:7" x14ac:dyDescent="0.3">
      <c r="A413" s="34">
        <v>412</v>
      </c>
      <c r="B413" s="34">
        <v>900</v>
      </c>
      <c r="C413" s="34">
        <v>18</v>
      </c>
      <c r="D413" s="34">
        <v>4153</v>
      </c>
      <c r="E413" s="34">
        <v>42</v>
      </c>
      <c r="F413" s="34" t="s">
        <v>55</v>
      </c>
      <c r="G413" s="34" t="str">
        <f>VLOOKUP(B413,Dane!$A$1:$G$1001,6,FALSE)</f>
        <v>własność</v>
      </c>
    </row>
    <row r="414" spans="1:7" x14ac:dyDescent="0.3">
      <c r="A414" s="34">
        <v>413</v>
      </c>
      <c r="B414" s="34">
        <v>601</v>
      </c>
      <c r="C414" s="34">
        <v>7</v>
      </c>
      <c r="D414" s="34">
        <v>2329</v>
      </c>
      <c r="E414" s="34">
        <v>45</v>
      </c>
      <c r="F414" s="34" t="s">
        <v>56</v>
      </c>
      <c r="G414" s="34" t="str">
        <f>VLOOKUP(B414,Dane!$A$1:$G$1001,6,FALSE)</f>
        <v>własność</v>
      </c>
    </row>
    <row r="415" spans="1:7" x14ac:dyDescent="0.3">
      <c r="A415" s="34">
        <v>414</v>
      </c>
      <c r="B415" s="34">
        <v>443</v>
      </c>
      <c r="C415" s="34">
        <v>20</v>
      </c>
      <c r="D415" s="34">
        <v>2629</v>
      </c>
      <c r="E415" s="34">
        <v>29</v>
      </c>
      <c r="F415" s="34" t="s">
        <v>54</v>
      </c>
      <c r="G415" s="34" t="str">
        <f>VLOOKUP(B415,Dane!$A$1:$G$1001,6,FALSE)</f>
        <v>własność</v>
      </c>
    </row>
    <row r="416" spans="1:7" x14ac:dyDescent="0.3">
      <c r="A416" s="34">
        <v>415</v>
      </c>
      <c r="B416" s="34">
        <v>105</v>
      </c>
      <c r="C416" s="34">
        <v>12</v>
      </c>
      <c r="D416" s="34">
        <v>2445</v>
      </c>
      <c r="E416" s="34">
        <v>26</v>
      </c>
      <c r="F416" s="34" t="s">
        <v>54</v>
      </c>
      <c r="G416" s="34" t="str">
        <f>VLOOKUP(B416,Dane!$A$1:$G$1001,6,FALSE)</f>
        <v>wynajem</v>
      </c>
    </row>
    <row r="417" spans="1:7" x14ac:dyDescent="0.3">
      <c r="A417" s="34">
        <v>416</v>
      </c>
      <c r="B417" s="34">
        <v>716</v>
      </c>
      <c r="C417" s="34">
        <v>30</v>
      </c>
      <c r="D417" s="34">
        <v>7596</v>
      </c>
      <c r="E417" s="34">
        <v>63</v>
      </c>
      <c r="F417" s="34" t="s">
        <v>54</v>
      </c>
      <c r="G417" s="34" t="str">
        <f>VLOOKUP(B417,Dane!$A$1:$G$1001,6,FALSE)</f>
        <v>własność</v>
      </c>
    </row>
    <row r="418" spans="1:7" x14ac:dyDescent="0.3">
      <c r="A418" s="34">
        <v>417</v>
      </c>
      <c r="B418" s="34">
        <v>167</v>
      </c>
      <c r="C418" s="34">
        <v>18</v>
      </c>
      <c r="D418" s="34">
        <v>1131</v>
      </c>
      <c r="E418" s="34">
        <v>33</v>
      </c>
      <c r="F418" s="34" t="s">
        <v>57</v>
      </c>
      <c r="G418" s="34" t="str">
        <f>VLOOKUP(B418,Dane!$A$1:$G$1001,6,FALSE)</f>
        <v>własność</v>
      </c>
    </row>
    <row r="419" spans="1:7" x14ac:dyDescent="0.3">
      <c r="A419" s="34">
        <v>418</v>
      </c>
      <c r="B419" s="34">
        <v>998</v>
      </c>
      <c r="C419" s="34">
        <v>12</v>
      </c>
      <c r="D419" s="34">
        <v>804</v>
      </c>
      <c r="E419" s="34">
        <v>38</v>
      </c>
      <c r="F419" s="34" t="s">
        <v>54</v>
      </c>
      <c r="G419" s="34" t="str">
        <f>VLOOKUP(B419,Dane!$A$1:$G$1001,6,FALSE)</f>
        <v>własność</v>
      </c>
    </row>
    <row r="420" spans="1:7" x14ac:dyDescent="0.3">
      <c r="A420" s="34">
        <v>419</v>
      </c>
      <c r="B420" s="34">
        <v>794</v>
      </c>
      <c r="C420" s="34">
        <v>24</v>
      </c>
      <c r="D420" s="34">
        <v>2892</v>
      </c>
      <c r="E420" s="34">
        <v>51</v>
      </c>
      <c r="F420" s="34" t="s">
        <v>54</v>
      </c>
      <c r="G420" s="34" t="str">
        <f>VLOOKUP(B420,Dane!$A$1:$G$1001,6,FALSE)</f>
        <v>za darmo</v>
      </c>
    </row>
    <row r="421" spans="1:7" x14ac:dyDescent="0.3">
      <c r="A421" s="34">
        <v>420</v>
      </c>
      <c r="B421" s="34">
        <v>700</v>
      </c>
      <c r="C421" s="34">
        <v>15</v>
      </c>
      <c r="D421" s="34">
        <v>1905</v>
      </c>
      <c r="E421" s="34">
        <v>40</v>
      </c>
      <c r="F421" s="34" t="s">
        <v>54</v>
      </c>
      <c r="G421" s="34" t="str">
        <f>VLOOKUP(B421,Dane!$A$1:$G$1001,6,FALSE)</f>
        <v>wynajem</v>
      </c>
    </row>
    <row r="422" spans="1:7" x14ac:dyDescent="0.3">
      <c r="A422" s="34">
        <v>421</v>
      </c>
      <c r="B422" s="34">
        <v>310</v>
      </c>
      <c r="C422" s="34">
        <v>9</v>
      </c>
      <c r="D422" s="34">
        <v>276</v>
      </c>
      <c r="E422" s="34">
        <v>22</v>
      </c>
      <c r="F422" s="34" t="s">
        <v>54</v>
      </c>
      <c r="G422" s="34" t="str">
        <f>VLOOKUP(B422,Dane!$A$1:$G$1001,6,FALSE)</f>
        <v>wynajem</v>
      </c>
    </row>
    <row r="423" spans="1:7" x14ac:dyDescent="0.3">
      <c r="A423" s="34">
        <v>422</v>
      </c>
      <c r="B423" s="34">
        <v>208</v>
      </c>
      <c r="C423" s="34">
        <v>12</v>
      </c>
      <c r="D423" s="34">
        <v>1424</v>
      </c>
      <c r="E423" s="34">
        <v>26</v>
      </c>
      <c r="F423" s="34" t="s">
        <v>54</v>
      </c>
      <c r="G423" s="34" t="str">
        <f>VLOOKUP(B423,Dane!$A$1:$G$1001,6,FALSE)</f>
        <v>własność</v>
      </c>
    </row>
    <row r="424" spans="1:7" x14ac:dyDescent="0.3">
      <c r="A424" s="34">
        <v>423</v>
      </c>
      <c r="B424" s="34">
        <v>522</v>
      </c>
      <c r="C424" s="34">
        <v>18</v>
      </c>
      <c r="D424" s="34">
        <v>3190</v>
      </c>
      <c r="E424" s="34">
        <v>24</v>
      </c>
      <c r="F424" s="34" t="s">
        <v>57</v>
      </c>
      <c r="G424" s="34" t="str">
        <f>VLOOKUP(B424,Dane!$A$1:$G$1001,6,FALSE)</f>
        <v>własność</v>
      </c>
    </row>
    <row r="425" spans="1:7" x14ac:dyDescent="0.3">
      <c r="A425" s="34">
        <v>424</v>
      </c>
      <c r="B425" s="34">
        <v>648</v>
      </c>
      <c r="C425" s="34">
        <v>12</v>
      </c>
      <c r="D425" s="34">
        <v>1386</v>
      </c>
      <c r="E425" s="34">
        <v>26</v>
      </c>
      <c r="F425" s="34" t="s">
        <v>57</v>
      </c>
      <c r="G425" s="34" t="str">
        <f>VLOOKUP(B425,Dane!$A$1:$G$1001,6,FALSE)</f>
        <v>własność</v>
      </c>
    </row>
    <row r="426" spans="1:7" x14ac:dyDescent="0.3">
      <c r="A426" s="34">
        <v>425</v>
      </c>
      <c r="B426" s="34">
        <v>63</v>
      </c>
      <c r="C426" s="34">
        <v>36</v>
      </c>
      <c r="D426" s="34">
        <v>1953</v>
      </c>
      <c r="E426" s="34">
        <v>61</v>
      </c>
      <c r="F426" s="34" t="s">
        <v>55</v>
      </c>
      <c r="G426" s="34" t="str">
        <f>VLOOKUP(B426,Dane!$A$1:$G$1001,6,FALSE)</f>
        <v>za darmo</v>
      </c>
    </row>
    <row r="427" spans="1:7" x14ac:dyDescent="0.3">
      <c r="A427" s="34">
        <v>426</v>
      </c>
      <c r="B427" s="34">
        <v>831</v>
      </c>
      <c r="C427" s="34">
        <v>24</v>
      </c>
      <c r="D427" s="34">
        <v>2375</v>
      </c>
      <c r="E427" s="34">
        <v>44</v>
      </c>
      <c r="F427" s="34" t="s">
        <v>54</v>
      </c>
      <c r="G427" s="34" t="str">
        <f>VLOOKUP(B427,Dane!$A$1:$G$1001,6,FALSE)</f>
        <v>własność</v>
      </c>
    </row>
    <row r="428" spans="1:7" x14ac:dyDescent="0.3">
      <c r="A428" s="34">
        <v>427</v>
      </c>
      <c r="B428" s="34">
        <v>896</v>
      </c>
      <c r="C428" s="34">
        <v>36</v>
      </c>
      <c r="D428" s="34">
        <v>8947</v>
      </c>
      <c r="E428" s="34">
        <v>31</v>
      </c>
      <c r="F428" s="34" t="s">
        <v>54</v>
      </c>
      <c r="G428" s="34" t="str">
        <f>VLOOKUP(B428,Dane!$A$1:$G$1001,6,FALSE)</f>
        <v>własność</v>
      </c>
    </row>
    <row r="429" spans="1:7" x14ac:dyDescent="0.3">
      <c r="A429" s="34">
        <v>428</v>
      </c>
      <c r="B429" s="34">
        <v>763</v>
      </c>
      <c r="C429" s="34">
        <v>12</v>
      </c>
      <c r="D429" s="34">
        <v>2214</v>
      </c>
      <c r="E429" s="34">
        <v>24</v>
      </c>
      <c r="F429" s="34" t="s">
        <v>54</v>
      </c>
      <c r="G429" s="34" t="str">
        <f>VLOOKUP(B429,Dane!$A$1:$G$1001,6,FALSE)</f>
        <v>własność</v>
      </c>
    </row>
    <row r="430" spans="1:7" x14ac:dyDescent="0.3">
      <c r="A430" s="34">
        <v>429</v>
      </c>
      <c r="B430" s="34">
        <v>54</v>
      </c>
      <c r="C430" s="34">
        <v>18</v>
      </c>
      <c r="D430" s="34">
        <v>3378</v>
      </c>
      <c r="E430" s="34">
        <v>31</v>
      </c>
      <c r="F430" s="34" t="s">
        <v>54</v>
      </c>
      <c r="G430" s="34" t="str">
        <f>VLOOKUP(B430,Dane!$A$1:$G$1001,6,FALSE)</f>
        <v>własność</v>
      </c>
    </row>
    <row r="431" spans="1:7" x14ac:dyDescent="0.3">
      <c r="A431" s="34">
        <v>430</v>
      </c>
      <c r="B431" s="34">
        <v>411</v>
      </c>
      <c r="C431" s="34">
        <v>24</v>
      </c>
      <c r="D431" s="34">
        <v>1967</v>
      </c>
      <c r="E431" s="34">
        <v>20</v>
      </c>
      <c r="F431" s="34" t="s">
        <v>56</v>
      </c>
      <c r="G431" s="34" t="str">
        <f>VLOOKUP(B431,Dane!$A$1:$G$1001,6,FALSE)</f>
        <v>własność</v>
      </c>
    </row>
    <row r="432" spans="1:7" x14ac:dyDescent="0.3">
      <c r="A432" s="34">
        <v>431</v>
      </c>
      <c r="B432" s="34">
        <v>562</v>
      </c>
      <c r="C432" s="34">
        <v>24</v>
      </c>
      <c r="D432" s="34">
        <v>1546</v>
      </c>
      <c r="E432" s="34">
        <v>24</v>
      </c>
      <c r="F432" s="34" t="s">
        <v>55</v>
      </c>
      <c r="G432" s="34" t="str">
        <f>VLOOKUP(B432,Dane!$A$1:$G$1001,6,FALSE)</f>
        <v>wynajem</v>
      </c>
    </row>
    <row r="433" spans="1:7" x14ac:dyDescent="0.3">
      <c r="A433" s="34">
        <v>432</v>
      </c>
      <c r="B433" s="34">
        <v>73</v>
      </c>
      <c r="C433" s="34">
        <v>8</v>
      </c>
      <c r="D433" s="34">
        <v>1164</v>
      </c>
      <c r="E433" s="34">
        <v>51</v>
      </c>
      <c r="F433" s="34" t="s">
        <v>54</v>
      </c>
      <c r="G433" s="34" t="str">
        <f>VLOOKUP(B433,Dane!$A$1:$G$1001,6,FALSE)</f>
        <v>za darmo</v>
      </c>
    </row>
    <row r="434" spans="1:7" x14ac:dyDescent="0.3">
      <c r="A434" s="34">
        <v>433</v>
      </c>
      <c r="B434" s="34">
        <v>847</v>
      </c>
      <c r="C434" s="34">
        <v>18</v>
      </c>
      <c r="D434" s="34">
        <v>6761</v>
      </c>
      <c r="E434" s="34">
        <v>68</v>
      </c>
      <c r="F434" s="34" t="s">
        <v>55</v>
      </c>
      <c r="G434" s="34" t="str">
        <f>VLOOKUP(B434,Dane!$A$1:$G$1001,6,FALSE)</f>
        <v>wynajem</v>
      </c>
    </row>
    <row r="435" spans="1:7" x14ac:dyDescent="0.3">
      <c r="A435" s="34">
        <v>434</v>
      </c>
      <c r="B435" s="34">
        <v>269</v>
      </c>
      <c r="C435" s="34">
        <v>14</v>
      </c>
      <c r="D435" s="34">
        <v>8978</v>
      </c>
      <c r="E435" s="34">
        <v>45</v>
      </c>
      <c r="F435" s="34" t="s">
        <v>55</v>
      </c>
      <c r="G435" s="34" t="str">
        <f>VLOOKUP(B435,Dane!$A$1:$G$1001,6,FALSE)</f>
        <v>własność</v>
      </c>
    </row>
    <row r="436" spans="1:7" x14ac:dyDescent="0.3">
      <c r="A436" s="34">
        <v>435</v>
      </c>
      <c r="B436" s="34">
        <v>390</v>
      </c>
      <c r="C436" s="34">
        <v>9</v>
      </c>
      <c r="D436" s="34">
        <v>1449</v>
      </c>
      <c r="E436" s="34">
        <v>27</v>
      </c>
      <c r="F436" s="34" t="s">
        <v>56</v>
      </c>
      <c r="G436" s="34" t="str">
        <f>VLOOKUP(B436,Dane!$A$1:$G$1001,6,FALSE)</f>
        <v>własność</v>
      </c>
    </row>
    <row r="437" spans="1:7" x14ac:dyDescent="0.3">
      <c r="A437" s="34">
        <v>436</v>
      </c>
      <c r="B437" s="34">
        <v>740</v>
      </c>
      <c r="C437" s="34">
        <v>30</v>
      </c>
      <c r="D437" s="34">
        <v>4280</v>
      </c>
      <c r="E437" s="34">
        <v>26</v>
      </c>
      <c r="F437" s="34" t="s">
        <v>57</v>
      </c>
      <c r="G437" s="34" t="str">
        <f>VLOOKUP(B437,Dane!$A$1:$G$1001,6,FALSE)</f>
        <v>wynajem</v>
      </c>
    </row>
    <row r="438" spans="1:7" x14ac:dyDescent="0.3">
      <c r="A438" s="34">
        <v>437</v>
      </c>
      <c r="B438" s="34">
        <v>621</v>
      </c>
      <c r="C438" s="34">
        <v>21</v>
      </c>
      <c r="D438" s="34">
        <v>3652</v>
      </c>
      <c r="E438" s="34">
        <v>27</v>
      </c>
      <c r="F438" s="34" t="s">
        <v>54</v>
      </c>
      <c r="G438" s="34" t="str">
        <f>VLOOKUP(B438,Dane!$A$1:$G$1001,6,FALSE)</f>
        <v>własność</v>
      </c>
    </row>
    <row r="439" spans="1:7" x14ac:dyDescent="0.3">
      <c r="A439" s="34">
        <v>438</v>
      </c>
      <c r="B439" s="34">
        <v>163</v>
      </c>
      <c r="C439" s="34">
        <v>15</v>
      </c>
      <c r="D439" s="34">
        <v>1262</v>
      </c>
      <c r="E439" s="34">
        <v>36</v>
      </c>
      <c r="F439" s="34" t="s">
        <v>54</v>
      </c>
      <c r="G439" s="34" t="str">
        <f>VLOOKUP(B439,Dane!$A$1:$G$1001,6,FALSE)</f>
        <v>własność</v>
      </c>
    </row>
    <row r="440" spans="1:7" x14ac:dyDescent="0.3">
      <c r="A440" s="34">
        <v>439</v>
      </c>
      <c r="B440" s="34">
        <v>767</v>
      </c>
      <c r="C440" s="34">
        <v>30</v>
      </c>
      <c r="D440" s="34">
        <v>3108</v>
      </c>
      <c r="E440" s="34">
        <v>31</v>
      </c>
      <c r="F440" s="34" t="s">
        <v>55</v>
      </c>
      <c r="G440" s="34" t="str">
        <f>VLOOKUP(B440,Dane!$A$1:$G$1001,6,FALSE)</f>
        <v>własność</v>
      </c>
    </row>
    <row r="441" spans="1:7" x14ac:dyDescent="0.3">
      <c r="A441" s="34">
        <v>440</v>
      </c>
      <c r="B441" s="34">
        <v>298</v>
      </c>
      <c r="C441" s="34">
        <v>10</v>
      </c>
      <c r="D441" s="34">
        <v>1287</v>
      </c>
      <c r="E441" s="34">
        <v>45</v>
      </c>
      <c r="F441" s="34" t="s">
        <v>54</v>
      </c>
      <c r="G441" s="34" t="str">
        <f>VLOOKUP(B441,Dane!$A$1:$G$1001,6,FALSE)</f>
        <v>własność</v>
      </c>
    </row>
    <row r="442" spans="1:7" x14ac:dyDescent="0.3">
      <c r="A442" s="34">
        <v>441</v>
      </c>
      <c r="B442" s="34">
        <v>919</v>
      </c>
      <c r="C442" s="34">
        <v>24</v>
      </c>
      <c r="D442" s="34">
        <v>2359</v>
      </c>
      <c r="E442" s="34">
        <v>33</v>
      </c>
      <c r="F442" s="34" t="s">
        <v>55</v>
      </c>
      <c r="G442" s="34" t="str">
        <f>VLOOKUP(B442,Dane!$A$1:$G$1001,6,FALSE)</f>
        <v>własność</v>
      </c>
    </row>
    <row r="443" spans="1:7" x14ac:dyDescent="0.3">
      <c r="A443" s="34">
        <v>442</v>
      </c>
      <c r="B443" s="34">
        <v>307</v>
      </c>
      <c r="C443" s="34">
        <v>30</v>
      </c>
      <c r="D443" s="34">
        <v>4811</v>
      </c>
      <c r="E443" s="34">
        <v>24</v>
      </c>
      <c r="F443" s="34" t="s">
        <v>56</v>
      </c>
      <c r="G443" s="34" t="str">
        <f>VLOOKUP(B443,Dane!$A$1:$G$1001,6,FALSE)</f>
        <v>wynajem</v>
      </c>
    </row>
    <row r="444" spans="1:7" x14ac:dyDescent="0.3">
      <c r="A444" s="34">
        <v>443</v>
      </c>
      <c r="B444" s="34">
        <v>853</v>
      </c>
      <c r="C444" s="34">
        <v>15</v>
      </c>
      <c r="D444" s="34">
        <v>1471</v>
      </c>
      <c r="E444" s="34">
        <v>35</v>
      </c>
      <c r="F444" s="34" t="s">
        <v>54</v>
      </c>
      <c r="G444" s="34" t="str">
        <f>VLOOKUP(B444,Dane!$A$1:$G$1001,6,FALSE)</f>
        <v>za darmo</v>
      </c>
    </row>
    <row r="445" spans="1:7" x14ac:dyDescent="0.3">
      <c r="A445" s="34">
        <v>444</v>
      </c>
      <c r="B445" s="34">
        <v>143</v>
      </c>
      <c r="C445" s="34">
        <v>27</v>
      </c>
      <c r="D445" s="34">
        <v>3416</v>
      </c>
      <c r="E445" s="34">
        <v>27</v>
      </c>
      <c r="F445" s="34" t="s">
        <v>54</v>
      </c>
      <c r="G445" s="34" t="str">
        <f>VLOOKUP(B445,Dane!$A$1:$G$1001,6,FALSE)</f>
        <v>własność</v>
      </c>
    </row>
    <row r="446" spans="1:7" x14ac:dyDescent="0.3">
      <c r="A446" s="34">
        <v>445</v>
      </c>
      <c r="B446" s="34">
        <v>984</v>
      </c>
      <c r="C446" s="34">
        <v>36</v>
      </c>
      <c r="D446" s="34">
        <v>8229</v>
      </c>
      <c r="E446" s="34">
        <v>26</v>
      </c>
      <c r="F446" s="34" t="s">
        <v>55</v>
      </c>
      <c r="G446" s="34" t="str">
        <f>VLOOKUP(B446,Dane!$A$1:$G$1001,6,FALSE)</f>
        <v>własność</v>
      </c>
    </row>
    <row r="447" spans="1:7" x14ac:dyDescent="0.3">
      <c r="A447" s="34">
        <v>446</v>
      </c>
      <c r="B447" s="34">
        <v>323</v>
      </c>
      <c r="C447" s="34">
        <v>24</v>
      </c>
      <c r="D447" s="34">
        <v>2910</v>
      </c>
      <c r="E447" s="34">
        <v>34</v>
      </c>
      <c r="F447" s="34" t="s">
        <v>54</v>
      </c>
      <c r="G447" s="34" t="str">
        <f>VLOOKUP(B447,Dane!$A$1:$G$1001,6,FALSE)</f>
        <v>za darmo</v>
      </c>
    </row>
    <row r="448" spans="1:7" x14ac:dyDescent="0.3">
      <c r="A448" s="34">
        <v>447</v>
      </c>
      <c r="B448" s="34">
        <v>126</v>
      </c>
      <c r="C448" s="34">
        <v>12</v>
      </c>
      <c r="D448" s="34">
        <v>2121</v>
      </c>
      <c r="E448" s="34">
        <v>30</v>
      </c>
      <c r="F448" s="34" t="s">
        <v>54</v>
      </c>
      <c r="G448" s="34" t="str">
        <f>VLOOKUP(B448,Dane!$A$1:$G$1001,6,FALSE)</f>
        <v>własność</v>
      </c>
    </row>
    <row r="449" spans="1:7" x14ac:dyDescent="0.3">
      <c r="A449" s="34">
        <v>448</v>
      </c>
      <c r="B449" s="34">
        <v>655</v>
      </c>
      <c r="C449" s="34">
        <v>24</v>
      </c>
      <c r="D449" s="34">
        <v>2346</v>
      </c>
      <c r="E449" s="34">
        <v>35</v>
      </c>
      <c r="F449" s="34" t="s">
        <v>54</v>
      </c>
      <c r="G449" s="34" t="str">
        <f>VLOOKUP(B449,Dane!$A$1:$G$1001,6,FALSE)</f>
        <v>własność</v>
      </c>
    </row>
    <row r="450" spans="1:7" x14ac:dyDescent="0.3">
      <c r="A450" s="34">
        <v>449</v>
      </c>
      <c r="B450" s="34">
        <v>727</v>
      </c>
      <c r="C450" s="34">
        <v>15</v>
      </c>
      <c r="D450" s="34">
        <v>1316</v>
      </c>
      <c r="E450" s="34">
        <v>47</v>
      </c>
      <c r="F450" s="34" t="s">
        <v>54</v>
      </c>
      <c r="G450" s="34" t="str">
        <f>VLOOKUP(B450,Dane!$A$1:$G$1001,6,FALSE)</f>
        <v>własność</v>
      </c>
    </row>
    <row r="451" spans="1:7" x14ac:dyDescent="0.3">
      <c r="A451" s="34">
        <v>450</v>
      </c>
      <c r="B451" s="34">
        <v>28</v>
      </c>
      <c r="C451" s="34">
        <v>12</v>
      </c>
      <c r="D451" s="34">
        <v>409</v>
      </c>
      <c r="E451" s="34">
        <v>42</v>
      </c>
      <c r="F451" s="34" t="s">
        <v>56</v>
      </c>
      <c r="G451" s="34" t="str">
        <f>VLOOKUP(B451,Dane!$A$1:$G$1001,6,FALSE)</f>
        <v>wynajem</v>
      </c>
    </row>
    <row r="452" spans="1:7" x14ac:dyDescent="0.3">
      <c r="A452" s="34">
        <v>451</v>
      </c>
      <c r="B452" s="34">
        <v>358</v>
      </c>
      <c r="C452" s="34">
        <v>36</v>
      </c>
      <c r="D452" s="34">
        <v>4463</v>
      </c>
      <c r="E452" s="34">
        <v>26</v>
      </c>
      <c r="F452" s="34" t="s">
        <v>55</v>
      </c>
      <c r="G452" s="34" t="str">
        <f>VLOOKUP(B452,Dane!$A$1:$G$1001,6,FALSE)</f>
        <v>własność</v>
      </c>
    </row>
    <row r="453" spans="1:7" x14ac:dyDescent="0.3">
      <c r="A453" s="34">
        <v>452</v>
      </c>
      <c r="B453" s="34">
        <v>101</v>
      </c>
      <c r="C453" s="34">
        <v>24</v>
      </c>
      <c r="D453" s="34">
        <v>1469</v>
      </c>
      <c r="E453" s="34">
        <v>41</v>
      </c>
      <c r="F453" s="34" t="s">
        <v>54</v>
      </c>
      <c r="G453" s="34" t="str">
        <f>VLOOKUP(B453,Dane!$A$1:$G$1001,6,FALSE)</f>
        <v>wynajem</v>
      </c>
    </row>
    <row r="454" spans="1:7" x14ac:dyDescent="0.3">
      <c r="A454" s="34">
        <v>453</v>
      </c>
      <c r="B454" s="34">
        <v>549</v>
      </c>
      <c r="C454" s="34">
        <v>12</v>
      </c>
      <c r="D454" s="34">
        <v>626</v>
      </c>
      <c r="E454" s="34">
        <v>24</v>
      </c>
      <c r="F454" s="34" t="s">
        <v>57</v>
      </c>
      <c r="G454" s="34" t="str">
        <f>VLOOKUP(B454,Dane!$A$1:$G$1001,6,FALSE)</f>
        <v>własność</v>
      </c>
    </row>
    <row r="455" spans="1:7" x14ac:dyDescent="0.3">
      <c r="A455" s="34">
        <v>454</v>
      </c>
      <c r="B455" s="34">
        <v>331</v>
      </c>
      <c r="C455" s="34">
        <v>24</v>
      </c>
      <c r="D455" s="34">
        <v>6615</v>
      </c>
      <c r="E455" s="34">
        <v>75</v>
      </c>
      <c r="F455" s="34" t="s">
        <v>54</v>
      </c>
      <c r="G455" s="34" t="str">
        <f>VLOOKUP(B455,Dane!$A$1:$G$1001,6,FALSE)</f>
        <v>za darmo</v>
      </c>
    </row>
    <row r="456" spans="1:7" x14ac:dyDescent="0.3">
      <c r="A456" s="34">
        <v>455</v>
      </c>
      <c r="B456" s="34">
        <v>433</v>
      </c>
      <c r="C456" s="34">
        <v>6</v>
      </c>
      <c r="D456" s="34">
        <v>1872</v>
      </c>
      <c r="E456" s="34">
        <v>36</v>
      </c>
      <c r="F456" s="34" t="s">
        <v>54</v>
      </c>
      <c r="G456" s="34" t="str">
        <f>VLOOKUP(B456,Dane!$A$1:$G$1001,6,FALSE)</f>
        <v>za darmo</v>
      </c>
    </row>
    <row r="457" spans="1:7" x14ac:dyDescent="0.3">
      <c r="A457" s="34">
        <v>456</v>
      </c>
      <c r="B457" s="34">
        <v>560</v>
      </c>
      <c r="C457" s="34">
        <v>18</v>
      </c>
      <c r="D457" s="34">
        <v>1928</v>
      </c>
      <c r="E457" s="34">
        <v>31</v>
      </c>
      <c r="F457" s="34" t="s">
        <v>55</v>
      </c>
      <c r="G457" s="34" t="str">
        <f>VLOOKUP(B457,Dane!$A$1:$G$1001,6,FALSE)</f>
        <v>własność</v>
      </c>
    </row>
    <row r="458" spans="1:7" x14ac:dyDescent="0.3">
      <c r="A458" s="34">
        <v>457</v>
      </c>
      <c r="B458" s="34">
        <v>279</v>
      </c>
      <c r="C458" s="34">
        <v>6</v>
      </c>
      <c r="D458" s="34">
        <v>4611</v>
      </c>
      <c r="E458" s="34">
        <v>32</v>
      </c>
      <c r="F458" s="34" t="s">
        <v>57</v>
      </c>
      <c r="G458" s="34" t="str">
        <f>VLOOKUP(B458,Dane!$A$1:$G$1001,6,FALSE)</f>
        <v>własność</v>
      </c>
    </row>
    <row r="459" spans="1:7" x14ac:dyDescent="0.3">
      <c r="A459" s="34">
        <v>458</v>
      </c>
      <c r="B459" s="34">
        <v>666</v>
      </c>
      <c r="C459" s="34">
        <v>24</v>
      </c>
      <c r="D459" s="34">
        <v>6314</v>
      </c>
      <c r="E459" s="34">
        <v>27</v>
      </c>
      <c r="F459" s="34" t="s">
        <v>54</v>
      </c>
      <c r="G459" s="34" t="str">
        <f>VLOOKUP(B459,Dane!$A$1:$G$1001,6,FALSE)</f>
        <v>własność</v>
      </c>
    </row>
    <row r="460" spans="1:7" x14ac:dyDescent="0.3">
      <c r="A460" s="34">
        <v>459</v>
      </c>
      <c r="B460" s="34">
        <v>539</v>
      </c>
      <c r="C460" s="34">
        <v>48</v>
      </c>
      <c r="D460" s="34">
        <v>7763</v>
      </c>
      <c r="E460" s="34">
        <v>42</v>
      </c>
      <c r="F460" s="34" t="s">
        <v>55</v>
      </c>
      <c r="G460" s="34" t="str">
        <f>VLOOKUP(B460,Dane!$A$1:$G$1001,6,FALSE)</f>
        <v>za darmo</v>
      </c>
    </row>
    <row r="461" spans="1:7" x14ac:dyDescent="0.3">
      <c r="A461" s="34">
        <v>460</v>
      </c>
      <c r="B461" s="34">
        <v>366</v>
      </c>
      <c r="C461" s="34">
        <v>12</v>
      </c>
      <c r="D461" s="34">
        <v>1542</v>
      </c>
      <c r="E461" s="34">
        <v>36</v>
      </c>
      <c r="F461" s="34" t="s">
        <v>54</v>
      </c>
      <c r="G461" s="34" t="str">
        <f>VLOOKUP(B461,Dane!$A$1:$G$1001,6,FALSE)</f>
        <v>własność</v>
      </c>
    </row>
    <row r="462" spans="1:7" x14ac:dyDescent="0.3">
      <c r="A462" s="34">
        <v>461</v>
      </c>
      <c r="B462" s="34">
        <v>714</v>
      </c>
      <c r="C462" s="34">
        <v>9</v>
      </c>
      <c r="D462" s="34">
        <v>1138</v>
      </c>
      <c r="E462" s="34">
        <v>25</v>
      </c>
      <c r="F462" s="34" t="s">
        <v>54</v>
      </c>
      <c r="G462" s="34" t="str">
        <f>VLOOKUP(B462,Dane!$A$1:$G$1001,6,FALSE)</f>
        <v>własność</v>
      </c>
    </row>
    <row r="463" spans="1:7" x14ac:dyDescent="0.3">
      <c r="A463" s="34">
        <v>462</v>
      </c>
      <c r="B463" s="34">
        <v>869</v>
      </c>
      <c r="C463" s="34">
        <v>36</v>
      </c>
      <c r="D463" s="34">
        <v>7409</v>
      </c>
      <c r="E463" s="34">
        <v>37</v>
      </c>
      <c r="F463" s="34" t="s">
        <v>54</v>
      </c>
      <c r="G463" s="34" t="str">
        <f>VLOOKUP(B463,Dane!$A$1:$G$1001,6,FALSE)</f>
        <v>własność</v>
      </c>
    </row>
    <row r="464" spans="1:7" x14ac:dyDescent="0.3">
      <c r="A464" s="34">
        <v>463</v>
      </c>
      <c r="B464" s="34">
        <v>521</v>
      </c>
      <c r="C464" s="34">
        <v>24</v>
      </c>
      <c r="D464" s="34">
        <v>5507</v>
      </c>
      <c r="E464" s="34">
        <v>44</v>
      </c>
      <c r="F464" s="34" t="s">
        <v>54</v>
      </c>
      <c r="G464" s="34" t="str">
        <f>VLOOKUP(B464,Dane!$A$1:$G$1001,6,FALSE)</f>
        <v>za darmo</v>
      </c>
    </row>
    <row r="465" spans="1:7" x14ac:dyDescent="0.3">
      <c r="A465" s="34">
        <v>464</v>
      </c>
      <c r="B465" s="34">
        <v>66</v>
      </c>
      <c r="C465" s="34">
        <v>27</v>
      </c>
      <c r="D465" s="34">
        <v>5190</v>
      </c>
      <c r="E465" s="34">
        <v>48</v>
      </c>
      <c r="F465" s="34" t="s">
        <v>54</v>
      </c>
      <c r="G465" s="34" t="str">
        <f>VLOOKUP(B465,Dane!$A$1:$G$1001,6,FALSE)</f>
        <v>własność</v>
      </c>
    </row>
    <row r="466" spans="1:7" x14ac:dyDescent="0.3">
      <c r="A466" s="34">
        <v>465</v>
      </c>
      <c r="B466" s="34">
        <v>313</v>
      </c>
      <c r="C466" s="34">
        <v>24</v>
      </c>
      <c r="D466" s="34">
        <v>3749</v>
      </c>
      <c r="E466" s="34">
        <v>26</v>
      </c>
      <c r="F466" s="34" t="s">
        <v>56</v>
      </c>
      <c r="G466" s="34" t="str">
        <f>VLOOKUP(B466,Dane!$A$1:$G$1001,6,FALSE)</f>
        <v>własność</v>
      </c>
    </row>
    <row r="467" spans="1:7" x14ac:dyDescent="0.3">
      <c r="A467" s="34">
        <v>466</v>
      </c>
      <c r="B467" s="34">
        <v>685</v>
      </c>
      <c r="C467" s="34">
        <v>36</v>
      </c>
      <c r="D467" s="34">
        <v>9857</v>
      </c>
      <c r="E467" s="34">
        <v>31</v>
      </c>
      <c r="F467" s="34" t="s">
        <v>54</v>
      </c>
      <c r="G467" s="34" t="str">
        <f>VLOOKUP(B467,Dane!$A$1:$G$1001,6,FALSE)</f>
        <v>własność</v>
      </c>
    </row>
    <row r="468" spans="1:7" x14ac:dyDescent="0.3">
      <c r="A468" s="34">
        <v>467</v>
      </c>
      <c r="B468" s="34">
        <v>14</v>
      </c>
      <c r="C468" s="34">
        <v>24</v>
      </c>
      <c r="D468" s="34">
        <v>1199</v>
      </c>
      <c r="E468" s="34">
        <v>60</v>
      </c>
      <c r="F468" s="34" t="s">
        <v>55</v>
      </c>
      <c r="G468" s="34" t="str">
        <f>VLOOKUP(B468,Dane!$A$1:$G$1001,6,FALSE)</f>
        <v>własność</v>
      </c>
    </row>
    <row r="469" spans="1:7" x14ac:dyDescent="0.3">
      <c r="A469" s="34">
        <v>468</v>
      </c>
      <c r="B469" s="34">
        <v>989</v>
      </c>
      <c r="C469" s="34">
        <v>24</v>
      </c>
      <c r="D469" s="34">
        <v>6579</v>
      </c>
      <c r="E469" s="34">
        <v>29</v>
      </c>
      <c r="F469" s="34" t="s">
        <v>54</v>
      </c>
      <c r="G469" s="34" t="str">
        <f>VLOOKUP(B469,Dane!$A$1:$G$1001,6,FALSE)</f>
        <v>za darmo</v>
      </c>
    </row>
    <row r="470" spans="1:7" x14ac:dyDescent="0.3">
      <c r="A470" s="34">
        <v>469</v>
      </c>
      <c r="B470" s="34">
        <v>859</v>
      </c>
      <c r="C470" s="34">
        <v>15</v>
      </c>
      <c r="D470" s="34">
        <v>3959</v>
      </c>
      <c r="E470" s="34">
        <v>29</v>
      </c>
      <c r="F470" s="34" t="s">
        <v>57</v>
      </c>
      <c r="G470" s="34" t="str">
        <f>VLOOKUP(B470,Dane!$A$1:$G$1001,6,FALSE)</f>
        <v>własność</v>
      </c>
    </row>
    <row r="471" spans="1:7" x14ac:dyDescent="0.3">
      <c r="A471" s="34">
        <v>470</v>
      </c>
      <c r="B471" s="34">
        <v>19</v>
      </c>
      <c r="C471" s="34">
        <v>24</v>
      </c>
      <c r="D471" s="34">
        <v>12579</v>
      </c>
      <c r="E471" s="34">
        <v>44</v>
      </c>
      <c r="F471" s="34" t="s">
        <v>57</v>
      </c>
      <c r="G471" s="34" t="str">
        <f>VLOOKUP(B471,Dane!$A$1:$G$1001,6,FALSE)</f>
        <v>za darmo</v>
      </c>
    </row>
    <row r="472" spans="1:7" x14ac:dyDescent="0.3">
      <c r="A472" s="34">
        <v>471</v>
      </c>
      <c r="B472" s="34">
        <v>57</v>
      </c>
      <c r="C472" s="34">
        <v>12</v>
      </c>
      <c r="D472" s="34">
        <v>6468</v>
      </c>
      <c r="E472" s="34">
        <v>52</v>
      </c>
      <c r="F472" s="34" t="s">
        <v>55</v>
      </c>
      <c r="G472" s="34" t="str">
        <f>VLOOKUP(B472,Dane!$A$1:$G$1001,6,FALSE)</f>
        <v>własność</v>
      </c>
    </row>
    <row r="473" spans="1:7" x14ac:dyDescent="0.3">
      <c r="A473" s="34">
        <v>472</v>
      </c>
      <c r="B473" s="34">
        <v>180</v>
      </c>
      <c r="C473" s="34">
        <v>21</v>
      </c>
      <c r="D473" s="34">
        <v>571</v>
      </c>
      <c r="E473" s="34">
        <v>65</v>
      </c>
      <c r="F473" s="34" t="s">
        <v>54</v>
      </c>
      <c r="G473" s="34" t="str">
        <f>VLOOKUP(B473,Dane!$A$1:$G$1001,6,FALSE)</f>
        <v>własność</v>
      </c>
    </row>
    <row r="474" spans="1:7" x14ac:dyDescent="0.3">
      <c r="A474" s="34">
        <v>473</v>
      </c>
      <c r="B474" s="34">
        <v>883</v>
      </c>
      <c r="C474" s="34">
        <v>30</v>
      </c>
      <c r="D474" s="34">
        <v>2181</v>
      </c>
      <c r="E474" s="34">
        <v>36</v>
      </c>
      <c r="F474" s="34" t="s">
        <v>54</v>
      </c>
      <c r="G474" s="34" t="str">
        <f>VLOOKUP(B474,Dane!$A$1:$G$1001,6,FALSE)</f>
        <v>własność</v>
      </c>
    </row>
    <row r="475" spans="1:7" x14ac:dyDescent="0.3">
      <c r="A475" s="34">
        <v>474</v>
      </c>
      <c r="B475" s="34">
        <v>32</v>
      </c>
      <c r="C475" s="34">
        <v>24</v>
      </c>
      <c r="D475" s="34">
        <v>4020</v>
      </c>
      <c r="E475" s="34">
        <v>27</v>
      </c>
      <c r="F475" s="34" t="s">
        <v>54</v>
      </c>
      <c r="G475" s="34" t="str">
        <f>VLOOKUP(B475,Dane!$A$1:$G$1001,6,FALSE)</f>
        <v>własność</v>
      </c>
    </row>
    <row r="476" spans="1:7" x14ac:dyDescent="0.3">
      <c r="A476" s="34">
        <v>475</v>
      </c>
      <c r="B476" s="34">
        <v>236</v>
      </c>
      <c r="C476" s="34">
        <v>24</v>
      </c>
      <c r="D476" s="34">
        <v>1823</v>
      </c>
      <c r="E476" s="34">
        <v>30</v>
      </c>
      <c r="F476" s="34" t="s">
        <v>55</v>
      </c>
      <c r="G476" s="34" t="str">
        <f>VLOOKUP(B476,Dane!$A$1:$G$1001,6,FALSE)</f>
        <v>własność</v>
      </c>
    </row>
    <row r="477" spans="1:7" x14ac:dyDescent="0.3">
      <c r="A477" s="34">
        <v>476</v>
      </c>
      <c r="B477" s="34">
        <v>967</v>
      </c>
      <c r="C477" s="34">
        <v>27</v>
      </c>
      <c r="D477" s="34">
        <v>2520</v>
      </c>
      <c r="E477" s="34">
        <v>23</v>
      </c>
      <c r="F477" s="34" t="s">
        <v>55</v>
      </c>
      <c r="G477" s="34" t="str">
        <f>VLOOKUP(B477,Dane!$A$1:$G$1001,6,FALSE)</f>
        <v>własność</v>
      </c>
    </row>
    <row r="478" spans="1:7" x14ac:dyDescent="0.3">
      <c r="A478" s="34">
        <v>477</v>
      </c>
      <c r="B478" s="34">
        <v>329</v>
      </c>
      <c r="C478" s="34">
        <v>36</v>
      </c>
      <c r="D478" s="34">
        <v>4473</v>
      </c>
      <c r="E478" s="34">
        <v>31</v>
      </c>
      <c r="F478" s="34" t="s">
        <v>54</v>
      </c>
      <c r="G478" s="34" t="str">
        <f>VLOOKUP(B478,Dane!$A$1:$G$1001,6,FALSE)</f>
        <v>własność</v>
      </c>
    </row>
    <row r="479" spans="1:7" x14ac:dyDescent="0.3">
      <c r="A479" s="34">
        <v>478</v>
      </c>
      <c r="B479" s="34">
        <v>598</v>
      </c>
      <c r="C479" s="34">
        <v>24</v>
      </c>
      <c r="D479" s="34">
        <v>4241</v>
      </c>
      <c r="E479" s="34">
        <v>36</v>
      </c>
      <c r="F479" s="34" t="s">
        <v>55</v>
      </c>
      <c r="G479" s="34" t="str">
        <f>VLOOKUP(B479,Dane!$A$1:$G$1001,6,FALSE)</f>
        <v>własność</v>
      </c>
    </row>
    <row r="480" spans="1:7" x14ac:dyDescent="0.3">
      <c r="A480" s="34">
        <v>479</v>
      </c>
      <c r="B480" s="34">
        <v>969</v>
      </c>
      <c r="C480" s="34">
        <v>42</v>
      </c>
      <c r="D480" s="34">
        <v>7166</v>
      </c>
      <c r="E480" s="34">
        <v>29</v>
      </c>
      <c r="F480" s="34" t="s">
        <v>54</v>
      </c>
      <c r="G480" s="34" t="str">
        <f>VLOOKUP(B480,Dane!$A$1:$G$1001,6,FALSE)</f>
        <v>wynajem</v>
      </c>
    </row>
    <row r="481" spans="1:7" x14ac:dyDescent="0.3">
      <c r="A481" s="34">
        <v>480</v>
      </c>
      <c r="B481" s="34">
        <v>587</v>
      </c>
      <c r="C481" s="34">
        <v>9</v>
      </c>
      <c r="D481" s="34">
        <v>2799</v>
      </c>
      <c r="E481" s="34">
        <v>36</v>
      </c>
      <c r="F481" s="34" t="s">
        <v>54</v>
      </c>
      <c r="G481" s="34" t="str">
        <f>VLOOKUP(B481,Dane!$A$1:$G$1001,6,FALSE)</f>
        <v>wynajem</v>
      </c>
    </row>
    <row r="482" spans="1:7" x14ac:dyDescent="0.3">
      <c r="A482" s="34">
        <v>481</v>
      </c>
      <c r="B482" s="34">
        <v>937</v>
      </c>
      <c r="C482" s="34">
        <v>9</v>
      </c>
      <c r="D482" s="34">
        <v>745</v>
      </c>
      <c r="E482" s="34">
        <v>28</v>
      </c>
      <c r="F482" s="34" t="s">
        <v>57</v>
      </c>
      <c r="G482" s="34" t="str">
        <f>VLOOKUP(B482,Dane!$A$1:$G$1001,6,FALSE)</f>
        <v>własność</v>
      </c>
    </row>
    <row r="483" spans="1:7" x14ac:dyDescent="0.3">
      <c r="A483" s="34">
        <v>482</v>
      </c>
      <c r="B483" s="34">
        <v>203</v>
      </c>
      <c r="C483" s="34">
        <v>27</v>
      </c>
      <c r="D483" s="34">
        <v>5117</v>
      </c>
      <c r="E483" s="34">
        <v>26</v>
      </c>
      <c r="F483" s="34" t="s">
        <v>54</v>
      </c>
      <c r="G483" s="34" t="str">
        <f>VLOOKUP(B483,Dane!$A$1:$G$1001,6,FALSE)</f>
        <v>własność</v>
      </c>
    </row>
    <row r="484" spans="1:7" x14ac:dyDescent="0.3">
      <c r="A484" s="34">
        <v>483</v>
      </c>
      <c r="B484" s="34">
        <v>731</v>
      </c>
      <c r="C484" s="34">
        <v>24</v>
      </c>
      <c r="D484" s="34">
        <v>6403</v>
      </c>
      <c r="E484" s="34">
        <v>33</v>
      </c>
      <c r="F484" s="34" t="s">
        <v>54</v>
      </c>
      <c r="G484" s="34" t="str">
        <f>VLOOKUP(B484,Dane!$A$1:$G$1001,6,FALSE)</f>
        <v>własność</v>
      </c>
    </row>
    <row r="485" spans="1:7" x14ac:dyDescent="0.3">
      <c r="A485" s="34">
        <v>484</v>
      </c>
      <c r="B485" s="34">
        <v>653</v>
      </c>
      <c r="C485" s="34">
        <v>24</v>
      </c>
      <c r="D485" s="34">
        <v>2303</v>
      </c>
      <c r="E485" s="34">
        <v>45</v>
      </c>
      <c r="F485" s="34" t="s">
        <v>55</v>
      </c>
      <c r="G485" s="34" t="str">
        <f>VLOOKUP(B485,Dane!$A$1:$G$1001,6,FALSE)</f>
        <v>własność</v>
      </c>
    </row>
    <row r="486" spans="1:7" x14ac:dyDescent="0.3">
      <c r="A486" s="34">
        <v>485</v>
      </c>
      <c r="B486" s="34">
        <v>541</v>
      </c>
      <c r="C486" s="34">
        <v>12</v>
      </c>
      <c r="D486" s="34">
        <v>1534</v>
      </c>
      <c r="E486" s="34">
        <v>23</v>
      </c>
      <c r="F486" s="34" t="s">
        <v>55</v>
      </c>
      <c r="G486" s="34" t="str">
        <f>VLOOKUP(B486,Dane!$A$1:$G$1001,6,FALSE)</f>
        <v>wynajem</v>
      </c>
    </row>
    <row r="487" spans="1:7" x14ac:dyDescent="0.3">
      <c r="A487" s="34">
        <v>486</v>
      </c>
      <c r="B487" s="34">
        <v>745</v>
      </c>
      <c r="C487" s="34">
        <v>39</v>
      </c>
      <c r="D487" s="34">
        <v>14179</v>
      </c>
      <c r="E487" s="34">
        <v>30</v>
      </c>
      <c r="F487" s="34" t="s">
        <v>54</v>
      </c>
      <c r="G487" s="34" t="str">
        <f>VLOOKUP(B487,Dane!$A$1:$G$1001,6,FALSE)</f>
        <v>własność</v>
      </c>
    </row>
    <row r="488" spans="1:7" x14ac:dyDescent="0.3">
      <c r="A488" s="34">
        <v>487</v>
      </c>
      <c r="B488" s="34">
        <v>548</v>
      </c>
      <c r="C488" s="34">
        <v>24</v>
      </c>
      <c r="D488" s="34">
        <v>1552</v>
      </c>
      <c r="E488" s="34">
        <v>32</v>
      </c>
      <c r="F488" s="34" t="s">
        <v>54</v>
      </c>
      <c r="G488" s="34" t="str">
        <f>VLOOKUP(B488,Dane!$A$1:$G$1001,6,FALSE)</f>
        <v>własność</v>
      </c>
    </row>
    <row r="489" spans="1:7" x14ac:dyDescent="0.3">
      <c r="A489" s="34">
        <v>488</v>
      </c>
      <c r="B489" s="34">
        <v>408</v>
      </c>
      <c r="C489" s="34">
        <v>15</v>
      </c>
      <c r="D489" s="34">
        <v>1053</v>
      </c>
      <c r="E489" s="34">
        <v>27</v>
      </c>
      <c r="F489" s="34" t="s">
        <v>54</v>
      </c>
      <c r="G489" s="34" t="str">
        <f>VLOOKUP(B489,Dane!$A$1:$G$1001,6,FALSE)</f>
        <v>własność</v>
      </c>
    </row>
    <row r="490" spans="1:7" x14ac:dyDescent="0.3">
      <c r="A490" s="34">
        <v>489</v>
      </c>
      <c r="B490" s="34">
        <v>455</v>
      </c>
      <c r="C490" s="34">
        <v>24</v>
      </c>
      <c r="D490" s="34">
        <v>4817</v>
      </c>
      <c r="E490" s="34">
        <v>31</v>
      </c>
      <c r="F490" s="34" t="s">
        <v>55</v>
      </c>
      <c r="G490" s="34" t="str">
        <f>VLOOKUP(B490,Dane!$A$1:$G$1001,6,FALSE)</f>
        <v>własność</v>
      </c>
    </row>
    <row r="491" spans="1:7" x14ac:dyDescent="0.3">
      <c r="A491" s="34">
        <v>490</v>
      </c>
      <c r="B491" s="34">
        <v>845</v>
      </c>
      <c r="C491" s="34">
        <v>18</v>
      </c>
      <c r="D491" s="34">
        <v>3422</v>
      </c>
      <c r="E491" s="34">
        <v>47</v>
      </c>
      <c r="F491" s="34" t="s">
        <v>54</v>
      </c>
      <c r="G491" s="34" t="str">
        <f>VLOOKUP(B491,Dane!$A$1:$G$1001,6,FALSE)</f>
        <v>własność</v>
      </c>
    </row>
    <row r="492" spans="1:7" x14ac:dyDescent="0.3">
      <c r="A492" s="34">
        <v>491</v>
      </c>
      <c r="B492" s="34">
        <v>64</v>
      </c>
      <c r="C492" s="34">
        <v>48</v>
      </c>
      <c r="D492" s="34">
        <v>14421</v>
      </c>
      <c r="E492" s="34">
        <v>25</v>
      </c>
      <c r="F492" s="34" t="s">
        <v>55</v>
      </c>
      <c r="G492" s="34" t="str">
        <f>VLOOKUP(B492,Dane!$A$1:$G$1001,6,FALSE)</f>
        <v>własność</v>
      </c>
    </row>
    <row r="493" spans="1:7" x14ac:dyDescent="0.3">
      <c r="A493" s="34">
        <v>492</v>
      </c>
      <c r="B493" s="34">
        <v>669</v>
      </c>
      <c r="C493" s="34">
        <v>12</v>
      </c>
      <c r="D493" s="34">
        <v>4843</v>
      </c>
      <c r="E493" s="34">
        <v>43</v>
      </c>
      <c r="F493" s="34" t="s">
        <v>55</v>
      </c>
      <c r="G493" s="34" t="str">
        <f>VLOOKUP(B493,Dane!$A$1:$G$1001,6,FALSE)</f>
        <v>wynajem</v>
      </c>
    </row>
    <row r="494" spans="1:7" x14ac:dyDescent="0.3">
      <c r="A494" s="34">
        <v>493</v>
      </c>
      <c r="B494" s="34">
        <v>12</v>
      </c>
      <c r="C494" s="34">
        <v>48</v>
      </c>
      <c r="D494" s="34">
        <v>4308</v>
      </c>
      <c r="E494" s="34">
        <v>24</v>
      </c>
      <c r="F494" s="34" t="s">
        <v>57</v>
      </c>
      <c r="G494" s="34" t="str">
        <f>VLOOKUP(B494,Dane!$A$1:$G$1001,6,FALSE)</f>
        <v>wynajem</v>
      </c>
    </row>
    <row r="495" spans="1:7" x14ac:dyDescent="0.3">
      <c r="A495" s="34">
        <v>494</v>
      </c>
      <c r="B495" s="34">
        <v>161</v>
      </c>
      <c r="C495" s="34">
        <v>24</v>
      </c>
      <c r="D495" s="34">
        <v>2872</v>
      </c>
      <c r="E495" s="34">
        <v>36</v>
      </c>
      <c r="F495" s="34" t="s">
        <v>54</v>
      </c>
      <c r="G495" s="34" t="str">
        <f>VLOOKUP(B495,Dane!$A$1:$G$1001,6,FALSE)</f>
        <v>własność</v>
      </c>
    </row>
    <row r="496" spans="1:7" x14ac:dyDescent="0.3">
      <c r="A496" s="34">
        <v>495</v>
      </c>
      <c r="B496" s="34">
        <v>146</v>
      </c>
      <c r="C496" s="34">
        <v>48</v>
      </c>
      <c r="D496" s="34">
        <v>3566</v>
      </c>
      <c r="E496" s="34">
        <v>30</v>
      </c>
      <c r="F496" s="34" t="s">
        <v>54</v>
      </c>
      <c r="G496" s="34" t="str">
        <f>VLOOKUP(B496,Dane!$A$1:$G$1001,6,FALSE)</f>
        <v>własność</v>
      </c>
    </row>
    <row r="497" spans="1:7" x14ac:dyDescent="0.3">
      <c r="A497" s="34">
        <v>496</v>
      </c>
      <c r="B497" s="34">
        <v>931</v>
      </c>
      <c r="C497" s="34">
        <v>24</v>
      </c>
      <c r="D497" s="34">
        <v>1747</v>
      </c>
      <c r="E497" s="34">
        <v>24</v>
      </c>
      <c r="F497" s="34" t="s">
        <v>54</v>
      </c>
      <c r="G497" s="34" t="str">
        <f>VLOOKUP(B497,Dane!$A$1:$G$1001,6,FALSE)</f>
        <v>własność</v>
      </c>
    </row>
    <row r="498" spans="1:7" x14ac:dyDescent="0.3">
      <c r="A498" s="34">
        <v>497</v>
      </c>
      <c r="B498" s="34">
        <v>108</v>
      </c>
      <c r="C498" s="34">
        <v>12</v>
      </c>
      <c r="D498" s="34">
        <v>6078</v>
      </c>
      <c r="E498" s="34">
        <v>32</v>
      </c>
      <c r="F498" s="34" t="s">
        <v>54</v>
      </c>
      <c r="G498" s="34" t="str">
        <f>VLOOKUP(B498,Dane!$A$1:$G$1001,6,FALSE)</f>
        <v>własność</v>
      </c>
    </row>
    <row r="499" spans="1:7" x14ac:dyDescent="0.3">
      <c r="A499" s="34">
        <v>498</v>
      </c>
      <c r="B499" s="34">
        <v>93</v>
      </c>
      <c r="C499" s="34">
        <v>12</v>
      </c>
      <c r="D499" s="34">
        <v>797</v>
      </c>
      <c r="E499" s="34">
        <v>33</v>
      </c>
      <c r="F499" s="34" t="s">
        <v>57</v>
      </c>
      <c r="G499" s="34" t="str">
        <f>VLOOKUP(B499,Dane!$A$1:$G$1001,6,FALSE)</f>
        <v>własność</v>
      </c>
    </row>
    <row r="500" spans="1:7" x14ac:dyDescent="0.3">
      <c r="A500" s="34">
        <v>499</v>
      </c>
      <c r="B500" s="34">
        <v>87</v>
      </c>
      <c r="C500" s="34">
        <v>18</v>
      </c>
      <c r="D500" s="34">
        <v>1295</v>
      </c>
      <c r="E500" s="34">
        <v>27</v>
      </c>
      <c r="F500" s="34" t="s">
        <v>56</v>
      </c>
      <c r="G500" s="34" t="str">
        <f>VLOOKUP(B500,Dane!$A$1:$G$1001,6,FALSE)</f>
        <v>własność</v>
      </c>
    </row>
    <row r="501" spans="1:7" x14ac:dyDescent="0.3">
      <c r="A501" s="34">
        <v>500</v>
      </c>
      <c r="B501" s="34">
        <v>683</v>
      </c>
      <c r="C501" s="34">
        <v>15</v>
      </c>
      <c r="D501" s="34">
        <v>1478</v>
      </c>
      <c r="E501" s="34">
        <v>33</v>
      </c>
      <c r="F501" s="34" t="s">
        <v>54</v>
      </c>
      <c r="G501" s="34" t="str">
        <f>VLOOKUP(B501,Dane!$A$1:$G$1001,6,FALSE)</f>
        <v>własność</v>
      </c>
    </row>
    <row r="502" spans="1:7" x14ac:dyDescent="0.3">
      <c r="A502" s="34">
        <v>501</v>
      </c>
      <c r="B502" s="34">
        <v>951</v>
      </c>
      <c r="C502" s="34">
        <v>18</v>
      </c>
      <c r="D502" s="34">
        <v>3590</v>
      </c>
      <c r="E502" s="34">
        <v>40</v>
      </c>
      <c r="F502" s="34" t="s">
        <v>54</v>
      </c>
      <c r="G502" s="34" t="str">
        <f>VLOOKUP(B502,Dane!$A$1:$G$1001,6,FALSE)</f>
        <v>własność</v>
      </c>
    </row>
    <row r="503" spans="1:7" x14ac:dyDescent="0.3">
      <c r="A503" s="34">
        <v>502</v>
      </c>
      <c r="B503" s="34">
        <v>821</v>
      </c>
      <c r="C503" s="34">
        <v>12</v>
      </c>
      <c r="D503" s="34">
        <v>1101</v>
      </c>
      <c r="E503" s="34">
        <v>27</v>
      </c>
      <c r="F503" s="34" t="s">
        <v>54</v>
      </c>
      <c r="G503" s="34" t="str">
        <f>VLOOKUP(B503,Dane!$A$1:$G$1001,6,FALSE)</f>
        <v>własność</v>
      </c>
    </row>
    <row r="504" spans="1:7" x14ac:dyDescent="0.3">
      <c r="A504" s="34">
        <v>503</v>
      </c>
      <c r="B504" s="34">
        <v>21</v>
      </c>
      <c r="C504" s="34">
        <v>9</v>
      </c>
      <c r="D504" s="34">
        <v>2134</v>
      </c>
      <c r="E504" s="34">
        <v>48</v>
      </c>
      <c r="F504" s="34" t="s">
        <v>54</v>
      </c>
      <c r="G504" s="34" t="str">
        <f>VLOOKUP(B504,Dane!$A$1:$G$1001,6,FALSE)</f>
        <v>własność</v>
      </c>
    </row>
    <row r="505" spans="1:7" x14ac:dyDescent="0.3">
      <c r="A505" s="34">
        <v>504</v>
      </c>
      <c r="B505" s="34">
        <v>416</v>
      </c>
      <c r="C505" s="34">
        <v>36</v>
      </c>
      <c r="D505" s="34">
        <v>5842</v>
      </c>
      <c r="E505" s="34">
        <v>35</v>
      </c>
      <c r="F505" s="34" t="s">
        <v>54</v>
      </c>
      <c r="G505" s="34" t="str">
        <f>VLOOKUP(B505,Dane!$A$1:$G$1001,6,FALSE)</f>
        <v>własność</v>
      </c>
    </row>
    <row r="506" spans="1:7" x14ac:dyDescent="0.3">
      <c r="A506" s="34">
        <v>505</v>
      </c>
      <c r="B506" s="34">
        <v>500</v>
      </c>
      <c r="C506" s="34">
        <v>6</v>
      </c>
      <c r="D506" s="34">
        <v>1323</v>
      </c>
      <c r="E506" s="34">
        <v>28</v>
      </c>
      <c r="F506" s="34" t="s">
        <v>54</v>
      </c>
      <c r="G506" s="34" t="str">
        <f>VLOOKUP(B506,Dane!$A$1:$G$1001,6,FALSE)</f>
        <v>własność</v>
      </c>
    </row>
    <row r="507" spans="1:7" x14ac:dyDescent="0.3">
      <c r="A507" s="34">
        <v>506</v>
      </c>
      <c r="B507" s="34">
        <v>987</v>
      </c>
      <c r="C507" s="34">
        <v>42</v>
      </c>
      <c r="D507" s="34">
        <v>6289</v>
      </c>
      <c r="E507" s="34">
        <v>33</v>
      </c>
      <c r="F507" s="34" t="s">
        <v>54</v>
      </c>
      <c r="G507" s="34" t="str">
        <f>VLOOKUP(B507,Dane!$A$1:$G$1001,6,FALSE)</f>
        <v>własność</v>
      </c>
    </row>
    <row r="508" spans="1:7" x14ac:dyDescent="0.3">
      <c r="A508" s="34">
        <v>507</v>
      </c>
      <c r="B508" s="34">
        <v>430</v>
      </c>
      <c r="C508" s="34">
        <v>18</v>
      </c>
      <c r="D508" s="34">
        <v>1190</v>
      </c>
      <c r="E508" s="34">
        <v>55</v>
      </c>
      <c r="F508" s="34" t="s">
        <v>57</v>
      </c>
      <c r="G508" s="34" t="str">
        <f>VLOOKUP(B508,Dane!$A$1:$G$1001,6,FALSE)</f>
        <v>za darmo</v>
      </c>
    </row>
    <row r="509" spans="1:7" x14ac:dyDescent="0.3">
      <c r="A509" s="34">
        <v>508</v>
      </c>
      <c r="B509" s="34">
        <v>395</v>
      </c>
      <c r="C509" s="34">
        <v>9</v>
      </c>
      <c r="D509" s="34">
        <v>2406</v>
      </c>
      <c r="E509" s="34">
        <v>31</v>
      </c>
      <c r="F509" s="34" t="s">
        <v>54</v>
      </c>
      <c r="G509" s="34" t="str">
        <f>VLOOKUP(B509,Dane!$A$1:$G$1001,6,FALSE)</f>
        <v>własność</v>
      </c>
    </row>
    <row r="510" spans="1:7" x14ac:dyDescent="0.3">
      <c r="A510" s="34">
        <v>509</v>
      </c>
      <c r="B510" s="34">
        <v>600</v>
      </c>
      <c r="C510" s="34">
        <v>24</v>
      </c>
      <c r="D510" s="34">
        <v>3863</v>
      </c>
      <c r="E510" s="34">
        <v>32</v>
      </c>
      <c r="F510" s="34" t="s">
        <v>54</v>
      </c>
      <c r="G510" s="34" t="str">
        <f>VLOOKUP(B510,Dane!$A$1:$G$1001,6,FALSE)</f>
        <v>za darmo</v>
      </c>
    </row>
    <row r="511" spans="1:7" x14ac:dyDescent="0.3">
      <c r="A511" s="34">
        <v>510</v>
      </c>
      <c r="B511" s="34">
        <v>68</v>
      </c>
      <c r="C511" s="34">
        <v>12</v>
      </c>
      <c r="D511" s="34">
        <v>1007</v>
      </c>
      <c r="E511" s="34">
        <v>22</v>
      </c>
      <c r="F511" s="34" t="s">
        <v>54</v>
      </c>
      <c r="G511" s="34" t="str">
        <f>VLOOKUP(B511,Dane!$A$1:$G$1001,6,FALSE)</f>
        <v>własność</v>
      </c>
    </row>
    <row r="512" spans="1:7" x14ac:dyDescent="0.3">
      <c r="A512" s="34">
        <v>511</v>
      </c>
      <c r="B512" s="34">
        <v>876</v>
      </c>
      <c r="C512" s="34">
        <v>11</v>
      </c>
      <c r="D512" s="34">
        <v>1322</v>
      </c>
      <c r="E512" s="34">
        <v>40</v>
      </c>
      <c r="F512" s="34" t="s">
        <v>56</v>
      </c>
      <c r="G512" s="34" t="str">
        <f>VLOOKUP(B512,Dane!$A$1:$G$1001,6,FALSE)</f>
        <v>własność</v>
      </c>
    </row>
    <row r="513" spans="1:7" x14ac:dyDescent="0.3">
      <c r="A513" s="34">
        <v>512</v>
      </c>
      <c r="B513" s="34">
        <v>647</v>
      </c>
      <c r="C513" s="34">
        <v>30</v>
      </c>
      <c r="D513" s="34">
        <v>4583</v>
      </c>
      <c r="E513" s="34">
        <v>32</v>
      </c>
      <c r="F513" s="34" t="s">
        <v>54</v>
      </c>
      <c r="G513" s="34" t="str">
        <f>VLOOKUP(B513,Dane!$A$1:$G$1001,6,FALSE)</f>
        <v>własność</v>
      </c>
    </row>
    <row r="514" spans="1:7" x14ac:dyDescent="0.3">
      <c r="A514" s="34">
        <v>513</v>
      </c>
      <c r="B514" s="34">
        <v>305</v>
      </c>
      <c r="C514" s="34">
        <v>48</v>
      </c>
      <c r="D514" s="34">
        <v>10127</v>
      </c>
      <c r="E514" s="34">
        <v>44</v>
      </c>
      <c r="F514" s="34" t="s">
        <v>55</v>
      </c>
      <c r="G514" s="34" t="str">
        <f>VLOOKUP(B514,Dane!$A$1:$G$1001,6,FALSE)</f>
        <v>za darmo</v>
      </c>
    </row>
    <row r="515" spans="1:7" x14ac:dyDescent="0.3">
      <c r="A515" s="34">
        <v>514</v>
      </c>
      <c r="B515" s="34">
        <v>810</v>
      </c>
      <c r="C515" s="34">
        <v>15</v>
      </c>
      <c r="D515" s="34">
        <v>1778</v>
      </c>
      <c r="E515" s="34">
        <v>26</v>
      </c>
      <c r="F515" s="34" t="s">
        <v>57</v>
      </c>
      <c r="G515" s="34" t="str">
        <f>VLOOKUP(B515,Dane!$A$1:$G$1001,6,FALSE)</f>
        <v>wynajem</v>
      </c>
    </row>
    <row r="516" spans="1:7" x14ac:dyDescent="0.3">
      <c r="A516" s="34">
        <v>515</v>
      </c>
      <c r="B516" s="34">
        <v>7</v>
      </c>
      <c r="C516" s="34">
        <v>24</v>
      </c>
      <c r="D516" s="34">
        <v>2835</v>
      </c>
      <c r="E516" s="34">
        <v>53</v>
      </c>
      <c r="F516" s="34" t="s">
        <v>54</v>
      </c>
      <c r="G516" s="34" t="str">
        <f>VLOOKUP(B516,Dane!$A$1:$G$1001,6,FALSE)</f>
        <v>własność</v>
      </c>
    </row>
    <row r="517" spans="1:7" x14ac:dyDescent="0.3">
      <c r="A517" s="34">
        <v>516</v>
      </c>
      <c r="B517" s="34">
        <v>58</v>
      </c>
      <c r="C517" s="34">
        <v>36</v>
      </c>
      <c r="D517" s="34">
        <v>9566</v>
      </c>
      <c r="E517" s="34">
        <v>31</v>
      </c>
      <c r="F517" s="34" t="s">
        <v>56</v>
      </c>
      <c r="G517" s="34" t="str">
        <f>VLOOKUP(B517,Dane!$A$1:$G$1001,6,FALSE)</f>
        <v>własność</v>
      </c>
    </row>
    <row r="518" spans="1:7" x14ac:dyDescent="0.3">
      <c r="A518" s="34">
        <v>517</v>
      </c>
      <c r="B518" s="34">
        <v>973</v>
      </c>
      <c r="C518" s="34">
        <v>24</v>
      </c>
      <c r="D518" s="34">
        <v>1193</v>
      </c>
      <c r="E518" s="34">
        <v>29</v>
      </c>
      <c r="F518" s="34" t="s">
        <v>57</v>
      </c>
      <c r="G518" s="34" t="str">
        <f>VLOOKUP(B518,Dane!$A$1:$G$1001,6,FALSE)</f>
        <v>wynajem</v>
      </c>
    </row>
    <row r="519" spans="1:7" x14ac:dyDescent="0.3">
      <c r="A519" s="34">
        <v>518</v>
      </c>
      <c r="B519" s="34">
        <v>823</v>
      </c>
      <c r="C519" s="34">
        <v>36</v>
      </c>
      <c r="D519" s="34">
        <v>2712</v>
      </c>
      <c r="E519" s="34">
        <v>41</v>
      </c>
      <c r="F519" s="34" t="s">
        <v>55</v>
      </c>
      <c r="G519" s="34" t="str">
        <f>VLOOKUP(B519,Dane!$A$1:$G$1001,6,FALSE)</f>
        <v>własność</v>
      </c>
    </row>
    <row r="520" spans="1:7" x14ac:dyDescent="0.3">
      <c r="A520" s="34">
        <v>519</v>
      </c>
      <c r="B520" s="34">
        <v>525</v>
      </c>
      <c r="C520" s="34">
        <v>18</v>
      </c>
      <c r="D520" s="34">
        <v>1113</v>
      </c>
      <c r="E520" s="34">
        <v>26</v>
      </c>
      <c r="F520" s="34" t="s">
        <v>56</v>
      </c>
      <c r="G520" s="34" t="str">
        <f>VLOOKUP(B520,Dane!$A$1:$G$1001,6,FALSE)</f>
        <v>własność</v>
      </c>
    </row>
    <row r="521" spans="1:7" x14ac:dyDescent="0.3">
      <c r="A521" s="34">
        <v>520</v>
      </c>
      <c r="B521" s="34">
        <v>332</v>
      </c>
      <c r="C521" s="34">
        <v>18</v>
      </c>
      <c r="D521" s="34">
        <v>1864</v>
      </c>
      <c r="E521" s="34">
        <v>30</v>
      </c>
      <c r="F521" s="34" t="s">
        <v>57</v>
      </c>
      <c r="G521" s="34" t="str">
        <f>VLOOKUP(B521,Dane!$A$1:$G$1001,6,FALSE)</f>
        <v>własność</v>
      </c>
    </row>
    <row r="522" spans="1:7" x14ac:dyDescent="0.3">
      <c r="A522" s="34">
        <v>521</v>
      </c>
      <c r="B522" s="34">
        <v>964</v>
      </c>
      <c r="C522" s="34">
        <v>24</v>
      </c>
      <c r="D522" s="34">
        <v>2397</v>
      </c>
      <c r="E522" s="34">
        <v>35</v>
      </c>
      <c r="F522" s="34" t="s">
        <v>55</v>
      </c>
      <c r="G522" s="34" t="str">
        <f>VLOOKUP(B522,Dane!$A$1:$G$1001,6,FALSE)</f>
        <v>własność</v>
      </c>
    </row>
    <row r="523" spans="1:7" x14ac:dyDescent="0.3">
      <c r="A523" s="34">
        <v>522</v>
      </c>
      <c r="B523" s="34">
        <v>566</v>
      </c>
      <c r="C523" s="34">
        <v>24</v>
      </c>
      <c r="D523" s="34">
        <v>1553</v>
      </c>
      <c r="E523" s="34">
        <v>23</v>
      </c>
      <c r="F523" s="34" t="s">
        <v>56</v>
      </c>
      <c r="G523" s="34" t="str">
        <f>VLOOKUP(B523,Dane!$A$1:$G$1001,6,FALSE)</f>
        <v>wynajem</v>
      </c>
    </row>
    <row r="524" spans="1:7" x14ac:dyDescent="0.3">
      <c r="A524" s="34">
        <v>523</v>
      </c>
      <c r="B524" s="34">
        <v>130</v>
      </c>
      <c r="C524" s="34">
        <v>12</v>
      </c>
      <c r="D524" s="34">
        <v>3499</v>
      </c>
      <c r="E524" s="34">
        <v>29</v>
      </c>
      <c r="F524" s="34" t="s">
        <v>57</v>
      </c>
      <c r="G524" s="34" t="str">
        <f>VLOOKUP(B524,Dane!$A$1:$G$1001,6,FALSE)</f>
        <v>własność</v>
      </c>
    </row>
    <row r="525" spans="1:7" x14ac:dyDescent="0.3">
      <c r="A525" s="34">
        <v>524</v>
      </c>
      <c r="B525" s="34">
        <v>72</v>
      </c>
      <c r="C525" s="34">
        <v>7</v>
      </c>
      <c r="D525" s="34">
        <v>730</v>
      </c>
      <c r="E525" s="34">
        <v>46</v>
      </c>
      <c r="F525" s="34" t="s">
        <v>54</v>
      </c>
      <c r="G525" s="34" t="str">
        <f>VLOOKUP(B525,Dane!$A$1:$G$1001,6,FALSE)</f>
        <v>wynajem</v>
      </c>
    </row>
    <row r="526" spans="1:7" x14ac:dyDescent="0.3">
      <c r="A526" s="34">
        <v>525</v>
      </c>
      <c r="B526" s="34">
        <v>1</v>
      </c>
      <c r="C526" s="34">
        <v>6</v>
      </c>
      <c r="D526" s="34">
        <v>1169</v>
      </c>
      <c r="E526" s="34">
        <v>67</v>
      </c>
      <c r="F526" s="34" t="s">
        <v>54</v>
      </c>
      <c r="G526" s="34" t="str">
        <f>VLOOKUP(B526,Dane!$A$1:$G$1001,6,FALSE)</f>
        <v>własność</v>
      </c>
    </row>
    <row r="527" spans="1:7" x14ac:dyDescent="0.3">
      <c r="A527" s="34">
        <v>526</v>
      </c>
      <c r="B527" s="34">
        <v>494</v>
      </c>
      <c r="C527" s="34">
        <v>6</v>
      </c>
      <c r="D527" s="34">
        <v>368</v>
      </c>
      <c r="E527" s="34">
        <v>38</v>
      </c>
      <c r="F527" s="34" t="s">
        <v>54</v>
      </c>
      <c r="G527" s="34" t="str">
        <f>VLOOKUP(B527,Dane!$A$1:$G$1001,6,FALSE)</f>
        <v>własność</v>
      </c>
    </row>
    <row r="528" spans="1:7" x14ac:dyDescent="0.3">
      <c r="A528" s="34">
        <v>527</v>
      </c>
      <c r="B528" s="34">
        <v>670</v>
      </c>
      <c r="C528" s="34">
        <v>30</v>
      </c>
      <c r="D528" s="34">
        <v>3017</v>
      </c>
      <c r="E528" s="34">
        <v>47</v>
      </c>
      <c r="F528" s="34" t="s">
        <v>54</v>
      </c>
      <c r="G528" s="34" t="str">
        <f>VLOOKUP(B528,Dane!$A$1:$G$1001,6,FALSE)</f>
        <v>własność</v>
      </c>
    </row>
    <row r="529" spans="1:7" x14ac:dyDescent="0.3">
      <c r="A529" s="34">
        <v>528</v>
      </c>
      <c r="B529" s="34">
        <v>827</v>
      </c>
      <c r="C529" s="34">
        <v>18</v>
      </c>
      <c r="D529" s="34">
        <v>3966</v>
      </c>
      <c r="E529" s="34">
        <v>33</v>
      </c>
      <c r="F529" s="34" t="s">
        <v>57</v>
      </c>
      <c r="G529" s="34" t="str">
        <f>VLOOKUP(B529,Dane!$A$1:$G$1001,6,FALSE)</f>
        <v>wynajem</v>
      </c>
    </row>
    <row r="530" spans="1:7" x14ac:dyDescent="0.3">
      <c r="A530" s="34">
        <v>529</v>
      </c>
      <c r="B530" s="34">
        <v>717</v>
      </c>
      <c r="C530" s="34">
        <v>30</v>
      </c>
      <c r="D530" s="34">
        <v>3077</v>
      </c>
      <c r="E530" s="34">
        <v>40</v>
      </c>
      <c r="F530" s="34" t="s">
        <v>54</v>
      </c>
      <c r="G530" s="34" t="str">
        <f>VLOOKUP(B530,Dane!$A$1:$G$1001,6,FALSE)</f>
        <v>własność</v>
      </c>
    </row>
    <row r="531" spans="1:7" x14ac:dyDescent="0.3">
      <c r="A531" s="34">
        <v>530</v>
      </c>
      <c r="B531" s="34">
        <v>913</v>
      </c>
      <c r="C531" s="34">
        <v>30</v>
      </c>
      <c r="D531" s="34">
        <v>2991</v>
      </c>
      <c r="E531" s="34">
        <v>25</v>
      </c>
      <c r="F531" s="34" t="s">
        <v>56</v>
      </c>
      <c r="G531" s="34" t="str">
        <f>VLOOKUP(B531,Dane!$A$1:$G$1001,6,FALSE)</f>
        <v>własność</v>
      </c>
    </row>
    <row r="532" spans="1:7" x14ac:dyDescent="0.3">
      <c r="A532" s="34">
        <v>531</v>
      </c>
      <c r="B532" s="34">
        <v>299</v>
      </c>
      <c r="C532" s="34">
        <v>18</v>
      </c>
      <c r="D532" s="34">
        <v>2515</v>
      </c>
      <c r="E532" s="34">
        <v>43</v>
      </c>
      <c r="F532" s="34" t="s">
        <v>54</v>
      </c>
      <c r="G532" s="34" t="str">
        <f>VLOOKUP(B532,Dane!$A$1:$G$1001,6,FALSE)</f>
        <v>własność</v>
      </c>
    </row>
    <row r="533" spans="1:7" x14ac:dyDescent="0.3">
      <c r="A533" s="34">
        <v>532</v>
      </c>
      <c r="B533" s="34">
        <v>661</v>
      </c>
      <c r="C533" s="34">
        <v>12</v>
      </c>
      <c r="D533" s="34">
        <v>1297</v>
      </c>
      <c r="E533" s="34">
        <v>23</v>
      </c>
      <c r="F533" s="34" t="s">
        <v>54</v>
      </c>
      <c r="G533" s="34" t="str">
        <f>VLOOKUP(B533,Dane!$A$1:$G$1001,6,FALSE)</f>
        <v>wynajem</v>
      </c>
    </row>
    <row r="534" spans="1:7" x14ac:dyDescent="0.3">
      <c r="A534" s="34">
        <v>533</v>
      </c>
      <c r="B534" s="34">
        <v>633</v>
      </c>
      <c r="C534" s="34">
        <v>15</v>
      </c>
      <c r="D534" s="34">
        <v>1444</v>
      </c>
      <c r="E534" s="34">
        <v>23</v>
      </c>
      <c r="F534" s="34" t="s">
        <v>54</v>
      </c>
      <c r="G534" s="34" t="str">
        <f>VLOOKUP(B534,Dane!$A$1:$G$1001,6,FALSE)</f>
        <v>własność</v>
      </c>
    </row>
    <row r="535" spans="1:7" x14ac:dyDescent="0.3">
      <c r="A535" s="34">
        <v>534</v>
      </c>
      <c r="B535" s="34">
        <v>996</v>
      </c>
      <c r="C535" s="34">
        <v>12</v>
      </c>
      <c r="D535" s="34">
        <v>1736</v>
      </c>
      <c r="E535" s="34">
        <v>31</v>
      </c>
      <c r="F535" s="34" t="s">
        <v>56</v>
      </c>
      <c r="G535" s="34" t="str">
        <f>VLOOKUP(B535,Dane!$A$1:$G$1001,6,FALSE)</f>
        <v>własność</v>
      </c>
    </row>
    <row r="536" spans="1:7" x14ac:dyDescent="0.3">
      <c r="A536" s="34">
        <v>535</v>
      </c>
      <c r="B536" s="34">
        <v>815</v>
      </c>
      <c r="C536" s="34">
        <v>48</v>
      </c>
      <c r="D536" s="34">
        <v>3931</v>
      </c>
      <c r="E536" s="34">
        <v>46</v>
      </c>
      <c r="F536" s="34" t="s">
        <v>55</v>
      </c>
      <c r="G536" s="34" t="str">
        <f>VLOOKUP(B536,Dane!$A$1:$G$1001,6,FALSE)</f>
        <v>za darmo</v>
      </c>
    </row>
    <row r="537" spans="1:7" x14ac:dyDescent="0.3">
      <c r="A537" s="34">
        <v>536</v>
      </c>
      <c r="B537" s="34">
        <v>5</v>
      </c>
      <c r="C537" s="34">
        <v>24</v>
      </c>
      <c r="D537" s="34">
        <v>4870</v>
      </c>
      <c r="E537" s="34">
        <v>53</v>
      </c>
      <c r="F537" s="34" t="s">
        <v>55</v>
      </c>
      <c r="G537" s="34" t="str">
        <f>VLOOKUP(B537,Dane!$A$1:$G$1001,6,FALSE)</f>
        <v>za darmo</v>
      </c>
    </row>
    <row r="538" spans="1:7" x14ac:dyDescent="0.3">
      <c r="A538" s="34">
        <v>537</v>
      </c>
      <c r="B538" s="34">
        <v>884</v>
      </c>
      <c r="C538" s="34">
        <v>18</v>
      </c>
      <c r="D538" s="34">
        <v>1098</v>
      </c>
      <c r="E538" s="34">
        <v>65</v>
      </c>
      <c r="F538" s="34" t="s">
        <v>56</v>
      </c>
      <c r="G538" s="34" t="str">
        <f>VLOOKUP(B538,Dane!$A$1:$G$1001,6,FALSE)</f>
        <v>własność</v>
      </c>
    </row>
    <row r="539" spans="1:7" x14ac:dyDescent="0.3">
      <c r="A539" s="34">
        <v>538</v>
      </c>
      <c r="B539" s="34">
        <v>504</v>
      </c>
      <c r="C539" s="34">
        <v>24</v>
      </c>
      <c r="D539" s="34">
        <v>1216</v>
      </c>
      <c r="E539" s="34">
        <v>38</v>
      </c>
      <c r="F539" s="34" t="s">
        <v>55</v>
      </c>
      <c r="G539" s="34" t="str">
        <f>VLOOKUP(B539,Dane!$A$1:$G$1001,6,FALSE)</f>
        <v>własność</v>
      </c>
    </row>
    <row r="540" spans="1:7" x14ac:dyDescent="0.3">
      <c r="A540" s="34">
        <v>539</v>
      </c>
      <c r="B540" s="34">
        <v>339</v>
      </c>
      <c r="C540" s="34">
        <v>24</v>
      </c>
      <c r="D540" s="34">
        <v>4169</v>
      </c>
      <c r="E540" s="34">
        <v>28</v>
      </c>
      <c r="F540" s="34" t="s">
        <v>54</v>
      </c>
      <c r="G540" s="34" t="str">
        <f>VLOOKUP(B540,Dane!$A$1:$G$1001,6,FALSE)</f>
        <v>własność</v>
      </c>
    </row>
    <row r="541" spans="1:7" x14ac:dyDescent="0.3">
      <c r="A541" s="34">
        <v>540</v>
      </c>
      <c r="B541" s="34">
        <v>563</v>
      </c>
      <c r="C541" s="34">
        <v>6</v>
      </c>
      <c r="D541" s="34">
        <v>683</v>
      </c>
      <c r="E541" s="34">
        <v>29</v>
      </c>
      <c r="F541" s="34" t="s">
        <v>56</v>
      </c>
      <c r="G541" s="34" t="str">
        <f>VLOOKUP(B541,Dane!$A$1:$G$1001,6,FALSE)</f>
        <v>własność</v>
      </c>
    </row>
    <row r="542" spans="1:7" x14ac:dyDescent="0.3">
      <c r="A542" s="34">
        <v>541</v>
      </c>
      <c r="B542" s="34">
        <v>214</v>
      </c>
      <c r="C542" s="34">
        <v>30</v>
      </c>
      <c r="D542" s="34">
        <v>1908</v>
      </c>
      <c r="E542" s="34">
        <v>66</v>
      </c>
      <c r="F542" s="34" t="s">
        <v>55</v>
      </c>
      <c r="G542" s="34" t="str">
        <f>VLOOKUP(B542,Dane!$A$1:$G$1001,6,FALSE)</f>
        <v>własność</v>
      </c>
    </row>
    <row r="543" spans="1:7" x14ac:dyDescent="0.3">
      <c r="A543" s="34">
        <v>542</v>
      </c>
      <c r="B543" s="34">
        <v>825</v>
      </c>
      <c r="C543" s="34">
        <v>18</v>
      </c>
      <c r="D543" s="34">
        <v>3780</v>
      </c>
      <c r="E543" s="34">
        <v>35</v>
      </c>
      <c r="F543" s="34" t="s">
        <v>54</v>
      </c>
      <c r="G543" s="34" t="str">
        <f>VLOOKUP(B543,Dane!$A$1:$G$1001,6,FALSE)</f>
        <v>własność</v>
      </c>
    </row>
    <row r="544" spans="1:7" x14ac:dyDescent="0.3">
      <c r="A544" s="34">
        <v>543</v>
      </c>
      <c r="B544" s="34">
        <v>245</v>
      </c>
      <c r="C544" s="34">
        <v>12</v>
      </c>
      <c r="D544" s="34">
        <v>3447</v>
      </c>
      <c r="E544" s="34">
        <v>35</v>
      </c>
      <c r="F544" s="34" t="s">
        <v>56</v>
      </c>
      <c r="G544" s="34" t="str">
        <f>VLOOKUP(B544,Dane!$A$1:$G$1001,6,FALSE)</f>
        <v>własność</v>
      </c>
    </row>
    <row r="545" spans="1:7" x14ac:dyDescent="0.3">
      <c r="A545" s="34">
        <v>544</v>
      </c>
      <c r="B545" s="34">
        <v>471</v>
      </c>
      <c r="C545" s="34">
        <v>24</v>
      </c>
      <c r="D545" s="34">
        <v>3092</v>
      </c>
      <c r="E545" s="34">
        <v>22</v>
      </c>
      <c r="F545" s="34" t="s">
        <v>55</v>
      </c>
      <c r="G545" s="34" t="str">
        <f>VLOOKUP(B545,Dane!$A$1:$G$1001,6,FALSE)</f>
        <v>wynajem</v>
      </c>
    </row>
    <row r="546" spans="1:7" x14ac:dyDescent="0.3">
      <c r="A546" s="34">
        <v>545</v>
      </c>
      <c r="B546" s="34">
        <v>492</v>
      </c>
      <c r="C546" s="34">
        <v>27</v>
      </c>
      <c r="D546" s="34">
        <v>8318</v>
      </c>
      <c r="E546" s="34">
        <v>42</v>
      </c>
      <c r="F546" s="34" t="s">
        <v>57</v>
      </c>
      <c r="G546" s="34" t="str">
        <f>VLOOKUP(B546,Dane!$A$1:$G$1001,6,FALSE)</f>
        <v>za darmo</v>
      </c>
    </row>
    <row r="547" spans="1:7" x14ac:dyDescent="0.3">
      <c r="A547" s="34">
        <v>546</v>
      </c>
      <c r="B547" s="34">
        <v>682</v>
      </c>
      <c r="C547" s="34">
        <v>12</v>
      </c>
      <c r="D547" s="34">
        <v>2279</v>
      </c>
      <c r="E547" s="34">
        <v>37</v>
      </c>
      <c r="F547" s="34" t="s">
        <v>54</v>
      </c>
      <c r="G547" s="34" t="str">
        <f>VLOOKUP(B547,Dane!$A$1:$G$1001,6,FALSE)</f>
        <v>za darmo</v>
      </c>
    </row>
    <row r="548" spans="1:7" x14ac:dyDescent="0.3">
      <c r="A548" s="34">
        <v>547</v>
      </c>
      <c r="B548" s="34">
        <v>558</v>
      </c>
      <c r="C548" s="34">
        <v>21</v>
      </c>
      <c r="D548" s="34">
        <v>5003</v>
      </c>
      <c r="E548" s="34">
        <v>29</v>
      </c>
      <c r="F548" s="34" t="s">
        <v>57</v>
      </c>
      <c r="G548" s="34" t="str">
        <f>VLOOKUP(B548,Dane!$A$1:$G$1001,6,FALSE)</f>
        <v>własność</v>
      </c>
    </row>
    <row r="549" spans="1:7" x14ac:dyDescent="0.3">
      <c r="A549" s="34">
        <v>548</v>
      </c>
      <c r="B549" s="34">
        <v>593</v>
      </c>
      <c r="C549" s="34">
        <v>21</v>
      </c>
      <c r="D549" s="34">
        <v>1572</v>
      </c>
      <c r="E549" s="34">
        <v>36</v>
      </c>
      <c r="F549" s="34" t="s">
        <v>56</v>
      </c>
      <c r="G549" s="34" t="str">
        <f>VLOOKUP(B549,Dane!$A$1:$G$1001,6,FALSE)</f>
        <v>własność</v>
      </c>
    </row>
    <row r="550" spans="1:7" x14ac:dyDescent="0.3">
      <c r="A550" s="34">
        <v>549</v>
      </c>
      <c r="B550" s="34">
        <v>911</v>
      </c>
      <c r="C550" s="34">
        <v>36</v>
      </c>
      <c r="D550" s="34">
        <v>4454</v>
      </c>
      <c r="E550" s="34">
        <v>34</v>
      </c>
      <c r="F550" s="34" t="s">
        <v>56</v>
      </c>
      <c r="G550" s="34" t="str">
        <f>VLOOKUP(B550,Dane!$A$1:$G$1001,6,FALSE)</f>
        <v>własność</v>
      </c>
    </row>
    <row r="551" spans="1:7" x14ac:dyDescent="0.3">
      <c r="A551" s="34">
        <v>550</v>
      </c>
      <c r="B551" s="34">
        <v>290</v>
      </c>
      <c r="C551" s="34">
        <v>24</v>
      </c>
      <c r="D551" s="34">
        <v>1024</v>
      </c>
      <c r="E551" s="34">
        <v>48</v>
      </c>
      <c r="F551" s="34" t="s">
        <v>55</v>
      </c>
      <c r="G551" s="34" t="str">
        <f>VLOOKUP(B551,Dane!$A$1:$G$1001,6,FALSE)</f>
        <v>własność</v>
      </c>
    </row>
    <row r="552" spans="1:7" x14ac:dyDescent="0.3">
      <c r="A552" s="34">
        <v>551</v>
      </c>
      <c r="B552" s="34">
        <v>486</v>
      </c>
      <c r="C552" s="34">
        <v>6</v>
      </c>
      <c r="D552" s="34">
        <v>1209</v>
      </c>
      <c r="E552" s="34">
        <v>47</v>
      </c>
      <c r="F552" s="34" t="s">
        <v>55</v>
      </c>
      <c r="G552" s="34" t="str">
        <f>VLOOKUP(B552,Dane!$A$1:$G$1001,6,FALSE)</f>
        <v>własność</v>
      </c>
    </row>
    <row r="553" spans="1:7" x14ac:dyDescent="0.3">
      <c r="A553" s="34">
        <v>552</v>
      </c>
      <c r="B553" s="34">
        <v>77</v>
      </c>
      <c r="C553" s="34">
        <v>42</v>
      </c>
      <c r="D553" s="34">
        <v>3965</v>
      </c>
      <c r="E553" s="34">
        <v>34</v>
      </c>
      <c r="F553" s="34" t="s">
        <v>55</v>
      </c>
      <c r="G553" s="34" t="str">
        <f>VLOOKUP(B553,Dane!$A$1:$G$1001,6,FALSE)</f>
        <v>własność</v>
      </c>
    </row>
    <row r="554" spans="1:7" x14ac:dyDescent="0.3">
      <c r="A554" s="34">
        <v>553</v>
      </c>
      <c r="B554" s="34">
        <v>361</v>
      </c>
      <c r="C554" s="34">
        <v>18</v>
      </c>
      <c r="D554" s="34">
        <v>1239</v>
      </c>
      <c r="E554" s="34">
        <v>61</v>
      </c>
      <c r="F554" s="34" t="s">
        <v>54</v>
      </c>
      <c r="G554" s="34" t="str">
        <f>VLOOKUP(B554,Dane!$A$1:$G$1001,6,FALSE)</f>
        <v>za darmo</v>
      </c>
    </row>
    <row r="555" spans="1:7" x14ac:dyDescent="0.3">
      <c r="A555" s="34">
        <v>554</v>
      </c>
      <c r="B555" s="34">
        <v>410</v>
      </c>
      <c r="C555" s="34">
        <v>12</v>
      </c>
      <c r="D555" s="34">
        <v>939</v>
      </c>
      <c r="E555" s="34">
        <v>28</v>
      </c>
      <c r="F555" s="34" t="s">
        <v>55</v>
      </c>
      <c r="G555" s="34" t="str">
        <f>VLOOKUP(B555,Dane!$A$1:$G$1001,6,FALSE)</f>
        <v>własność</v>
      </c>
    </row>
    <row r="556" spans="1:7" x14ac:dyDescent="0.3">
      <c r="A556" s="34">
        <v>555</v>
      </c>
      <c r="B556" s="34">
        <v>955</v>
      </c>
      <c r="C556" s="34">
        <v>12</v>
      </c>
      <c r="D556" s="34">
        <v>1893</v>
      </c>
      <c r="E556" s="34">
        <v>29</v>
      </c>
      <c r="F556" s="34" t="s">
        <v>56</v>
      </c>
      <c r="G556" s="34" t="str">
        <f>VLOOKUP(B556,Dane!$A$1:$G$1001,6,FALSE)</f>
        <v>własność</v>
      </c>
    </row>
    <row r="557" spans="1:7" x14ac:dyDescent="0.3">
      <c r="A557" s="34">
        <v>556</v>
      </c>
      <c r="B557" s="34">
        <v>459</v>
      </c>
      <c r="C557" s="34">
        <v>6</v>
      </c>
      <c r="D557" s="34">
        <v>343</v>
      </c>
      <c r="E557" s="34">
        <v>27</v>
      </c>
      <c r="F557" s="34" t="s">
        <v>56</v>
      </c>
      <c r="G557" s="34" t="str">
        <f>VLOOKUP(B557,Dane!$A$1:$G$1001,6,FALSE)</f>
        <v>własność</v>
      </c>
    </row>
    <row r="558" spans="1:7" x14ac:dyDescent="0.3">
      <c r="A558" s="34">
        <v>557</v>
      </c>
      <c r="B558" s="34">
        <v>496</v>
      </c>
      <c r="C558" s="34">
        <v>24</v>
      </c>
      <c r="D558" s="34">
        <v>2996</v>
      </c>
      <c r="E558" s="34">
        <v>20</v>
      </c>
      <c r="F558" s="34" t="s">
        <v>55</v>
      </c>
      <c r="G558" s="34" t="str">
        <f>VLOOKUP(B558,Dane!$A$1:$G$1001,6,FALSE)</f>
        <v>własność</v>
      </c>
    </row>
    <row r="559" spans="1:7" x14ac:dyDescent="0.3">
      <c r="A559" s="34">
        <v>558</v>
      </c>
      <c r="B559" s="34">
        <v>20</v>
      </c>
      <c r="C559" s="34">
        <v>24</v>
      </c>
      <c r="D559" s="34">
        <v>3430</v>
      </c>
      <c r="E559" s="34">
        <v>31</v>
      </c>
      <c r="F559" s="34" t="s">
        <v>54</v>
      </c>
      <c r="G559" s="34" t="str">
        <f>VLOOKUP(B559,Dane!$A$1:$G$1001,6,FALSE)</f>
        <v>własność</v>
      </c>
    </row>
    <row r="560" spans="1:7" x14ac:dyDescent="0.3">
      <c r="A560" s="34">
        <v>559</v>
      </c>
      <c r="B560" s="34">
        <v>188</v>
      </c>
      <c r="C560" s="34">
        <v>16</v>
      </c>
      <c r="D560" s="34">
        <v>1175</v>
      </c>
      <c r="E560" s="34">
        <v>68</v>
      </c>
      <c r="F560" s="34" t="s">
        <v>54</v>
      </c>
      <c r="G560" s="34" t="str">
        <f>VLOOKUP(B560,Dane!$A$1:$G$1001,6,FALSE)</f>
        <v>za darmo</v>
      </c>
    </row>
    <row r="561" spans="1:7" x14ac:dyDescent="0.3">
      <c r="A561" s="34">
        <v>560</v>
      </c>
      <c r="B561" s="34">
        <v>532</v>
      </c>
      <c r="C561" s="34">
        <v>15</v>
      </c>
      <c r="D561" s="34">
        <v>2631</v>
      </c>
      <c r="E561" s="34">
        <v>28</v>
      </c>
      <c r="F561" s="34" t="s">
        <v>57</v>
      </c>
      <c r="G561" s="34" t="str">
        <f>VLOOKUP(B561,Dane!$A$1:$G$1001,6,FALSE)</f>
        <v>wynajem</v>
      </c>
    </row>
    <row r="562" spans="1:7" x14ac:dyDescent="0.3">
      <c r="A562" s="34">
        <v>561</v>
      </c>
      <c r="B562" s="34">
        <v>679</v>
      </c>
      <c r="C562" s="34">
        <v>24</v>
      </c>
      <c r="D562" s="34">
        <v>2384</v>
      </c>
      <c r="E562" s="34">
        <v>64</v>
      </c>
      <c r="F562" s="34" t="s">
        <v>54</v>
      </c>
      <c r="G562" s="34" t="str">
        <f>VLOOKUP(B562,Dane!$A$1:$G$1001,6,FALSE)</f>
        <v>wynajem</v>
      </c>
    </row>
    <row r="563" spans="1:7" x14ac:dyDescent="0.3">
      <c r="A563" s="34">
        <v>562</v>
      </c>
      <c r="B563" s="34">
        <v>966</v>
      </c>
      <c r="C563" s="34">
        <v>30</v>
      </c>
      <c r="D563" s="34">
        <v>1715</v>
      </c>
      <c r="E563" s="34">
        <v>26</v>
      </c>
      <c r="F563" s="34" t="s">
        <v>56</v>
      </c>
      <c r="G563" s="34" t="str">
        <f>VLOOKUP(B563,Dane!$A$1:$G$1001,6,FALSE)</f>
        <v>własność</v>
      </c>
    </row>
    <row r="564" spans="1:7" x14ac:dyDescent="0.3">
      <c r="A564" s="34">
        <v>563</v>
      </c>
      <c r="B564" s="34">
        <v>826</v>
      </c>
      <c r="C564" s="34">
        <v>21</v>
      </c>
      <c r="D564" s="34">
        <v>1602</v>
      </c>
      <c r="E564" s="34">
        <v>30</v>
      </c>
      <c r="F564" s="34" t="s">
        <v>54</v>
      </c>
      <c r="G564" s="34" t="str">
        <f>VLOOKUP(B564,Dane!$A$1:$G$1001,6,FALSE)</f>
        <v>własność</v>
      </c>
    </row>
    <row r="565" spans="1:7" x14ac:dyDescent="0.3">
      <c r="A565" s="34">
        <v>564</v>
      </c>
      <c r="B565" s="34">
        <v>957</v>
      </c>
      <c r="C565" s="34">
        <v>30</v>
      </c>
      <c r="D565" s="34">
        <v>3656</v>
      </c>
      <c r="E565" s="34">
        <v>49</v>
      </c>
      <c r="F565" s="34" t="s">
        <v>54</v>
      </c>
      <c r="G565" s="34" t="str">
        <f>VLOOKUP(B565,Dane!$A$1:$G$1001,6,FALSE)</f>
        <v>własność</v>
      </c>
    </row>
    <row r="566" spans="1:7" x14ac:dyDescent="0.3">
      <c r="A566" s="34">
        <v>565</v>
      </c>
      <c r="B566" s="34">
        <v>602</v>
      </c>
      <c r="C566" s="34">
        <v>9</v>
      </c>
      <c r="D566" s="34">
        <v>918</v>
      </c>
      <c r="E566" s="34">
        <v>30</v>
      </c>
      <c r="F566" s="34" t="s">
        <v>57</v>
      </c>
      <c r="G566" s="34" t="str">
        <f>VLOOKUP(B566,Dane!$A$1:$G$1001,6,FALSE)</f>
        <v>własność</v>
      </c>
    </row>
    <row r="567" spans="1:7" x14ac:dyDescent="0.3">
      <c r="A567" s="34">
        <v>566</v>
      </c>
      <c r="B567" s="34">
        <v>818</v>
      </c>
      <c r="C567" s="34">
        <v>6</v>
      </c>
      <c r="D567" s="34">
        <v>1554</v>
      </c>
      <c r="E567" s="34">
        <v>24</v>
      </c>
      <c r="F567" s="34" t="s">
        <v>56</v>
      </c>
      <c r="G567" s="34" t="str">
        <f>VLOOKUP(B567,Dane!$A$1:$G$1001,6,FALSE)</f>
        <v>wynajem</v>
      </c>
    </row>
    <row r="568" spans="1:7" x14ac:dyDescent="0.3">
      <c r="A568" s="34">
        <v>567</v>
      </c>
      <c r="B568" s="34">
        <v>62</v>
      </c>
      <c r="C568" s="34">
        <v>15</v>
      </c>
      <c r="D568" s="34">
        <v>1537</v>
      </c>
      <c r="E568" s="34">
        <v>50</v>
      </c>
      <c r="F568" s="34" t="s">
        <v>54</v>
      </c>
      <c r="G568" s="34" t="str">
        <f>VLOOKUP(B568,Dane!$A$1:$G$1001,6,FALSE)</f>
        <v>własność</v>
      </c>
    </row>
    <row r="569" spans="1:7" x14ac:dyDescent="0.3">
      <c r="A569" s="34">
        <v>568</v>
      </c>
      <c r="B569" s="34">
        <v>707</v>
      </c>
      <c r="C569" s="34">
        <v>48</v>
      </c>
      <c r="D569" s="34">
        <v>6560</v>
      </c>
      <c r="E569" s="34">
        <v>24</v>
      </c>
      <c r="F569" s="34" t="s">
        <v>55</v>
      </c>
      <c r="G569" s="34" t="str">
        <f>VLOOKUP(B569,Dane!$A$1:$G$1001,6,FALSE)</f>
        <v>własność</v>
      </c>
    </row>
    <row r="570" spans="1:7" x14ac:dyDescent="0.3">
      <c r="A570" s="34">
        <v>569</v>
      </c>
      <c r="B570" s="34">
        <v>337</v>
      </c>
      <c r="C570" s="34">
        <v>13</v>
      </c>
      <c r="D570" s="34">
        <v>2101</v>
      </c>
      <c r="E570" s="34">
        <v>23</v>
      </c>
      <c r="F570" s="34" t="s">
        <v>56</v>
      </c>
      <c r="G570" s="34" t="str">
        <f>VLOOKUP(B570,Dane!$A$1:$G$1001,6,FALSE)</f>
        <v>własność</v>
      </c>
    </row>
    <row r="571" spans="1:7" x14ac:dyDescent="0.3">
      <c r="A571" s="34">
        <v>570</v>
      </c>
      <c r="B571" s="34">
        <v>314</v>
      </c>
      <c r="C571" s="34">
        <v>12</v>
      </c>
      <c r="D571" s="34">
        <v>685</v>
      </c>
      <c r="E571" s="34">
        <v>25</v>
      </c>
      <c r="F571" s="34" t="s">
        <v>55</v>
      </c>
      <c r="G571" s="34" t="str">
        <f>VLOOKUP(B571,Dane!$A$1:$G$1001,6,FALSE)</f>
        <v>własność</v>
      </c>
    </row>
    <row r="572" spans="1:7" x14ac:dyDescent="0.3">
      <c r="A572" s="34">
        <v>571</v>
      </c>
      <c r="B572" s="34">
        <v>978</v>
      </c>
      <c r="C572" s="34">
        <v>18</v>
      </c>
      <c r="D572" s="34">
        <v>2427</v>
      </c>
      <c r="E572" s="34">
        <v>42</v>
      </c>
      <c r="F572" s="34" t="s">
        <v>54</v>
      </c>
      <c r="G572" s="34" t="str">
        <f>VLOOKUP(B572,Dane!$A$1:$G$1001,6,FALSE)</f>
        <v>własność</v>
      </c>
    </row>
    <row r="573" spans="1:7" x14ac:dyDescent="0.3">
      <c r="A573" s="34">
        <v>572</v>
      </c>
      <c r="B573" s="34">
        <v>460</v>
      </c>
      <c r="C573" s="34">
        <v>18</v>
      </c>
      <c r="D573" s="34">
        <v>4594</v>
      </c>
      <c r="E573" s="34">
        <v>32</v>
      </c>
      <c r="F573" s="34" t="s">
        <v>54</v>
      </c>
      <c r="G573" s="34" t="str">
        <f>VLOOKUP(B573,Dane!$A$1:$G$1001,6,FALSE)</f>
        <v>własność</v>
      </c>
    </row>
    <row r="574" spans="1:7" x14ac:dyDescent="0.3">
      <c r="A574" s="34">
        <v>573</v>
      </c>
      <c r="B574" s="34">
        <v>35</v>
      </c>
      <c r="C574" s="34">
        <v>12</v>
      </c>
      <c r="D574" s="34">
        <v>1474</v>
      </c>
      <c r="E574" s="34">
        <v>33</v>
      </c>
      <c r="F574" s="34" t="s">
        <v>56</v>
      </c>
      <c r="G574" s="34" t="str">
        <f>VLOOKUP(B574,Dane!$A$1:$G$1001,6,FALSE)</f>
        <v>własność</v>
      </c>
    </row>
    <row r="575" spans="1:7" x14ac:dyDescent="0.3">
      <c r="A575" s="34">
        <v>574</v>
      </c>
      <c r="B575" s="34">
        <v>895</v>
      </c>
      <c r="C575" s="34">
        <v>18</v>
      </c>
      <c r="D575" s="34">
        <v>1169</v>
      </c>
      <c r="E575" s="34">
        <v>29</v>
      </c>
      <c r="F575" s="34" t="s">
        <v>54</v>
      </c>
      <c r="G575" s="34" t="str">
        <f>VLOOKUP(B575,Dane!$A$1:$G$1001,6,FALSE)</f>
        <v>własność</v>
      </c>
    </row>
    <row r="576" spans="1:7" x14ac:dyDescent="0.3">
      <c r="A576" s="34">
        <v>575</v>
      </c>
      <c r="B576" s="34">
        <v>152</v>
      </c>
      <c r="C576" s="34">
        <v>10</v>
      </c>
      <c r="D576" s="34">
        <v>1924</v>
      </c>
      <c r="E576" s="34">
        <v>38</v>
      </c>
      <c r="F576" s="34" t="s">
        <v>54</v>
      </c>
      <c r="G576" s="34" t="str">
        <f>VLOOKUP(B576,Dane!$A$1:$G$1001,6,FALSE)</f>
        <v>własność</v>
      </c>
    </row>
    <row r="577" spans="1:7" x14ac:dyDescent="0.3">
      <c r="A577" s="34">
        <v>576</v>
      </c>
      <c r="B577" s="34">
        <v>11</v>
      </c>
      <c r="C577" s="34">
        <v>12</v>
      </c>
      <c r="D577" s="34">
        <v>1295</v>
      </c>
      <c r="E577" s="34">
        <v>25</v>
      </c>
      <c r="F577" s="34" t="s">
        <v>57</v>
      </c>
      <c r="G577" s="34" t="str">
        <f>VLOOKUP(B577,Dane!$A$1:$G$1001,6,FALSE)</f>
        <v>wynajem</v>
      </c>
    </row>
    <row r="578" spans="1:7" x14ac:dyDescent="0.3">
      <c r="A578" s="34">
        <v>577</v>
      </c>
      <c r="B578" s="34">
        <v>41</v>
      </c>
      <c r="C578" s="34">
        <v>30</v>
      </c>
      <c r="D578" s="34">
        <v>2333</v>
      </c>
      <c r="E578" s="34">
        <v>30</v>
      </c>
      <c r="F578" s="34" t="s">
        <v>54</v>
      </c>
      <c r="G578" s="34" t="str">
        <f>VLOOKUP(B578,Dane!$A$1:$G$1001,6,FALSE)</f>
        <v>własność</v>
      </c>
    </row>
    <row r="579" spans="1:7" x14ac:dyDescent="0.3">
      <c r="A579" s="34">
        <v>578</v>
      </c>
      <c r="B579" s="34">
        <v>190</v>
      </c>
      <c r="C579" s="34">
        <v>18</v>
      </c>
      <c r="D579" s="34">
        <v>3244</v>
      </c>
      <c r="E579" s="34">
        <v>33</v>
      </c>
      <c r="F579" s="34" t="s">
        <v>56</v>
      </c>
      <c r="G579" s="34" t="str">
        <f>VLOOKUP(B579,Dane!$A$1:$G$1001,6,FALSE)</f>
        <v>własność</v>
      </c>
    </row>
    <row r="580" spans="1:7" x14ac:dyDescent="0.3">
      <c r="A580" s="34">
        <v>579</v>
      </c>
      <c r="B580" s="34">
        <v>153</v>
      </c>
      <c r="C580" s="34">
        <v>36</v>
      </c>
      <c r="D580" s="34">
        <v>5848</v>
      </c>
      <c r="E580" s="34">
        <v>24</v>
      </c>
      <c r="F580" s="34" t="s">
        <v>54</v>
      </c>
      <c r="G580" s="34" t="str">
        <f>VLOOKUP(B580,Dane!$A$1:$G$1001,6,FALSE)</f>
        <v>własność</v>
      </c>
    </row>
    <row r="581" spans="1:7" x14ac:dyDescent="0.3">
      <c r="A581" s="34">
        <v>580</v>
      </c>
      <c r="B581" s="34">
        <v>953</v>
      </c>
      <c r="C581" s="34">
        <v>24</v>
      </c>
      <c r="D581" s="34">
        <v>4113</v>
      </c>
      <c r="E581" s="34">
        <v>28</v>
      </c>
      <c r="F581" s="34" t="s">
        <v>57</v>
      </c>
      <c r="G581" s="34" t="str">
        <f>VLOOKUP(B581,Dane!$A$1:$G$1001,6,FALSE)</f>
        <v>wynajem</v>
      </c>
    </row>
    <row r="582" spans="1:7" x14ac:dyDescent="0.3">
      <c r="A582" s="34">
        <v>581</v>
      </c>
      <c r="B582" s="34">
        <v>219</v>
      </c>
      <c r="C582" s="34">
        <v>24</v>
      </c>
      <c r="D582" s="34">
        <v>3021</v>
      </c>
      <c r="E582" s="34">
        <v>24</v>
      </c>
      <c r="F582" s="34" t="s">
        <v>54</v>
      </c>
      <c r="G582" s="34" t="str">
        <f>VLOOKUP(B582,Dane!$A$1:$G$1001,6,FALSE)</f>
        <v>wynajem</v>
      </c>
    </row>
    <row r="583" spans="1:7" x14ac:dyDescent="0.3">
      <c r="A583" s="34">
        <v>582</v>
      </c>
      <c r="B583" s="34">
        <v>840</v>
      </c>
      <c r="C583" s="34">
        <v>24</v>
      </c>
      <c r="D583" s="34">
        <v>2611</v>
      </c>
      <c r="E583" s="34">
        <v>46</v>
      </c>
      <c r="F583" s="34" t="s">
        <v>54</v>
      </c>
      <c r="G583" s="34" t="str">
        <f>VLOOKUP(B583,Dane!$A$1:$G$1001,6,FALSE)</f>
        <v>własność</v>
      </c>
    </row>
    <row r="584" spans="1:7" x14ac:dyDescent="0.3">
      <c r="A584" s="34">
        <v>583</v>
      </c>
      <c r="B584" s="34">
        <v>672</v>
      </c>
      <c r="C584" s="34">
        <v>36</v>
      </c>
      <c r="D584" s="34">
        <v>5742</v>
      </c>
      <c r="E584" s="34">
        <v>31</v>
      </c>
      <c r="F584" s="34" t="s">
        <v>54</v>
      </c>
      <c r="G584" s="34" t="str">
        <f>VLOOKUP(B584,Dane!$A$1:$G$1001,6,FALSE)</f>
        <v>własność</v>
      </c>
    </row>
    <row r="585" spans="1:7" x14ac:dyDescent="0.3">
      <c r="A585" s="34">
        <v>584</v>
      </c>
      <c r="B585" s="34">
        <v>668</v>
      </c>
      <c r="C585" s="34">
        <v>48</v>
      </c>
      <c r="D585" s="34">
        <v>3609</v>
      </c>
      <c r="E585" s="34">
        <v>27</v>
      </c>
      <c r="F585" s="34" t="s">
        <v>56</v>
      </c>
      <c r="G585" s="34" t="str">
        <f>VLOOKUP(B585,Dane!$A$1:$G$1001,6,FALSE)</f>
        <v>własność</v>
      </c>
    </row>
    <row r="586" spans="1:7" x14ac:dyDescent="0.3">
      <c r="A586" s="34">
        <v>585</v>
      </c>
      <c r="B586" s="34">
        <v>43</v>
      </c>
      <c r="C586" s="34">
        <v>18</v>
      </c>
      <c r="D586" s="34">
        <v>6204</v>
      </c>
      <c r="E586" s="34">
        <v>44</v>
      </c>
      <c r="F586" s="34" t="s">
        <v>54</v>
      </c>
      <c r="G586" s="34" t="str">
        <f>VLOOKUP(B586,Dane!$A$1:$G$1001,6,FALSE)</f>
        <v>własność</v>
      </c>
    </row>
    <row r="587" spans="1:7" x14ac:dyDescent="0.3">
      <c r="A587" s="34">
        <v>586</v>
      </c>
      <c r="B587" s="34">
        <v>216</v>
      </c>
      <c r="C587" s="34">
        <v>6</v>
      </c>
      <c r="D587" s="34">
        <v>932</v>
      </c>
      <c r="E587" s="34">
        <v>39</v>
      </c>
      <c r="F587" s="34" t="s">
        <v>56</v>
      </c>
      <c r="G587" s="34" t="str">
        <f>VLOOKUP(B587,Dane!$A$1:$G$1001,6,FALSE)</f>
        <v>własność</v>
      </c>
    </row>
    <row r="588" spans="1:7" x14ac:dyDescent="0.3">
      <c r="A588" s="34">
        <v>587</v>
      </c>
      <c r="B588" s="34">
        <v>952</v>
      </c>
      <c r="C588" s="34">
        <v>36</v>
      </c>
      <c r="D588" s="34">
        <v>2145</v>
      </c>
      <c r="E588" s="34">
        <v>24</v>
      </c>
      <c r="F588" s="34" t="s">
        <v>55</v>
      </c>
      <c r="G588" s="34" t="str">
        <f>VLOOKUP(B588,Dane!$A$1:$G$1001,6,FALSE)</f>
        <v>własność</v>
      </c>
    </row>
    <row r="589" spans="1:7" x14ac:dyDescent="0.3">
      <c r="A589" s="34">
        <v>588</v>
      </c>
      <c r="B589" s="34">
        <v>963</v>
      </c>
      <c r="C589" s="34">
        <v>15</v>
      </c>
      <c r="D589" s="34">
        <v>3556</v>
      </c>
      <c r="E589" s="34">
        <v>29</v>
      </c>
      <c r="F589" s="34" t="s">
        <v>54</v>
      </c>
      <c r="G589" s="34" t="str">
        <f>VLOOKUP(B589,Dane!$A$1:$G$1001,6,FALSE)</f>
        <v>własność</v>
      </c>
    </row>
    <row r="590" spans="1:7" x14ac:dyDescent="0.3">
      <c r="A590" s="34">
        <v>589</v>
      </c>
      <c r="B590" s="34">
        <v>461</v>
      </c>
      <c r="C590" s="34">
        <v>36</v>
      </c>
      <c r="D590" s="34">
        <v>3620</v>
      </c>
      <c r="E590" s="34">
        <v>37</v>
      </c>
      <c r="F590" s="34" t="s">
        <v>54</v>
      </c>
      <c r="G590" s="34" t="str">
        <f>VLOOKUP(B590,Dane!$A$1:$G$1001,6,FALSE)</f>
        <v>własność</v>
      </c>
    </row>
    <row r="591" spans="1:7" x14ac:dyDescent="0.3">
      <c r="A591" s="34">
        <v>590</v>
      </c>
      <c r="B591" s="34">
        <v>779</v>
      </c>
      <c r="C591" s="34">
        <v>36</v>
      </c>
      <c r="D591" s="34">
        <v>5711</v>
      </c>
      <c r="E591" s="34">
        <v>38</v>
      </c>
      <c r="F591" s="34" t="s">
        <v>54</v>
      </c>
      <c r="G591" s="34" t="str">
        <f>VLOOKUP(B591,Dane!$A$1:$G$1001,6,FALSE)</f>
        <v>własność</v>
      </c>
    </row>
    <row r="592" spans="1:7" x14ac:dyDescent="0.3">
      <c r="A592" s="34">
        <v>591</v>
      </c>
      <c r="B592" s="34">
        <v>352</v>
      </c>
      <c r="C592" s="34">
        <v>9</v>
      </c>
      <c r="D592" s="34">
        <v>959</v>
      </c>
      <c r="E592" s="34">
        <v>29</v>
      </c>
      <c r="F592" s="34" t="s">
        <v>57</v>
      </c>
      <c r="G592" s="34" t="str">
        <f>VLOOKUP(B592,Dane!$A$1:$G$1001,6,FALSE)</f>
        <v>własność</v>
      </c>
    </row>
    <row r="593" spans="1:7" x14ac:dyDescent="0.3">
      <c r="A593" s="34">
        <v>592</v>
      </c>
      <c r="B593" s="34">
        <v>954</v>
      </c>
      <c r="C593" s="34">
        <v>36</v>
      </c>
      <c r="D593" s="34">
        <v>10974</v>
      </c>
      <c r="E593" s="34">
        <v>26</v>
      </c>
      <c r="F593" s="34" t="s">
        <v>57</v>
      </c>
      <c r="G593" s="34" t="str">
        <f>VLOOKUP(B593,Dane!$A$1:$G$1001,6,FALSE)</f>
        <v>własność</v>
      </c>
    </row>
    <row r="594" spans="1:7" x14ac:dyDescent="0.3">
      <c r="A594" s="34">
        <v>593</v>
      </c>
      <c r="B594" s="34">
        <v>975</v>
      </c>
      <c r="C594" s="34">
        <v>30</v>
      </c>
      <c r="D594" s="34">
        <v>2831</v>
      </c>
      <c r="E594" s="34">
        <v>33</v>
      </c>
      <c r="F594" s="34" t="s">
        <v>56</v>
      </c>
      <c r="G594" s="34" t="str">
        <f>VLOOKUP(B594,Dane!$A$1:$G$1001,6,FALSE)</f>
        <v>własność</v>
      </c>
    </row>
    <row r="595" spans="1:7" x14ac:dyDescent="0.3">
      <c r="A595" s="34">
        <v>594</v>
      </c>
      <c r="B595" s="34">
        <v>156</v>
      </c>
      <c r="C595" s="34">
        <v>12</v>
      </c>
      <c r="D595" s="34">
        <v>1282</v>
      </c>
      <c r="E595" s="34">
        <v>20</v>
      </c>
      <c r="F595" s="34" t="s">
        <v>57</v>
      </c>
      <c r="G595" s="34" t="str">
        <f>VLOOKUP(B595,Dane!$A$1:$G$1001,6,FALSE)</f>
        <v>wynajem</v>
      </c>
    </row>
    <row r="596" spans="1:7" x14ac:dyDescent="0.3">
      <c r="A596" s="34">
        <v>595</v>
      </c>
      <c r="B596" s="34">
        <v>341</v>
      </c>
      <c r="C596" s="34">
        <v>24</v>
      </c>
      <c r="D596" s="34">
        <v>5743</v>
      </c>
      <c r="E596" s="34">
        <v>24</v>
      </c>
      <c r="F596" s="34" t="s">
        <v>56</v>
      </c>
      <c r="G596" s="34" t="str">
        <f>VLOOKUP(B596,Dane!$A$1:$G$1001,6,FALSE)</f>
        <v>za darmo</v>
      </c>
    </row>
    <row r="597" spans="1:7" x14ac:dyDescent="0.3">
      <c r="A597" s="34">
        <v>596</v>
      </c>
      <c r="B597" s="34">
        <v>215</v>
      </c>
      <c r="C597" s="34">
        <v>36</v>
      </c>
      <c r="D597" s="34">
        <v>3342</v>
      </c>
      <c r="E597" s="34">
        <v>51</v>
      </c>
      <c r="F597" s="34" t="s">
        <v>54</v>
      </c>
      <c r="G597" s="34" t="str">
        <f>VLOOKUP(B597,Dane!$A$1:$G$1001,6,FALSE)</f>
        <v>własność</v>
      </c>
    </row>
    <row r="598" spans="1:7" x14ac:dyDescent="0.3">
      <c r="A598" s="34">
        <v>597</v>
      </c>
      <c r="B598" s="34">
        <v>270</v>
      </c>
      <c r="C598" s="34">
        <v>24</v>
      </c>
      <c r="D598" s="34">
        <v>999</v>
      </c>
      <c r="E598" s="34">
        <v>25</v>
      </c>
      <c r="F598" s="34" t="s">
        <v>54</v>
      </c>
      <c r="G598" s="34" t="str">
        <f>VLOOKUP(B598,Dane!$A$1:$G$1001,6,FALSE)</f>
        <v>własność</v>
      </c>
    </row>
    <row r="599" spans="1:7" x14ac:dyDescent="0.3">
      <c r="A599" s="34">
        <v>598</v>
      </c>
      <c r="B599" s="34">
        <v>55</v>
      </c>
      <c r="C599" s="34">
        <v>36</v>
      </c>
      <c r="D599" s="34">
        <v>2225</v>
      </c>
      <c r="E599" s="34">
        <v>57</v>
      </c>
      <c r="F599" s="34" t="s">
        <v>55</v>
      </c>
      <c r="G599" s="34" t="str">
        <f>VLOOKUP(B599,Dane!$A$1:$G$1001,6,FALSE)</f>
        <v>za darmo</v>
      </c>
    </row>
    <row r="600" spans="1:7" x14ac:dyDescent="0.3">
      <c r="A600" s="34">
        <v>599</v>
      </c>
      <c r="B600" s="34">
        <v>971</v>
      </c>
      <c r="C600" s="34">
        <v>15</v>
      </c>
      <c r="D600" s="34">
        <v>1514</v>
      </c>
      <c r="E600" s="34">
        <v>22</v>
      </c>
      <c r="F600" s="34" t="s">
        <v>54</v>
      </c>
      <c r="G600" s="34" t="str">
        <f>VLOOKUP(B600,Dane!$A$1:$G$1001,6,FALSE)</f>
        <v>własność</v>
      </c>
    </row>
    <row r="601" spans="1:7" x14ac:dyDescent="0.3">
      <c r="A601" s="34">
        <v>600</v>
      </c>
      <c r="B601" s="34">
        <v>551</v>
      </c>
      <c r="C601" s="34">
        <v>12</v>
      </c>
      <c r="D601" s="34">
        <v>996</v>
      </c>
      <c r="E601" s="34">
        <v>23</v>
      </c>
      <c r="F601" s="34" t="s">
        <v>56</v>
      </c>
      <c r="G601" s="34" t="str">
        <f>VLOOKUP(B601,Dane!$A$1:$G$1001,6,FALSE)</f>
        <v>własność</v>
      </c>
    </row>
    <row r="602" spans="1:7" x14ac:dyDescent="0.3">
      <c r="A602" s="34">
        <v>601</v>
      </c>
      <c r="B602" s="34">
        <v>177</v>
      </c>
      <c r="C602" s="34">
        <v>12</v>
      </c>
      <c r="D602" s="34">
        <v>2577</v>
      </c>
      <c r="E602" s="34">
        <v>42</v>
      </c>
      <c r="F602" s="34" t="s">
        <v>54</v>
      </c>
      <c r="G602" s="34" t="str">
        <f>VLOOKUP(B602,Dane!$A$1:$G$1001,6,FALSE)</f>
        <v>własność</v>
      </c>
    </row>
    <row r="603" spans="1:7" x14ac:dyDescent="0.3">
      <c r="A603" s="34">
        <v>602</v>
      </c>
      <c r="B603" s="34">
        <v>456</v>
      </c>
      <c r="C603" s="34">
        <v>24</v>
      </c>
      <c r="D603" s="34">
        <v>2679</v>
      </c>
      <c r="E603" s="34">
        <v>29</v>
      </c>
      <c r="F603" s="34" t="s">
        <v>56</v>
      </c>
      <c r="G603" s="34" t="str">
        <f>VLOOKUP(B603,Dane!$A$1:$G$1001,6,FALSE)</f>
        <v>własność</v>
      </c>
    </row>
    <row r="604" spans="1:7" x14ac:dyDescent="0.3">
      <c r="A604" s="34">
        <v>603</v>
      </c>
      <c r="B604" s="34">
        <v>335</v>
      </c>
      <c r="C604" s="34">
        <v>24</v>
      </c>
      <c r="D604" s="34">
        <v>4110</v>
      </c>
      <c r="E604" s="34">
        <v>23</v>
      </c>
      <c r="F604" s="34" t="s">
        <v>55</v>
      </c>
      <c r="G604" s="34" t="str">
        <f>VLOOKUP(B604,Dane!$A$1:$G$1001,6,FALSE)</f>
        <v>wynajem</v>
      </c>
    </row>
    <row r="605" spans="1:7" x14ac:dyDescent="0.3">
      <c r="A605" s="34">
        <v>604</v>
      </c>
      <c r="B605" s="34">
        <v>643</v>
      </c>
      <c r="C605" s="34">
        <v>15</v>
      </c>
      <c r="D605" s="34">
        <v>4623</v>
      </c>
      <c r="E605" s="34">
        <v>40</v>
      </c>
      <c r="F605" s="34" t="s">
        <v>55</v>
      </c>
      <c r="G605" s="34" t="str">
        <f>VLOOKUP(B605,Dane!$A$1:$G$1001,6,FALSE)</f>
        <v>własność</v>
      </c>
    </row>
    <row r="606" spans="1:7" x14ac:dyDescent="0.3">
      <c r="A606" s="34">
        <v>605</v>
      </c>
      <c r="B606" s="34">
        <v>355</v>
      </c>
      <c r="C606" s="34">
        <v>10</v>
      </c>
      <c r="D606" s="34">
        <v>727</v>
      </c>
      <c r="E606" s="34">
        <v>46</v>
      </c>
      <c r="F606" s="34" t="s">
        <v>54</v>
      </c>
      <c r="G606" s="34" t="str">
        <f>VLOOKUP(B606,Dane!$A$1:$G$1001,6,FALSE)</f>
        <v>za darmo</v>
      </c>
    </row>
    <row r="607" spans="1:7" x14ac:dyDescent="0.3">
      <c r="A607" s="34">
        <v>606</v>
      </c>
      <c r="B607" s="34">
        <v>223</v>
      </c>
      <c r="C607" s="34">
        <v>12</v>
      </c>
      <c r="D607" s="34">
        <v>707</v>
      </c>
      <c r="E607" s="34">
        <v>30</v>
      </c>
      <c r="F607" s="34" t="s">
        <v>54</v>
      </c>
      <c r="G607" s="34" t="str">
        <f>VLOOKUP(B607,Dane!$A$1:$G$1001,6,FALSE)</f>
        <v>własność</v>
      </c>
    </row>
    <row r="608" spans="1:7" x14ac:dyDescent="0.3">
      <c r="A608" s="34">
        <v>607</v>
      </c>
      <c r="B608" s="34">
        <v>783</v>
      </c>
      <c r="C608" s="34">
        <v>12</v>
      </c>
      <c r="D608" s="34">
        <v>1410</v>
      </c>
      <c r="E608" s="34">
        <v>31</v>
      </c>
      <c r="F608" s="34" t="s">
        <v>54</v>
      </c>
      <c r="G608" s="34" t="str">
        <f>VLOOKUP(B608,Dane!$A$1:$G$1001,6,FALSE)</f>
        <v>własność</v>
      </c>
    </row>
    <row r="609" spans="1:7" x14ac:dyDescent="0.3">
      <c r="A609" s="34">
        <v>608</v>
      </c>
      <c r="B609" s="34">
        <v>628</v>
      </c>
      <c r="C609" s="34">
        <v>9</v>
      </c>
      <c r="D609" s="34">
        <v>1437</v>
      </c>
      <c r="E609" s="34">
        <v>29</v>
      </c>
      <c r="F609" s="34" t="s">
        <v>55</v>
      </c>
      <c r="G609" s="34" t="str">
        <f>VLOOKUP(B609,Dane!$A$1:$G$1001,6,FALSE)</f>
        <v>własność</v>
      </c>
    </row>
    <row r="610" spans="1:7" x14ac:dyDescent="0.3">
      <c r="A610" s="34">
        <v>609</v>
      </c>
      <c r="B610" s="34">
        <v>692</v>
      </c>
      <c r="C610" s="34">
        <v>15</v>
      </c>
      <c r="D610" s="34">
        <v>2631</v>
      </c>
      <c r="E610" s="34">
        <v>25</v>
      </c>
      <c r="F610" s="34" t="s">
        <v>56</v>
      </c>
      <c r="G610" s="34" t="str">
        <f>VLOOKUP(B610,Dane!$A$1:$G$1001,6,FALSE)</f>
        <v>własność</v>
      </c>
    </row>
    <row r="611" spans="1:7" x14ac:dyDescent="0.3">
      <c r="A611" s="34">
        <v>610</v>
      </c>
      <c r="B611" s="34">
        <v>616</v>
      </c>
      <c r="C611" s="34">
        <v>48</v>
      </c>
      <c r="D611" s="34">
        <v>12204</v>
      </c>
      <c r="E611" s="34">
        <v>48</v>
      </c>
      <c r="F611" s="34" t="s">
        <v>54</v>
      </c>
      <c r="G611" s="34" t="str">
        <f>VLOOKUP(B611,Dane!$A$1:$G$1001,6,FALSE)</f>
        <v>własność</v>
      </c>
    </row>
    <row r="612" spans="1:7" x14ac:dyDescent="0.3">
      <c r="A612" s="34">
        <v>611</v>
      </c>
      <c r="B612" s="34">
        <v>824</v>
      </c>
      <c r="C612" s="34">
        <v>8</v>
      </c>
      <c r="D612" s="34">
        <v>731</v>
      </c>
      <c r="E612" s="34">
        <v>47</v>
      </c>
      <c r="F612" s="34" t="s">
        <v>54</v>
      </c>
      <c r="G612" s="34" t="str">
        <f>VLOOKUP(B612,Dane!$A$1:$G$1001,6,FALSE)</f>
        <v>własność</v>
      </c>
    </row>
    <row r="613" spans="1:7" x14ac:dyDescent="0.3">
      <c r="A613" s="34">
        <v>612</v>
      </c>
      <c r="B613" s="34">
        <v>738</v>
      </c>
      <c r="C613" s="34">
        <v>18</v>
      </c>
      <c r="D613" s="34">
        <v>4380</v>
      </c>
      <c r="E613" s="34">
        <v>35</v>
      </c>
      <c r="F613" s="34" t="s">
        <v>54</v>
      </c>
      <c r="G613" s="34" t="str">
        <f>VLOOKUP(B613,Dane!$A$1:$G$1001,6,FALSE)</f>
        <v>własność</v>
      </c>
    </row>
    <row r="614" spans="1:7" x14ac:dyDescent="0.3">
      <c r="A614" s="34">
        <v>613</v>
      </c>
      <c r="B614" s="34">
        <v>545</v>
      </c>
      <c r="C614" s="34">
        <v>12</v>
      </c>
      <c r="D614" s="34">
        <v>1255</v>
      </c>
      <c r="E614" s="34">
        <v>61</v>
      </c>
      <c r="F614" s="34" t="s">
        <v>54</v>
      </c>
      <c r="G614" s="34" t="str">
        <f>VLOOKUP(B614,Dane!$A$1:$G$1001,6,FALSE)</f>
        <v>własność</v>
      </c>
    </row>
    <row r="615" spans="1:7" x14ac:dyDescent="0.3">
      <c r="A615" s="34">
        <v>614</v>
      </c>
      <c r="B615" s="34">
        <v>104</v>
      </c>
      <c r="C615" s="34">
        <v>9</v>
      </c>
      <c r="D615" s="34">
        <v>1919</v>
      </c>
      <c r="E615" s="34">
        <v>35</v>
      </c>
      <c r="F615" s="34" t="s">
        <v>54</v>
      </c>
      <c r="G615" s="34" t="str">
        <f>VLOOKUP(B615,Dane!$A$1:$G$1001,6,FALSE)</f>
        <v>wynajem</v>
      </c>
    </row>
    <row r="616" spans="1:7" x14ac:dyDescent="0.3">
      <c r="A616" s="34">
        <v>615</v>
      </c>
      <c r="B616" s="34">
        <v>929</v>
      </c>
      <c r="C616" s="34">
        <v>30</v>
      </c>
      <c r="D616" s="34">
        <v>1867</v>
      </c>
      <c r="E616" s="34">
        <v>58</v>
      </c>
      <c r="F616" s="34" t="s">
        <v>54</v>
      </c>
      <c r="G616" s="34" t="str">
        <f>VLOOKUP(B616,Dane!$A$1:$G$1001,6,FALSE)</f>
        <v>własność</v>
      </c>
    </row>
    <row r="617" spans="1:7" x14ac:dyDescent="0.3">
      <c r="A617" s="34">
        <v>616</v>
      </c>
      <c r="B617" s="34">
        <v>89</v>
      </c>
      <c r="C617" s="34">
        <v>18</v>
      </c>
      <c r="D617" s="34">
        <v>2249</v>
      </c>
      <c r="E617" s="34">
        <v>30</v>
      </c>
      <c r="F617" s="34" t="s">
        <v>54</v>
      </c>
      <c r="G617" s="34" t="str">
        <f>VLOOKUP(B617,Dane!$A$1:$G$1001,6,FALSE)</f>
        <v>własność</v>
      </c>
    </row>
    <row r="618" spans="1:7" x14ac:dyDescent="0.3">
      <c r="A618" s="34">
        <v>617</v>
      </c>
      <c r="B618" s="34">
        <v>575</v>
      </c>
      <c r="C618" s="34">
        <v>9</v>
      </c>
      <c r="D618" s="34">
        <v>1082</v>
      </c>
      <c r="E618" s="34">
        <v>27</v>
      </c>
      <c r="F618" s="34" t="s">
        <v>54</v>
      </c>
      <c r="G618" s="34" t="str">
        <f>VLOOKUP(B618,Dane!$A$1:$G$1001,6,FALSE)</f>
        <v>własność</v>
      </c>
    </row>
    <row r="619" spans="1:7" x14ac:dyDescent="0.3">
      <c r="A619" s="34">
        <v>618</v>
      </c>
      <c r="B619" s="34">
        <v>554</v>
      </c>
      <c r="C619" s="34">
        <v>12</v>
      </c>
      <c r="D619" s="34">
        <v>1995</v>
      </c>
      <c r="E619" s="34">
        <v>27</v>
      </c>
      <c r="F619" s="34" t="s">
        <v>54</v>
      </c>
      <c r="G619" s="34" t="str">
        <f>VLOOKUP(B619,Dane!$A$1:$G$1001,6,FALSE)</f>
        <v>własność</v>
      </c>
    </row>
    <row r="620" spans="1:7" x14ac:dyDescent="0.3">
      <c r="A620" s="34">
        <v>619</v>
      </c>
      <c r="B620" s="34">
        <v>877</v>
      </c>
      <c r="C620" s="34">
        <v>18</v>
      </c>
      <c r="D620" s="34">
        <v>1940</v>
      </c>
      <c r="E620" s="34">
        <v>36</v>
      </c>
      <c r="F620" s="34" t="s">
        <v>54</v>
      </c>
      <c r="G620" s="34" t="str">
        <f>VLOOKUP(B620,Dane!$A$1:$G$1001,6,FALSE)</f>
        <v>za darmo</v>
      </c>
    </row>
    <row r="621" spans="1:7" x14ac:dyDescent="0.3">
      <c r="A621" s="34">
        <v>620</v>
      </c>
      <c r="B621" s="34">
        <v>907</v>
      </c>
      <c r="C621" s="34">
        <v>21</v>
      </c>
      <c r="D621" s="34">
        <v>3763</v>
      </c>
      <c r="E621" s="34">
        <v>24</v>
      </c>
      <c r="F621" s="34" t="s">
        <v>54</v>
      </c>
      <c r="G621" s="34" t="str">
        <f>VLOOKUP(B621,Dane!$A$1:$G$1001,6,FALSE)</f>
        <v>własność</v>
      </c>
    </row>
    <row r="622" spans="1:7" x14ac:dyDescent="0.3">
      <c r="A622" s="34">
        <v>621</v>
      </c>
      <c r="B622" s="34">
        <v>210</v>
      </c>
      <c r="C622" s="34">
        <v>12</v>
      </c>
      <c r="D622" s="34">
        <v>1413</v>
      </c>
      <c r="E622" s="34">
        <v>55</v>
      </c>
      <c r="F622" s="34" t="s">
        <v>54</v>
      </c>
      <c r="G622" s="34" t="str">
        <f>VLOOKUP(B622,Dane!$A$1:$G$1001,6,FALSE)</f>
        <v>własność</v>
      </c>
    </row>
    <row r="623" spans="1:7" x14ac:dyDescent="0.3">
      <c r="A623" s="34">
        <v>622</v>
      </c>
      <c r="B623" s="34">
        <v>401</v>
      </c>
      <c r="C623" s="34">
        <v>18</v>
      </c>
      <c r="D623" s="34">
        <v>1473</v>
      </c>
      <c r="E623" s="34">
        <v>39</v>
      </c>
      <c r="F623" s="34" t="s">
        <v>54</v>
      </c>
      <c r="G623" s="34" t="str">
        <f>VLOOKUP(B623,Dane!$A$1:$G$1001,6,FALSE)</f>
        <v>własność</v>
      </c>
    </row>
    <row r="624" spans="1:7" x14ac:dyDescent="0.3">
      <c r="A624" s="34">
        <v>623</v>
      </c>
      <c r="B624" s="34">
        <v>754</v>
      </c>
      <c r="C624" s="34">
        <v>30</v>
      </c>
      <c r="D624" s="34">
        <v>5771</v>
      </c>
      <c r="E624" s="34">
        <v>25</v>
      </c>
      <c r="F624" s="34" t="s">
        <v>56</v>
      </c>
      <c r="G624" s="34" t="str">
        <f>VLOOKUP(B624,Dane!$A$1:$G$1001,6,FALSE)</f>
        <v>własność</v>
      </c>
    </row>
    <row r="625" spans="1:7" x14ac:dyDescent="0.3">
      <c r="A625" s="34">
        <v>624</v>
      </c>
      <c r="B625" s="34">
        <v>923</v>
      </c>
      <c r="C625" s="34">
        <v>9</v>
      </c>
      <c r="D625" s="34">
        <v>1366</v>
      </c>
      <c r="E625" s="34">
        <v>22</v>
      </c>
      <c r="F625" s="34" t="s">
        <v>57</v>
      </c>
      <c r="G625" s="34" t="str">
        <f>VLOOKUP(B625,Dane!$A$1:$G$1001,6,FALSE)</f>
        <v>wynajem</v>
      </c>
    </row>
    <row r="626" spans="1:7" x14ac:dyDescent="0.3">
      <c r="A626" s="34">
        <v>625</v>
      </c>
      <c r="B626" s="34">
        <v>420</v>
      </c>
      <c r="C626" s="34">
        <v>18</v>
      </c>
      <c r="D626" s="34">
        <v>1042</v>
      </c>
      <c r="E626" s="34">
        <v>33</v>
      </c>
      <c r="F626" s="34" t="s">
        <v>57</v>
      </c>
      <c r="G626" s="34" t="str">
        <f>VLOOKUP(B626,Dane!$A$1:$G$1001,6,FALSE)</f>
        <v>własność</v>
      </c>
    </row>
    <row r="627" spans="1:7" x14ac:dyDescent="0.3">
      <c r="A627" s="34">
        <v>626</v>
      </c>
      <c r="B627" s="34">
        <v>610</v>
      </c>
      <c r="C627" s="34">
        <v>15</v>
      </c>
      <c r="D627" s="34">
        <v>1300</v>
      </c>
      <c r="E627" s="34">
        <v>45</v>
      </c>
      <c r="F627" s="34" t="s">
        <v>54</v>
      </c>
      <c r="G627" s="34" t="str">
        <f>VLOOKUP(B627,Dane!$A$1:$G$1001,6,FALSE)</f>
        <v>za darmo</v>
      </c>
    </row>
    <row r="628" spans="1:7" x14ac:dyDescent="0.3">
      <c r="A628" s="34">
        <v>627</v>
      </c>
      <c r="B628" s="34">
        <v>817</v>
      </c>
      <c r="C628" s="34">
        <v>6</v>
      </c>
      <c r="D628" s="34">
        <v>1338</v>
      </c>
      <c r="E628" s="34">
        <v>62</v>
      </c>
      <c r="F628" s="34" t="s">
        <v>54</v>
      </c>
      <c r="G628" s="34" t="str">
        <f>VLOOKUP(B628,Dane!$A$1:$G$1001,6,FALSE)</f>
        <v>własność</v>
      </c>
    </row>
    <row r="629" spans="1:7" x14ac:dyDescent="0.3">
      <c r="A629" s="34">
        <v>628</v>
      </c>
      <c r="B629" s="34">
        <v>109</v>
      </c>
      <c r="C629" s="34">
        <v>24</v>
      </c>
      <c r="D629" s="34">
        <v>7721</v>
      </c>
      <c r="E629" s="34">
        <v>30</v>
      </c>
      <c r="F629" s="34" t="s">
        <v>56</v>
      </c>
      <c r="G629" s="34" t="str">
        <f>VLOOKUP(B629,Dane!$A$1:$G$1001,6,FALSE)</f>
        <v>własność</v>
      </c>
    </row>
    <row r="630" spans="1:7" x14ac:dyDescent="0.3">
      <c r="A630" s="34">
        <v>629</v>
      </c>
      <c r="B630" s="34">
        <v>483</v>
      </c>
      <c r="C630" s="34">
        <v>30</v>
      </c>
      <c r="D630" s="34">
        <v>3622</v>
      </c>
      <c r="E630" s="34">
        <v>57</v>
      </c>
      <c r="F630" s="34" t="s">
        <v>56</v>
      </c>
      <c r="G630" s="34" t="str">
        <f>VLOOKUP(B630,Dane!$A$1:$G$1001,6,FALSE)</f>
        <v>wynajem</v>
      </c>
    </row>
    <row r="631" spans="1:7" x14ac:dyDescent="0.3">
      <c r="A631" s="34">
        <v>630</v>
      </c>
      <c r="B631" s="34">
        <v>770</v>
      </c>
      <c r="C631" s="34">
        <v>12</v>
      </c>
      <c r="D631" s="34">
        <v>1655</v>
      </c>
      <c r="E631" s="34">
        <v>63</v>
      </c>
      <c r="F631" s="34" t="s">
        <v>54</v>
      </c>
      <c r="G631" s="34" t="str">
        <f>VLOOKUP(B631,Dane!$A$1:$G$1001,6,FALSE)</f>
        <v>własność</v>
      </c>
    </row>
    <row r="632" spans="1:7" x14ac:dyDescent="0.3">
      <c r="A632" s="34">
        <v>631</v>
      </c>
      <c r="B632" s="34">
        <v>781</v>
      </c>
      <c r="C632" s="34">
        <v>39</v>
      </c>
      <c r="D632" s="34">
        <v>4933</v>
      </c>
      <c r="E632" s="34">
        <v>25</v>
      </c>
      <c r="F632" s="34" t="s">
        <v>55</v>
      </c>
      <c r="G632" s="34" t="str">
        <f>VLOOKUP(B632,Dane!$A$1:$G$1001,6,FALSE)</f>
        <v>własność</v>
      </c>
    </row>
    <row r="633" spans="1:7" x14ac:dyDescent="0.3">
      <c r="A633" s="34">
        <v>632</v>
      </c>
      <c r="B633" s="34">
        <v>39</v>
      </c>
      <c r="C633" s="34">
        <v>10</v>
      </c>
      <c r="D633" s="34">
        <v>1225</v>
      </c>
      <c r="E633" s="34">
        <v>37</v>
      </c>
      <c r="F633" s="34" t="s">
        <v>54</v>
      </c>
      <c r="G633" s="34" t="str">
        <f>VLOOKUP(B633,Dane!$A$1:$G$1001,6,FALSE)</f>
        <v>własność</v>
      </c>
    </row>
    <row r="634" spans="1:7" x14ac:dyDescent="0.3">
      <c r="A634" s="34">
        <v>633</v>
      </c>
      <c r="B634" s="34">
        <v>622</v>
      </c>
      <c r="C634" s="34">
        <v>18</v>
      </c>
      <c r="D634" s="34">
        <v>1530</v>
      </c>
      <c r="E634" s="34">
        <v>32</v>
      </c>
      <c r="F634" s="34" t="s">
        <v>55</v>
      </c>
      <c r="G634" s="34" t="str">
        <f>VLOOKUP(B634,Dane!$A$1:$G$1001,6,FALSE)</f>
        <v>własność</v>
      </c>
    </row>
    <row r="635" spans="1:7" x14ac:dyDescent="0.3">
      <c r="A635" s="34">
        <v>634</v>
      </c>
      <c r="B635" s="34">
        <v>427</v>
      </c>
      <c r="C635" s="34">
        <v>28</v>
      </c>
      <c r="D635" s="34">
        <v>2743</v>
      </c>
      <c r="E635" s="34">
        <v>29</v>
      </c>
      <c r="F635" s="34" t="s">
        <v>54</v>
      </c>
      <c r="G635" s="34" t="str">
        <f>VLOOKUP(B635,Dane!$A$1:$G$1001,6,FALSE)</f>
        <v>własność</v>
      </c>
    </row>
    <row r="636" spans="1:7" x14ac:dyDescent="0.3">
      <c r="A636" s="34">
        <v>635</v>
      </c>
      <c r="B636" s="34">
        <v>729</v>
      </c>
      <c r="C636" s="34">
        <v>48</v>
      </c>
      <c r="D636" s="34">
        <v>6416</v>
      </c>
      <c r="E636" s="34">
        <v>59</v>
      </c>
      <c r="F636" s="34" t="s">
        <v>57</v>
      </c>
      <c r="G636" s="34" t="str">
        <f>VLOOKUP(B636,Dane!$A$1:$G$1001,6,FALSE)</f>
        <v>wynajem</v>
      </c>
    </row>
    <row r="637" spans="1:7" x14ac:dyDescent="0.3">
      <c r="A637" s="34">
        <v>636</v>
      </c>
      <c r="B637" s="34">
        <v>363</v>
      </c>
      <c r="C637" s="34">
        <v>12</v>
      </c>
      <c r="D637" s="34">
        <v>2247</v>
      </c>
      <c r="E637" s="34">
        <v>36</v>
      </c>
      <c r="F637" s="34" t="s">
        <v>56</v>
      </c>
      <c r="G637" s="34" t="str">
        <f>VLOOKUP(B637,Dane!$A$1:$G$1001,6,FALSE)</f>
        <v>własność</v>
      </c>
    </row>
    <row r="638" spans="1:7" x14ac:dyDescent="0.3">
      <c r="A638" s="34">
        <v>637</v>
      </c>
      <c r="B638" s="34">
        <v>44</v>
      </c>
      <c r="C638" s="34">
        <v>30</v>
      </c>
      <c r="D638" s="34">
        <v>6187</v>
      </c>
      <c r="E638" s="34">
        <v>24</v>
      </c>
      <c r="F638" s="34" t="s">
        <v>54</v>
      </c>
      <c r="G638" s="34" t="str">
        <f>VLOOKUP(B638,Dane!$A$1:$G$1001,6,FALSE)</f>
        <v>wynajem</v>
      </c>
    </row>
    <row r="639" spans="1:7" x14ac:dyDescent="0.3">
      <c r="A639" s="34">
        <v>638</v>
      </c>
      <c r="B639" s="34">
        <v>357</v>
      </c>
      <c r="C639" s="34">
        <v>12</v>
      </c>
      <c r="D639" s="34">
        <v>2331</v>
      </c>
      <c r="E639" s="34">
        <v>49</v>
      </c>
      <c r="F639" s="34" t="s">
        <v>54</v>
      </c>
      <c r="G639" s="34" t="str">
        <f>VLOOKUP(B639,Dane!$A$1:$G$1001,6,FALSE)</f>
        <v>własność</v>
      </c>
    </row>
    <row r="640" spans="1:7" x14ac:dyDescent="0.3">
      <c r="A640" s="34">
        <v>639</v>
      </c>
      <c r="B640" s="34">
        <v>71</v>
      </c>
      <c r="C640" s="34">
        <v>36</v>
      </c>
      <c r="D640" s="34">
        <v>8133</v>
      </c>
      <c r="E640" s="34">
        <v>30</v>
      </c>
      <c r="F640" s="34" t="s">
        <v>56</v>
      </c>
      <c r="G640" s="34" t="str">
        <f>VLOOKUP(B640,Dane!$A$1:$G$1001,6,FALSE)</f>
        <v>własność</v>
      </c>
    </row>
    <row r="641" spans="1:7" x14ac:dyDescent="0.3">
      <c r="A641" s="34">
        <v>640</v>
      </c>
      <c r="B641" s="34">
        <v>657</v>
      </c>
      <c r="C641" s="34">
        <v>12</v>
      </c>
      <c r="D641" s="34">
        <v>888</v>
      </c>
      <c r="E641" s="34">
        <v>41</v>
      </c>
      <c r="F641" s="34" t="s">
        <v>55</v>
      </c>
      <c r="G641" s="34" t="str">
        <f>VLOOKUP(B641,Dane!$A$1:$G$1001,6,FALSE)</f>
        <v>własność</v>
      </c>
    </row>
    <row r="642" spans="1:7" x14ac:dyDescent="0.3">
      <c r="A642" s="34">
        <v>641</v>
      </c>
      <c r="B642" s="34">
        <v>791</v>
      </c>
      <c r="C642" s="34">
        <v>21</v>
      </c>
      <c r="D642" s="34">
        <v>1188</v>
      </c>
      <c r="E642" s="34">
        <v>39</v>
      </c>
      <c r="F642" s="34" t="s">
        <v>57</v>
      </c>
      <c r="G642" s="34" t="str">
        <f>VLOOKUP(B642,Dane!$A$1:$G$1001,6,FALSE)</f>
        <v>własność</v>
      </c>
    </row>
    <row r="643" spans="1:7" x14ac:dyDescent="0.3">
      <c r="A643" s="34">
        <v>642</v>
      </c>
      <c r="B643" s="34">
        <v>25</v>
      </c>
      <c r="C643" s="34">
        <v>10</v>
      </c>
      <c r="D643" s="34">
        <v>2069</v>
      </c>
      <c r="E643" s="34">
        <v>26</v>
      </c>
      <c r="F643" s="34" t="s">
        <v>54</v>
      </c>
      <c r="G643" s="34" t="str">
        <f>VLOOKUP(B643,Dane!$A$1:$G$1001,6,FALSE)</f>
        <v>własność</v>
      </c>
    </row>
    <row r="644" spans="1:7" x14ac:dyDescent="0.3">
      <c r="A644" s="34">
        <v>643</v>
      </c>
      <c r="B644" s="34">
        <v>512</v>
      </c>
      <c r="C644" s="34">
        <v>36</v>
      </c>
      <c r="D644" s="34">
        <v>4686</v>
      </c>
      <c r="E644" s="34">
        <v>32</v>
      </c>
      <c r="F644" s="34" t="s">
        <v>54</v>
      </c>
      <c r="G644" s="34" t="str">
        <f>VLOOKUP(B644,Dane!$A$1:$G$1001,6,FALSE)</f>
        <v>za darmo</v>
      </c>
    </row>
    <row r="645" spans="1:7" x14ac:dyDescent="0.3">
      <c r="A645" s="34">
        <v>644</v>
      </c>
      <c r="B645" s="34">
        <v>342</v>
      </c>
      <c r="C645" s="34">
        <v>21</v>
      </c>
      <c r="D645" s="34">
        <v>3599</v>
      </c>
      <c r="E645" s="34">
        <v>26</v>
      </c>
      <c r="F645" s="34" t="s">
        <v>56</v>
      </c>
      <c r="G645" s="34" t="str">
        <f>VLOOKUP(B645,Dane!$A$1:$G$1001,6,FALSE)</f>
        <v>wynajem</v>
      </c>
    </row>
    <row r="646" spans="1:7" x14ac:dyDescent="0.3">
      <c r="A646" s="34">
        <v>645</v>
      </c>
      <c r="B646" s="34">
        <v>324</v>
      </c>
      <c r="C646" s="34">
        <v>18</v>
      </c>
      <c r="D646" s="34">
        <v>2659</v>
      </c>
      <c r="E646" s="34">
        <v>28</v>
      </c>
      <c r="F646" s="34" t="s">
        <v>54</v>
      </c>
      <c r="G646" s="34" t="str">
        <f>VLOOKUP(B646,Dane!$A$1:$G$1001,6,FALSE)</f>
        <v>własność</v>
      </c>
    </row>
    <row r="647" spans="1:7" x14ac:dyDescent="0.3">
      <c r="A647" s="34">
        <v>646</v>
      </c>
      <c r="B647" s="34">
        <v>759</v>
      </c>
      <c r="C647" s="34">
        <v>24</v>
      </c>
      <c r="D647" s="34">
        <v>1393</v>
      </c>
      <c r="E647" s="34">
        <v>31</v>
      </c>
      <c r="F647" s="34" t="s">
        <v>54</v>
      </c>
      <c r="G647" s="34" t="str">
        <f>VLOOKUP(B647,Dane!$A$1:$G$1001,6,FALSE)</f>
        <v>własność</v>
      </c>
    </row>
    <row r="648" spans="1:7" x14ac:dyDescent="0.3">
      <c r="A648" s="34">
        <v>647</v>
      </c>
      <c r="B648" s="34">
        <v>218</v>
      </c>
      <c r="C648" s="34">
        <v>36</v>
      </c>
      <c r="D648" s="34">
        <v>3913</v>
      </c>
      <c r="E648" s="34">
        <v>23</v>
      </c>
      <c r="F648" s="34" t="s">
        <v>54</v>
      </c>
      <c r="G648" s="34" t="str">
        <f>VLOOKUP(B648,Dane!$A$1:$G$1001,6,FALSE)</f>
        <v>własność</v>
      </c>
    </row>
    <row r="649" spans="1:7" x14ac:dyDescent="0.3">
      <c r="A649" s="34">
        <v>648</v>
      </c>
      <c r="B649" s="34">
        <v>495</v>
      </c>
      <c r="C649" s="34">
        <v>12</v>
      </c>
      <c r="D649" s="34">
        <v>2122</v>
      </c>
      <c r="E649" s="34">
        <v>39</v>
      </c>
      <c r="F649" s="34" t="s">
        <v>54</v>
      </c>
      <c r="G649" s="34" t="str">
        <f>VLOOKUP(B649,Dane!$A$1:$G$1001,6,FALSE)</f>
        <v>wynajem</v>
      </c>
    </row>
    <row r="650" spans="1:7" x14ac:dyDescent="0.3">
      <c r="A650" s="34">
        <v>649</v>
      </c>
      <c r="B650" s="34">
        <v>709</v>
      </c>
      <c r="C650" s="34">
        <v>9</v>
      </c>
      <c r="D650" s="34">
        <v>1206</v>
      </c>
      <c r="E650" s="34">
        <v>25</v>
      </c>
      <c r="F650" s="34" t="s">
        <v>56</v>
      </c>
      <c r="G650" s="34" t="str">
        <f>VLOOKUP(B650,Dane!$A$1:$G$1001,6,FALSE)</f>
        <v>własność</v>
      </c>
    </row>
    <row r="651" spans="1:7" x14ac:dyDescent="0.3">
      <c r="A651" s="34">
        <v>650</v>
      </c>
      <c r="B651" s="34">
        <v>100</v>
      </c>
      <c r="C651" s="34">
        <v>20</v>
      </c>
      <c r="D651" s="34">
        <v>7057</v>
      </c>
      <c r="E651" s="34">
        <v>36</v>
      </c>
      <c r="F651" s="34" t="s">
        <v>54</v>
      </c>
      <c r="G651" s="34" t="str">
        <f>VLOOKUP(B651,Dane!$A$1:$G$1001,6,FALSE)</f>
        <v>wynajem</v>
      </c>
    </row>
    <row r="652" spans="1:7" x14ac:dyDescent="0.3">
      <c r="A652" s="34">
        <v>651</v>
      </c>
      <c r="B652" s="34">
        <v>450</v>
      </c>
      <c r="C652" s="34">
        <v>15</v>
      </c>
      <c r="D652" s="34">
        <v>1512</v>
      </c>
      <c r="E652" s="34">
        <v>61</v>
      </c>
      <c r="F652" s="34" t="s">
        <v>55</v>
      </c>
      <c r="G652" s="34" t="str">
        <f>VLOOKUP(B652,Dane!$A$1:$G$1001,6,FALSE)</f>
        <v>własność</v>
      </c>
    </row>
    <row r="653" spans="1:7" x14ac:dyDescent="0.3">
      <c r="A653" s="34">
        <v>652</v>
      </c>
      <c r="B653" s="34">
        <v>849</v>
      </c>
      <c r="C653" s="34">
        <v>9</v>
      </c>
      <c r="D653" s="34">
        <v>1364</v>
      </c>
      <c r="E653" s="34">
        <v>59</v>
      </c>
      <c r="F653" s="34" t="s">
        <v>54</v>
      </c>
      <c r="G653" s="34" t="str">
        <f>VLOOKUP(B653,Dane!$A$1:$G$1001,6,FALSE)</f>
        <v>własność</v>
      </c>
    </row>
    <row r="654" spans="1:7" x14ac:dyDescent="0.3">
      <c r="A654" s="34">
        <v>653</v>
      </c>
      <c r="B654" s="34">
        <v>302</v>
      </c>
      <c r="C654" s="34">
        <v>36</v>
      </c>
      <c r="D654" s="34">
        <v>3804</v>
      </c>
      <c r="E654" s="34">
        <v>42</v>
      </c>
      <c r="F654" s="34" t="s">
        <v>57</v>
      </c>
      <c r="G654" s="34" t="str">
        <f>VLOOKUP(B654,Dane!$A$1:$G$1001,6,FALSE)</f>
        <v>własność</v>
      </c>
    </row>
    <row r="655" spans="1:7" x14ac:dyDescent="0.3">
      <c r="A655" s="34">
        <v>654</v>
      </c>
      <c r="B655" s="34">
        <v>858</v>
      </c>
      <c r="C655" s="34">
        <v>15</v>
      </c>
      <c r="D655" s="34">
        <v>3343</v>
      </c>
      <c r="E655" s="34">
        <v>28</v>
      </c>
      <c r="F655" s="34" t="s">
        <v>54</v>
      </c>
      <c r="G655" s="34" t="str">
        <f>VLOOKUP(B655,Dane!$A$1:$G$1001,6,FALSE)</f>
        <v>za darmo</v>
      </c>
    </row>
    <row r="656" spans="1:7" x14ac:dyDescent="0.3">
      <c r="A656" s="34">
        <v>655</v>
      </c>
      <c r="B656" s="34">
        <v>449</v>
      </c>
      <c r="C656" s="34">
        <v>12</v>
      </c>
      <c r="D656" s="34">
        <v>1424</v>
      </c>
      <c r="E656" s="34">
        <v>55</v>
      </c>
      <c r="F656" s="34" t="s">
        <v>56</v>
      </c>
      <c r="G656" s="34" t="str">
        <f>VLOOKUP(B656,Dane!$A$1:$G$1001,6,FALSE)</f>
        <v>własność</v>
      </c>
    </row>
    <row r="657" spans="1:7" x14ac:dyDescent="0.3">
      <c r="A657" s="34">
        <v>656</v>
      </c>
      <c r="B657" s="34">
        <v>266</v>
      </c>
      <c r="C657" s="34">
        <v>15</v>
      </c>
      <c r="D657" s="34">
        <v>802</v>
      </c>
      <c r="E657" s="34">
        <v>37</v>
      </c>
      <c r="F657" s="34" t="s">
        <v>55</v>
      </c>
      <c r="G657" s="34" t="str">
        <f>VLOOKUP(B657,Dane!$A$1:$G$1001,6,FALSE)</f>
        <v>własność</v>
      </c>
    </row>
    <row r="658" spans="1:7" x14ac:dyDescent="0.3">
      <c r="A658" s="34">
        <v>657</v>
      </c>
      <c r="B658" s="34">
        <v>234</v>
      </c>
      <c r="C658" s="34">
        <v>18</v>
      </c>
      <c r="D658" s="34">
        <v>866</v>
      </c>
      <c r="E658" s="34">
        <v>25</v>
      </c>
      <c r="F658" s="34" t="s">
        <v>54</v>
      </c>
      <c r="G658" s="34" t="str">
        <f>VLOOKUP(B658,Dane!$A$1:$G$1001,6,FALSE)</f>
        <v>własność</v>
      </c>
    </row>
    <row r="659" spans="1:7" x14ac:dyDescent="0.3">
      <c r="A659" s="34">
        <v>658</v>
      </c>
      <c r="B659" s="34">
        <v>386</v>
      </c>
      <c r="C659" s="34">
        <v>18</v>
      </c>
      <c r="D659" s="34">
        <v>2238</v>
      </c>
      <c r="E659" s="34">
        <v>25</v>
      </c>
      <c r="F659" s="34" t="s">
        <v>56</v>
      </c>
      <c r="G659" s="34" t="str">
        <f>VLOOKUP(B659,Dane!$A$1:$G$1001,6,FALSE)</f>
        <v>własność</v>
      </c>
    </row>
    <row r="660" spans="1:7" x14ac:dyDescent="0.3">
      <c r="A660" s="34">
        <v>659</v>
      </c>
      <c r="B660" s="34">
        <v>15</v>
      </c>
      <c r="C660" s="34">
        <v>15</v>
      </c>
      <c r="D660" s="34">
        <v>1403</v>
      </c>
      <c r="E660" s="34">
        <v>28</v>
      </c>
      <c r="F660" s="34" t="s">
        <v>56</v>
      </c>
      <c r="G660" s="34" t="str">
        <f>VLOOKUP(B660,Dane!$A$1:$G$1001,6,FALSE)</f>
        <v>wynajem</v>
      </c>
    </row>
    <row r="661" spans="1:7" x14ac:dyDescent="0.3">
      <c r="A661" s="34">
        <v>660</v>
      </c>
      <c r="B661" s="34">
        <v>202</v>
      </c>
      <c r="C661" s="34">
        <v>12</v>
      </c>
      <c r="D661" s="34">
        <v>1168</v>
      </c>
      <c r="E661" s="34">
        <v>27</v>
      </c>
      <c r="F661" s="34" t="s">
        <v>54</v>
      </c>
      <c r="G661" s="34" t="str">
        <f>VLOOKUP(B661,Dane!$A$1:$G$1001,6,FALSE)</f>
        <v>własność</v>
      </c>
    </row>
    <row r="662" spans="1:7" x14ac:dyDescent="0.3">
      <c r="A662" s="34">
        <v>661</v>
      </c>
      <c r="B662" s="34">
        <v>222</v>
      </c>
      <c r="C662" s="34">
        <v>12</v>
      </c>
      <c r="D662" s="34">
        <v>1200</v>
      </c>
      <c r="E662" s="34">
        <v>23</v>
      </c>
      <c r="F662" s="34" t="s">
        <v>56</v>
      </c>
      <c r="G662" s="34" t="str">
        <f>VLOOKUP(B662,Dane!$A$1:$G$1001,6,FALSE)</f>
        <v>wynajem</v>
      </c>
    </row>
    <row r="663" spans="1:7" x14ac:dyDescent="0.3">
      <c r="A663" s="34">
        <v>662</v>
      </c>
      <c r="B663" s="34">
        <v>454</v>
      </c>
      <c r="C663" s="34">
        <v>24</v>
      </c>
      <c r="D663" s="34">
        <v>2670</v>
      </c>
      <c r="E663" s="34">
        <v>35</v>
      </c>
      <c r="F663" s="34" t="s">
        <v>54</v>
      </c>
      <c r="G663" s="34" t="str">
        <f>VLOOKUP(B663,Dane!$A$1:$G$1001,6,FALSE)</f>
        <v>własność</v>
      </c>
    </row>
    <row r="664" spans="1:7" x14ac:dyDescent="0.3">
      <c r="A664" s="34">
        <v>663</v>
      </c>
      <c r="B664" s="34">
        <v>713</v>
      </c>
      <c r="C664" s="34">
        <v>21</v>
      </c>
      <c r="D664" s="34">
        <v>2476</v>
      </c>
      <c r="E664" s="34">
        <v>46</v>
      </c>
      <c r="F664" s="34" t="s">
        <v>54</v>
      </c>
      <c r="G664" s="34" t="str">
        <f>VLOOKUP(B664,Dane!$A$1:$G$1001,6,FALSE)</f>
        <v>własność</v>
      </c>
    </row>
    <row r="665" spans="1:7" x14ac:dyDescent="0.3">
      <c r="A665" s="34">
        <v>664</v>
      </c>
      <c r="B665" s="34">
        <v>677</v>
      </c>
      <c r="C665" s="34">
        <v>24</v>
      </c>
      <c r="D665" s="34">
        <v>5150</v>
      </c>
      <c r="E665" s="34">
        <v>33</v>
      </c>
      <c r="F665" s="34" t="s">
        <v>54</v>
      </c>
      <c r="G665" s="34" t="str">
        <f>VLOOKUP(B665,Dane!$A$1:$G$1001,6,FALSE)</f>
        <v>własność</v>
      </c>
    </row>
    <row r="666" spans="1:7" x14ac:dyDescent="0.3">
      <c r="A666" s="34">
        <v>665</v>
      </c>
      <c r="B666" s="34">
        <v>580</v>
      </c>
      <c r="C666" s="34">
        <v>24</v>
      </c>
      <c r="D666" s="34">
        <v>937</v>
      </c>
      <c r="E666" s="34">
        <v>27</v>
      </c>
      <c r="F666" s="34" t="s">
        <v>54</v>
      </c>
      <c r="G666" s="34" t="str">
        <f>VLOOKUP(B666,Dane!$A$1:$G$1001,6,FALSE)</f>
        <v>własność</v>
      </c>
    </row>
    <row r="667" spans="1:7" x14ac:dyDescent="0.3">
      <c r="A667" s="34">
        <v>666</v>
      </c>
      <c r="B667" s="34">
        <v>192</v>
      </c>
      <c r="C667" s="34">
        <v>48</v>
      </c>
      <c r="D667" s="34">
        <v>3844</v>
      </c>
      <c r="E667" s="34">
        <v>34</v>
      </c>
      <c r="F667" s="34" t="s">
        <v>55</v>
      </c>
      <c r="G667" s="34" t="str">
        <f>VLOOKUP(B667,Dane!$A$1:$G$1001,6,FALSE)</f>
        <v>za darmo</v>
      </c>
    </row>
    <row r="668" spans="1:7" x14ac:dyDescent="0.3">
      <c r="A668" s="34">
        <v>667</v>
      </c>
      <c r="B668" s="34">
        <v>238</v>
      </c>
      <c r="C668" s="34">
        <v>21</v>
      </c>
      <c r="D668" s="34">
        <v>2767</v>
      </c>
      <c r="E668" s="34">
        <v>61</v>
      </c>
      <c r="F668" s="34" t="s">
        <v>55</v>
      </c>
      <c r="G668" s="34" t="str">
        <f>VLOOKUP(B668,Dane!$A$1:$G$1001,6,FALSE)</f>
        <v>wynajem</v>
      </c>
    </row>
    <row r="669" spans="1:7" x14ac:dyDescent="0.3">
      <c r="A669" s="34">
        <v>668</v>
      </c>
      <c r="B669" s="34">
        <v>316</v>
      </c>
      <c r="C669" s="34">
        <v>36</v>
      </c>
      <c r="D669" s="34">
        <v>2746</v>
      </c>
      <c r="E669" s="34">
        <v>31</v>
      </c>
      <c r="F669" s="34" t="s">
        <v>55</v>
      </c>
      <c r="G669" s="34" t="str">
        <f>VLOOKUP(B669,Dane!$A$1:$G$1001,6,FALSE)</f>
        <v>własność</v>
      </c>
    </row>
    <row r="670" spans="1:7" x14ac:dyDescent="0.3">
      <c r="A670" s="34">
        <v>669</v>
      </c>
      <c r="B670" s="34">
        <v>417</v>
      </c>
      <c r="C670" s="34">
        <v>12</v>
      </c>
      <c r="D670" s="34">
        <v>2579</v>
      </c>
      <c r="E670" s="34">
        <v>33</v>
      </c>
      <c r="F670" s="34" t="s">
        <v>55</v>
      </c>
      <c r="G670" s="34" t="str">
        <f>VLOOKUP(B670,Dane!$A$1:$G$1001,6,FALSE)</f>
        <v>własność</v>
      </c>
    </row>
    <row r="671" spans="1:7" x14ac:dyDescent="0.3">
      <c r="A671" s="34">
        <v>670</v>
      </c>
      <c r="B671" s="34">
        <v>291</v>
      </c>
      <c r="C671" s="34">
        <v>12</v>
      </c>
      <c r="D671" s="34">
        <v>1076</v>
      </c>
      <c r="E671" s="34">
        <v>26</v>
      </c>
      <c r="F671" s="34" t="s">
        <v>54</v>
      </c>
      <c r="G671" s="34" t="str">
        <f>VLOOKUP(B671,Dane!$A$1:$G$1001,6,FALSE)</f>
        <v>własność</v>
      </c>
    </row>
    <row r="672" spans="1:7" x14ac:dyDescent="0.3">
      <c r="A672" s="34">
        <v>671</v>
      </c>
      <c r="B672" s="34">
        <v>652</v>
      </c>
      <c r="C672" s="34">
        <v>12</v>
      </c>
      <c r="D672" s="34">
        <v>1922</v>
      </c>
      <c r="E672" s="34">
        <v>37</v>
      </c>
      <c r="F672" s="34" t="s">
        <v>55</v>
      </c>
      <c r="G672" s="34" t="str">
        <f>VLOOKUP(B672,Dane!$A$1:$G$1001,6,FALSE)</f>
        <v>własność</v>
      </c>
    </row>
    <row r="673" spans="1:7" x14ac:dyDescent="0.3">
      <c r="A673" s="34">
        <v>672</v>
      </c>
      <c r="B673" s="34">
        <v>941</v>
      </c>
      <c r="C673" s="34">
        <v>12</v>
      </c>
      <c r="D673" s="34">
        <v>3527</v>
      </c>
      <c r="E673" s="34">
        <v>45</v>
      </c>
      <c r="F673" s="34" t="s">
        <v>54</v>
      </c>
      <c r="G673" s="34" t="str">
        <f>VLOOKUP(B673,Dane!$A$1:$G$1001,6,FALSE)</f>
        <v>własność</v>
      </c>
    </row>
    <row r="674" spans="1:7" x14ac:dyDescent="0.3">
      <c r="A674" s="34">
        <v>673</v>
      </c>
      <c r="B674" s="34">
        <v>253</v>
      </c>
      <c r="C674" s="34">
        <v>30</v>
      </c>
      <c r="D674" s="34">
        <v>2150</v>
      </c>
      <c r="E674" s="34">
        <v>24</v>
      </c>
      <c r="F674" s="34" t="s">
        <v>57</v>
      </c>
      <c r="G674" s="34" t="str">
        <f>VLOOKUP(B674,Dane!$A$1:$G$1001,6,FALSE)</f>
        <v>własność</v>
      </c>
    </row>
    <row r="675" spans="1:7" x14ac:dyDescent="0.3">
      <c r="A675" s="34">
        <v>674</v>
      </c>
      <c r="B675" s="34">
        <v>582</v>
      </c>
      <c r="C675" s="34">
        <v>12</v>
      </c>
      <c r="D675" s="34">
        <v>3124</v>
      </c>
      <c r="E675" s="34">
        <v>49</v>
      </c>
      <c r="F675" s="34" t="s">
        <v>54</v>
      </c>
      <c r="G675" s="34" t="str">
        <f>VLOOKUP(B675,Dane!$A$1:$G$1001,6,FALSE)</f>
        <v>własność</v>
      </c>
    </row>
    <row r="676" spans="1:7" x14ac:dyDescent="0.3">
      <c r="A676" s="34">
        <v>675</v>
      </c>
      <c r="B676" s="34">
        <v>263</v>
      </c>
      <c r="C676" s="34">
        <v>18</v>
      </c>
      <c r="D676" s="34">
        <v>5302</v>
      </c>
      <c r="E676" s="34">
        <v>36</v>
      </c>
      <c r="F676" s="34" t="s">
        <v>54</v>
      </c>
      <c r="G676" s="34" t="str">
        <f>VLOOKUP(B676,Dane!$A$1:$G$1001,6,FALSE)</f>
        <v>za darmo</v>
      </c>
    </row>
    <row r="677" spans="1:7" x14ac:dyDescent="0.3">
      <c r="A677" s="34">
        <v>676</v>
      </c>
      <c r="B677" s="34">
        <v>851</v>
      </c>
      <c r="C677" s="34">
        <v>20</v>
      </c>
      <c r="D677" s="34">
        <v>2235</v>
      </c>
      <c r="E677" s="34">
        <v>33</v>
      </c>
      <c r="F677" s="34" t="s">
        <v>55</v>
      </c>
      <c r="G677" s="34" t="str">
        <f>VLOOKUP(B677,Dane!$A$1:$G$1001,6,FALSE)</f>
        <v>wynajem</v>
      </c>
    </row>
    <row r="678" spans="1:7" x14ac:dyDescent="0.3">
      <c r="A678" s="34">
        <v>677</v>
      </c>
      <c r="B678" s="34">
        <v>90</v>
      </c>
      <c r="C678" s="34">
        <v>12</v>
      </c>
      <c r="D678" s="34">
        <v>1108</v>
      </c>
      <c r="E678" s="34">
        <v>28</v>
      </c>
      <c r="F678" s="34" t="s">
        <v>55</v>
      </c>
      <c r="G678" s="34" t="str">
        <f>VLOOKUP(B678,Dane!$A$1:$G$1001,6,FALSE)</f>
        <v>własność</v>
      </c>
    </row>
    <row r="679" spans="1:7" x14ac:dyDescent="0.3">
      <c r="A679" s="34">
        <v>678</v>
      </c>
      <c r="B679" s="34">
        <v>798</v>
      </c>
      <c r="C679" s="34">
        <v>12</v>
      </c>
      <c r="D679" s="34">
        <v>1258</v>
      </c>
      <c r="E679" s="34">
        <v>22</v>
      </c>
      <c r="F679" s="34" t="s">
        <v>56</v>
      </c>
      <c r="G679" s="34" t="str">
        <f>VLOOKUP(B679,Dane!$A$1:$G$1001,6,FALSE)</f>
        <v>wynajem</v>
      </c>
    </row>
    <row r="680" spans="1:7" x14ac:dyDescent="0.3">
      <c r="A680" s="34">
        <v>679</v>
      </c>
      <c r="B680" s="34">
        <v>165</v>
      </c>
      <c r="C680" s="34">
        <v>36</v>
      </c>
      <c r="D680" s="34">
        <v>909</v>
      </c>
      <c r="E680" s="34">
        <v>36</v>
      </c>
      <c r="F680" s="34" t="s">
        <v>54</v>
      </c>
      <c r="G680" s="34" t="str">
        <f>VLOOKUP(B680,Dane!$A$1:$G$1001,6,FALSE)</f>
        <v>własność</v>
      </c>
    </row>
    <row r="681" spans="1:7" x14ac:dyDescent="0.3">
      <c r="A681" s="34">
        <v>680</v>
      </c>
      <c r="B681" s="34">
        <v>209</v>
      </c>
      <c r="C681" s="34">
        <v>24</v>
      </c>
      <c r="D681" s="34">
        <v>6568</v>
      </c>
      <c r="E681" s="34">
        <v>21</v>
      </c>
      <c r="F681" s="34" t="s">
        <v>54</v>
      </c>
      <c r="G681" s="34" t="str">
        <f>VLOOKUP(B681,Dane!$A$1:$G$1001,6,FALSE)</f>
        <v>własność</v>
      </c>
    </row>
    <row r="682" spans="1:7" x14ac:dyDescent="0.3">
      <c r="A682" s="34">
        <v>681</v>
      </c>
      <c r="B682" s="34">
        <v>9</v>
      </c>
      <c r="C682" s="34">
        <v>12</v>
      </c>
      <c r="D682" s="34">
        <v>3059</v>
      </c>
      <c r="E682" s="34">
        <v>61</v>
      </c>
      <c r="F682" s="34" t="s">
        <v>54</v>
      </c>
      <c r="G682" s="34" t="str">
        <f>VLOOKUP(B682,Dane!$A$1:$G$1001,6,FALSE)</f>
        <v>własność</v>
      </c>
    </row>
    <row r="683" spans="1:7" x14ac:dyDescent="0.3">
      <c r="A683" s="34">
        <v>682</v>
      </c>
      <c r="B683" s="34">
        <v>986</v>
      </c>
      <c r="C683" s="34">
        <v>15</v>
      </c>
      <c r="D683" s="34">
        <v>1433</v>
      </c>
      <c r="E683" s="34">
        <v>25</v>
      </c>
      <c r="F683" s="34" t="s">
        <v>56</v>
      </c>
      <c r="G683" s="34" t="str">
        <f>VLOOKUP(B683,Dane!$A$1:$G$1001,6,FALSE)</f>
        <v>wynajem</v>
      </c>
    </row>
    <row r="684" spans="1:7" x14ac:dyDescent="0.3">
      <c r="A684" s="34">
        <v>683</v>
      </c>
      <c r="B684" s="34">
        <v>267</v>
      </c>
      <c r="C684" s="34">
        <v>36</v>
      </c>
      <c r="D684" s="34">
        <v>6304</v>
      </c>
      <c r="E684" s="34">
        <v>36</v>
      </c>
      <c r="F684" s="34" t="s">
        <v>54</v>
      </c>
      <c r="G684" s="34" t="str">
        <f>VLOOKUP(B684,Dane!$A$1:$G$1001,6,FALSE)</f>
        <v>własność</v>
      </c>
    </row>
    <row r="685" spans="1:7" x14ac:dyDescent="0.3">
      <c r="A685" s="34">
        <v>684</v>
      </c>
      <c r="B685" s="34">
        <v>259</v>
      </c>
      <c r="C685" s="34">
        <v>15</v>
      </c>
      <c r="D685" s="34">
        <v>3812</v>
      </c>
      <c r="E685" s="34">
        <v>23</v>
      </c>
      <c r="F685" s="34" t="s">
        <v>56</v>
      </c>
      <c r="G685" s="34" t="str">
        <f>VLOOKUP(B685,Dane!$A$1:$G$1001,6,FALSE)</f>
        <v>własność</v>
      </c>
    </row>
    <row r="686" spans="1:7" x14ac:dyDescent="0.3">
      <c r="A686" s="34">
        <v>685</v>
      </c>
      <c r="B686" s="34">
        <v>546</v>
      </c>
      <c r="C686" s="34">
        <v>24</v>
      </c>
      <c r="D686" s="34">
        <v>1333</v>
      </c>
      <c r="E686" s="34">
        <v>43</v>
      </c>
      <c r="F686" s="34" t="s">
        <v>55</v>
      </c>
      <c r="G686" s="34" t="str">
        <f>VLOOKUP(B686,Dane!$A$1:$G$1001,6,FALSE)</f>
        <v>za darmo</v>
      </c>
    </row>
    <row r="687" spans="1:7" x14ac:dyDescent="0.3">
      <c r="A687" s="34">
        <v>686</v>
      </c>
      <c r="B687" s="34">
        <v>338</v>
      </c>
      <c r="C687" s="34">
        <v>15</v>
      </c>
      <c r="D687" s="34">
        <v>1275</v>
      </c>
      <c r="E687" s="34">
        <v>24</v>
      </c>
      <c r="F687" s="34" t="s">
        <v>57</v>
      </c>
      <c r="G687" s="34" t="str">
        <f>VLOOKUP(B687,Dane!$A$1:$G$1001,6,FALSE)</f>
        <v>wynajem</v>
      </c>
    </row>
    <row r="688" spans="1:7" x14ac:dyDescent="0.3">
      <c r="A688" s="34">
        <v>687</v>
      </c>
      <c r="B688" s="34">
        <v>1000</v>
      </c>
      <c r="C688" s="34">
        <v>45</v>
      </c>
      <c r="D688" s="34">
        <v>4576</v>
      </c>
      <c r="E688" s="34">
        <v>27</v>
      </c>
      <c r="F688" s="34" t="s">
        <v>54</v>
      </c>
      <c r="G688" s="34" t="str">
        <f>VLOOKUP(B688,Dane!$A$1:$G$1001,6,FALSE)</f>
        <v>własność</v>
      </c>
    </row>
    <row r="689" spans="1:7" x14ac:dyDescent="0.3">
      <c r="A689" s="34">
        <v>688</v>
      </c>
      <c r="B689" s="34">
        <v>166</v>
      </c>
      <c r="C689" s="34">
        <v>6</v>
      </c>
      <c r="D689" s="34">
        <v>2978</v>
      </c>
      <c r="E689" s="34">
        <v>32</v>
      </c>
      <c r="F689" s="34" t="s">
        <v>54</v>
      </c>
      <c r="G689" s="34" t="str">
        <f>VLOOKUP(B689,Dane!$A$1:$G$1001,6,FALSE)</f>
        <v>własność</v>
      </c>
    </row>
    <row r="690" spans="1:7" x14ac:dyDescent="0.3">
      <c r="A690" s="34">
        <v>689</v>
      </c>
      <c r="B690" s="34">
        <v>415</v>
      </c>
      <c r="C690" s="34">
        <v>24</v>
      </c>
      <c r="D690" s="34">
        <v>1381</v>
      </c>
      <c r="E690" s="34">
        <v>35</v>
      </c>
      <c r="F690" s="34" t="s">
        <v>57</v>
      </c>
      <c r="G690" s="34" t="str">
        <f>VLOOKUP(B690,Dane!$A$1:$G$1001,6,FALSE)</f>
        <v>własność</v>
      </c>
    </row>
    <row r="691" spans="1:7" x14ac:dyDescent="0.3">
      <c r="A691" s="34">
        <v>690</v>
      </c>
      <c r="B691" s="34">
        <v>457</v>
      </c>
      <c r="C691" s="34">
        <v>11</v>
      </c>
      <c r="D691" s="34">
        <v>3905</v>
      </c>
      <c r="E691" s="34">
        <v>36</v>
      </c>
      <c r="F691" s="34" t="s">
        <v>54</v>
      </c>
      <c r="G691" s="34" t="str">
        <f>VLOOKUP(B691,Dane!$A$1:$G$1001,6,FALSE)</f>
        <v>wynajem</v>
      </c>
    </row>
    <row r="692" spans="1:7" x14ac:dyDescent="0.3">
      <c r="A692" s="34">
        <v>691</v>
      </c>
      <c r="B692" s="34">
        <v>398</v>
      </c>
      <c r="C692" s="34">
        <v>36</v>
      </c>
      <c r="D692" s="34">
        <v>2348</v>
      </c>
      <c r="E692" s="34">
        <v>46</v>
      </c>
      <c r="F692" s="34" t="s">
        <v>54</v>
      </c>
      <c r="G692" s="34" t="str">
        <f>VLOOKUP(B692,Dane!$A$1:$G$1001,6,FALSE)</f>
        <v>własność</v>
      </c>
    </row>
    <row r="693" spans="1:7" x14ac:dyDescent="0.3">
      <c r="A693" s="34">
        <v>692</v>
      </c>
      <c r="B693" s="34">
        <v>936</v>
      </c>
      <c r="C693" s="34">
        <v>30</v>
      </c>
      <c r="D693" s="34">
        <v>1919</v>
      </c>
      <c r="E693" s="34">
        <v>30</v>
      </c>
      <c r="F693" s="34" t="s">
        <v>55</v>
      </c>
      <c r="G693" s="34" t="str">
        <f>VLOOKUP(B693,Dane!$A$1:$G$1001,6,FALSE)</f>
        <v>własność</v>
      </c>
    </row>
    <row r="694" spans="1:7" x14ac:dyDescent="0.3">
      <c r="A694" s="34">
        <v>693</v>
      </c>
      <c r="B694" s="34">
        <v>392</v>
      </c>
      <c r="C694" s="34">
        <v>12</v>
      </c>
      <c r="D694" s="34">
        <v>983</v>
      </c>
      <c r="E694" s="34">
        <v>19</v>
      </c>
      <c r="F694" s="34" t="s">
        <v>56</v>
      </c>
      <c r="G694" s="34" t="str">
        <f>VLOOKUP(B694,Dane!$A$1:$G$1001,6,FALSE)</f>
        <v>wynajem</v>
      </c>
    </row>
    <row r="695" spans="1:7" x14ac:dyDescent="0.3">
      <c r="A695" s="34">
        <v>694</v>
      </c>
      <c r="B695" s="34">
        <v>725</v>
      </c>
      <c r="C695" s="34">
        <v>27</v>
      </c>
      <c r="D695" s="34">
        <v>2570</v>
      </c>
      <c r="E695" s="34">
        <v>21</v>
      </c>
      <c r="F695" s="34" t="s">
        <v>57</v>
      </c>
      <c r="G695" s="34" t="str">
        <f>VLOOKUP(B695,Dane!$A$1:$G$1001,6,FALSE)</f>
        <v>wynajem</v>
      </c>
    </row>
    <row r="696" spans="1:7" x14ac:dyDescent="0.3">
      <c r="A696" s="34">
        <v>695</v>
      </c>
      <c r="B696" s="34">
        <v>904</v>
      </c>
      <c r="C696" s="34">
        <v>15</v>
      </c>
      <c r="D696" s="34">
        <v>1386</v>
      </c>
      <c r="E696" s="34">
        <v>40</v>
      </c>
      <c r="F696" s="34" t="s">
        <v>54</v>
      </c>
      <c r="G696" s="34" t="str">
        <f>VLOOKUP(B696,Dane!$A$1:$G$1001,6,FALSE)</f>
        <v>wynajem</v>
      </c>
    </row>
    <row r="697" spans="1:7" x14ac:dyDescent="0.3">
      <c r="A697" s="34">
        <v>696</v>
      </c>
      <c r="B697" s="34">
        <v>925</v>
      </c>
      <c r="C697" s="34">
        <v>24</v>
      </c>
      <c r="D697" s="34">
        <v>6872</v>
      </c>
      <c r="E697" s="34">
        <v>55</v>
      </c>
      <c r="F697" s="34" t="s">
        <v>55</v>
      </c>
      <c r="G697" s="34" t="str">
        <f>VLOOKUP(B697,Dane!$A$1:$G$1001,6,FALSE)</f>
        <v>własność</v>
      </c>
    </row>
    <row r="698" spans="1:7" x14ac:dyDescent="0.3">
      <c r="A698" s="34">
        <v>697</v>
      </c>
      <c r="B698" s="34">
        <v>800</v>
      </c>
      <c r="C698" s="34">
        <v>9</v>
      </c>
      <c r="D698" s="34">
        <v>1549</v>
      </c>
      <c r="E698" s="34">
        <v>35</v>
      </c>
      <c r="F698" s="34" t="s">
        <v>54</v>
      </c>
      <c r="G698" s="34" t="str">
        <f>VLOOKUP(B698,Dane!$A$1:$G$1001,6,FALSE)</f>
        <v>własność</v>
      </c>
    </row>
    <row r="699" spans="1:7" x14ac:dyDescent="0.3">
      <c r="A699" s="34">
        <v>698</v>
      </c>
      <c r="B699" s="34">
        <v>479</v>
      </c>
      <c r="C699" s="34">
        <v>12</v>
      </c>
      <c r="D699" s="34">
        <v>1037</v>
      </c>
      <c r="E699" s="34">
        <v>39</v>
      </c>
      <c r="F699" s="34" t="s">
        <v>54</v>
      </c>
      <c r="G699" s="34" t="str">
        <f>VLOOKUP(B699,Dane!$A$1:$G$1001,6,FALSE)</f>
        <v>własność</v>
      </c>
    </row>
    <row r="700" spans="1:7" x14ac:dyDescent="0.3">
      <c r="A700" s="34">
        <v>699</v>
      </c>
      <c r="B700" s="34">
        <v>784</v>
      </c>
      <c r="C700" s="34">
        <v>12</v>
      </c>
      <c r="D700" s="34">
        <v>836</v>
      </c>
      <c r="E700" s="34">
        <v>23</v>
      </c>
      <c r="F700" s="34" t="s">
        <v>57</v>
      </c>
      <c r="G700" s="34" t="str">
        <f>VLOOKUP(B700,Dane!$A$1:$G$1001,6,FALSE)</f>
        <v>własność</v>
      </c>
    </row>
    <row r="701" spans="1:7" x14ac:dyDescent="0.3">
      <c r="A701" s="34">
        <v>700</v>
      </c>
      <c r="B701" s="34">
        <v>140</v>
      </c>
      <c r="C701" s="34">
        <v>12</v>
      </c>
      <c r="D701" s="34">
        <v>1881</v>
      </c>
      <c r="E701" s="34">
        <v>44</v>
      </c>
      <c r="F701" s="34" t="s">
        <v>56</v>
      </c>
      <c r="G701" s="34" t="str">
        <f>VLOOKUP(B701,Dane!$A$1:$G$1001,6,FALSE)</f>
        <v>wynajem</v>
      </c>
    </row>
    <row r="702" spans="1:7" x14ac:dyDescent="0.3">
      <c r="A702" s="34">
        <v>701</v>
      </c>
      <c r="B702" s="34">
        <v>694</v>
      </c>
      <c r="C702" s="34">
        <v>6</v>
      </c>
      <c r="D702" s="34">
        <v>4716</v>
      </c>
      <c r="E702" s="34">
        <v>44</v>
      </c>
      <c r="F702" s="34" t="s">
        <v>54</v>
      </c>
      <c r="G702" s="34" t="str">
        <f>VLOOKUP(B702,Dane!$A$1:$G$1001,6,FALSE)</f>
        <v>własność</v>
      </c>
    </row>
    <row r="703" spans="1:7" x14ac:dyDescent="0.3">
      <c r="A703" s="34">
        <v>702</v>
      </c>
      <c r="B703" s="34">
        <v>905</v>
      </c>
      <c r="C703" s="34">
        <v>24</v>
      </c>
      <c r="D703" s="34">
        <v>1278</v>
      </c>
      <c r="E703" s="34">
        <v>36</v>
      </c>
      <c r="F703" s="34" t="s">
        <v>54</v>
      </c>
      <c r="G703" s="34" t="str">
        <f>VLOOKUP(B703,Dane!$A$1:$G$1001,6,FALSE)</f>
        <v>własność</v>
      </c>
    </row>
    <row r="704" spans="1:7" x14ac:dyDescent="0.3">
      <c r="A704" s="34">
        <v>703</v>
      </c>
      <c r="B704" s="34">
        <v>23</v>
      </c>
      <c r="C704" s="34">
        <v>10</v>
      </c>
      <c r="D704" s="34">
        <v>2241</v>
      </c>
      <c r="E704" s="34">
        <v>48</v>
      </c>
      <c r="F704" s="34" t="s">
        <v>54</v>
      </c>
      <c r="G704" s="34" t="str">
        <f>VLOOKUP(B704,Dane!$A$1:$G$1001,6,FALSE)</f>
        <v>wynajem</v>
      </c>
    </row>
    <row r="705" spans="1:7" x14ac:dyDescent="0.3">
      <c r="A705" s="34">
        <v>704</v>
      </c>
      <c r="B705" s="34">
        <v>651</v>
      </c>
      <c r="C705" s="34">
        <v>48</v>
      </c>
      <c r="D705" s="34">
        <v>7476</v>
      </c>
      <c r="E705" s="34">
        <v>50</v>
      </c>
      <c r="F705" s="34" t="s">
        <v>54</v>
      </c>
      <c r="G705" s="34" t="str">
        <f>VLOOKUP(B705,Dane!$A$1:$G$1001,6,FALSE)</f>
        <v>za darmo</v>
      </c>
    </row>
    <row r="706" spans="1:7" x14ac:dyDescent="0.3">
      <c r="A706" s="34">
        <v>705</v>
      </c>
      <c r="B706" s="34">
        <v>797</v>
      </c>
      <c r="C706" s="34">
        <v>18</v>
      </c>
      <c r="D706" s="34">
        <v>7511</v>
      </c>
      <c r="E706" s="34">
        <v>51</v>
      </c>
      <c r="F706" s="34" t="s">
        <v>55</v>
      </c>
      <c r="G706" s="34" t="str">
        <f>VLOOKUP(B706,Dane!$A$1:$G$1001,6,FALSE)</f>
        <v>za darmo</v>
      </c>
    </row>
    <row r="707" spans="1:7" x14ac:dyDescent="0.3">
      <c r="A707" s="34">
        <v>706</v>
      </c>
      <c r="B707" s="34">
        <v>757</v>
      </c>
      <c r="C707" s="34">
        <v>6</v>
      </c>
      <c r="D707" s="34">
        <v>1299</v>
      </c>
      <c r="E707" s="34">
        <v>74</v>
      </c>
      <c r="F707" s="34" t="s">
        <v>54</v>
      </c>
      <c r="G707" s="34" t="str">
        <f>VLOOKUP(B707,Dane!$A$1:$G$1001,6,FALSE)</f>
        <v>własność</v>
      </c>
    </row>
    <row r="708" spans="1:7" x14ac:dyDescent="0.3">
      <c r="A708" s="34">
        <v>707</v>
      </c>
      <c r="B708" s="34">
        <v>446</v>
      </c>
      <c r="C708" s="34">
        <v>9</v>
      </c>
      <c r="D708" s="34">
        <v>1244</v>
      </c>
      <c r="E708" s="34">
        <v>41</v>
      </c>
      <c r="F708" s="34" t="s">
        <v>56</v>
      </c>
      <c r="G708" s="34" t="str">
        <f>VLOOKUP(B708,Dane!$A$1:$G$1001,6,FALSE)</f>
        <v>wynajem</v>
      </c>
    </row>
    <row r="709" spans="1:7" x14ac:dyDescent="0.3">
      <c r="A709" s="34">
        <v>708</v>
      </c>
      <c r="B709" s="34">
        <v>887</v>
      </c>
      <c r="C709" s="34">
        <v>24</v>
      </c>
      <c r="D709" s="34">
        <v>2825</v>
      </c>
      <c r="E709" s="34">
        <v>34</v>
      </c>
      <c r="F709" s="34" t="s">
        <v>54</v>
      </c>
      <c r="G709" s="34" t="str">
        <f>VLOOKUP(B709,Dane!$A$1:$G$1001,6,FALSE)</f>
        <v>własność</v>
      </c>
    </row>
    <row r="710" spans="1:7" x14ac:dyDescent="0.3">
      <c r="A710" s="34">
        <v>709</v>
      </c>
      <c r="B710" s="34">
        <v>311</v>
      </c>
      <c r="C710" s="34">
        <v>48</v>
      </c>
      <c r="D710" s="34">
        <v>5381</v>
      </c>
      <c r="E710" s="34">
        <v>40</v>
      </c>
      <c r="F710" s="34" t="s">
        <v>54</v>
      </c>
      <c r="G710" s="34" t="str">
        <f>VLOOKUP(B710,Dane!$A$1:$G$1001,6,FALSE)</f>
        <v>za darmo</v>
      </c>
    </row>
    <row r="711" spans="1:7" x14ac:dyDescent="0.3">
      <c r="A711" s="34">
        <v>710</v>
      </c>
      <c r="B711" s="34">
        <v>833</v>
      </c>
      <c r="C711" s="34">
        <v>45</v>
      </c>
      <c r="D711" s="34">
        <v>11816</v>
      </c>
      <c r="E711" s="34">
        <v>29</v>
      </c>
      <c r="F711" s="34" t="s">
        <v>55</v>
      </c>
      <c r="G711" s="34" t="str">
        <f>VLOOKUP(B711,Dane!$A$1:$G$1001,6,FALSE)</f>
        <v>wynajem</v>
      </c>
    </row>
    <row r="712" spans="1:7" x14ac:dyDescent="0.3">
      <c r="A712" s="34">
        <v>711</v>
      </c>
      <c r="B712" s="34">
        <v>88</v>
      </c>
      <c r="C712" s="34">
        <v>36</v>
      </c>
      <c r="D712" s="34">
        <v>12612</v>
      </c>
      <c r="E712" s="34">
        <v>47</v>
      </c>
      <c r="F712" s="34" t="s">
        <v>55</v>
      </c>
      <c r="G712" s="34" t="str">
        <f>VLOOKUP(B712,Dane!$A$1:$G$1001,6,FALSE)</f>
        <v>za darmo</v>
      </c>
    </row>
    <row r="713" spans="1:7" x14ac:dyDescent="0.3">
      <c r="A713" s="34">
        <v>712</v>
      </c>
      <c r="B713" s="34">
        <v>142</v>
      </c>
      <c r="C713" s="34">
        <v>36</v>
      </c>
      <c r="D713" s="34">
        <v>4795</v>
      </c>
      <c r="E713" s="34">
        <v>30</v>
      </c>
      <c r="F713" s="34" t="s">
        <v>56</v>
      </c>
      <c r="G713" s="34" t="str">
        <f>VLOOKUP(B713,Dane!$A$1:$G$1001,6,FALSE)</f>
        <v>własność</v>
      </c>
    </row>
    <row r="714" spans="1:7" x14ac:dyDescent="0.3">
      <c r="A714" s="34">
        <v>713</v>
      </c>
      <c r="B714" s="34">
        <v>103</v>
      </c>
      <c r="C714" s="34">
        <v>6</v>
      </c>
      <c r="D714" s="34">
        <v>932</v>
      </c>
      <c r="E714" s="34">
        <v>24</v>
      </c>
      <c r="F714" s="34" t="s">
        <v>56</v>
      </c>
      <c r="G714" s="34" t="str">
        <f>VLOOKUP(B714,Dane!$A$1:$G$1001,6,FALSE)</f>
        <v>własność</v>
      </c>
    </row>
    <row r="715" spans="1:7" x14ac:dyDescent="0.3">
      <c r="A715" s="34">
        <v>714</v>
      </c>
      <c r="B715" s="34">
        <v>406</v>
      </c>
      <c r="C715" s="34">
        <v>24</v>
      </c>
      <c r="D715" s="34">
        <v>2039</v>
      </c>
      <c r="E715" s="34">
        <v>22</v>
      </c>
      <c r="F715" s="34" t="s">
        <v>55</v>
      </c>
      <c r="G715" s="34" t="str">
        <f>VLOOKUP(B715,Dane!$A$1:$G$1001,6,FALSE)</f>
        <v>własność</v>
      </c>
    </row>
    <row r="716" spans="1:7" x14ac:dyDescent="0.3">
      <c r="A716" s="34">
        <v>715</v>
      </c>
      <c r="B716" s="34">
        <v>656</v>
      </c>
      <c r="C716" s="34">
        <v>14</v>
      </c>
      <c r="D716" s="34">
        <v>3973</v>
      </c>
      <c r="E716" s="34">
        <v>22</v>
      </c>
      <c r="F716" s="34" t="s">
        <v>54</v>
      </c>
      <c r="G716" s="34" t="str">
        <f>VLOOKUP(B716,Dane!$A$1:$G$1001,6,FALSE)</f>
        <v>za darmo</v>
      </c>
    </row>
    <row r="717" spans="1:7" x14ac:dyDescent="0.3">
      <c r="A717" s="34">
        <v>716</v>
      </c>
      <c r="B717" s="34">
        <v>191</v>
      </c>
      <c r="C717" s="34">
        <v>24</v>
      </c>
      <c r="D717" s="34">
        <v>4591</v>
      </c>
      <c r="E717" s="34">
        <v>54</v>
      </c>
      <c r="F717" s="34" t="s">
        <v>55</v>
      </c>
      <c r="G717" s="34" t="str">
        <f>VLOOKUP(B717,Dane!$A$1:$G$1001,6,FALSE)</f>
        <v>własność</v>
      </c>
    </row>
    <row r="718" spans="1:7" x14ac:dyDescent="0.3">
      <c r="A718" s="34">
        <v>717</v>
      </c>
      <c r="B718" s="34">
        <v>490</v>
      </c>
      <c r="C718" s="34">
        <v>6</v>
      </c>
      <c r="D718" s="34">
        <v>3518</v>
      </c>
      <c r="E718" s="34">
        <v>26</v>
      </c>
      <c r="F718" s="34" t="s">
        <v>54</v>
      </c>
      <c r="G718" s="34" t="str">
        <f>VLOOKUP(B718,Dane!$A$1:$G$1001,6,FALSE)</f>
        <v>wynajem</v>
      </c>
    </row>
    <row r="719" spans="1:7" x14ac:dyDescent="0.3">
      <c r="A719" s="34">
        <v>718</v>
      </c>
      <c r="B719" s="34">
        <v>102</v>
      </c>
      <c r="C719" s="34">
        <v>36</v>
      </c>
      <c r="D719" s="34">
        <v>2323</v>
      </c>
      <c r="E719" s="34">
        <v>24</v>
      </c>
      <c r="F719" s="34" t="s">
        <v>54</v>
      </c>
      <c r="G719" s="34" t="str">
        <f>VLOOKUP(B719,Dane!$A$1:$G$1001,6,FALSE)</f>
        <v>wynajem</v>
      </c>
    </row>
    <row r="720" spans="1:7" x14ac:dyDescent="0.3">
      <c r="A720" s="34">
        <v>719</v>
      </c>
      <c r="B720" s="34">
        <v>380</v>
      </c>
      <c r="C720" s="34">
        <v>6</v>
      </c>
      <c r="D720" s="34">
        <v>362</v>
      </c>
      <c r="E720" s="34">
        <v>52</v>
      </c>
      <c r="F720" s="34" t="s">
        <v>56</v>
      </c>
      <c r="G720" s="34" t="str">
        <f>VLOOKUP(B720,Dane!$A$1:$G$1001,6,FALSE)</f>
        <v>własność</v>
      </c>
    </row>
    <row r="721" spans="1:7" x14ac:dyDescent="0.3">
      <c r="A721" s="34">
        <v>720</v>
      </c>
      <c r="B721" s="34">
        <v>231</v>
      </c>
      <c r="C721" s="34">
        <v>36</v>
      </c>
      <c r="D721" s="34">
        <v>4210</v>
      </c>
      <c r="E721" s="34">
        <v>26</v>
      </c>
      <c r="F721" s="34" t="s">
        <v>55</v>
      </c>
      <c r="G721" s="34" t="str">
        <f>VLOOKUP(B721,Dane!$A$1:$G$1001,6,FALSE)</f>
        <v>własność</v>
      </c>
    </row>
    <row r="722" spans="1:7" x14ac:dyDescent="0.3">
      <c r="A722" s="34">
        <v>721</v>
      </c>
      <c r="B722" s="34">
        <v>69</v>
      </c>
      <c r="C722" s="34">
        <v>36</v>
      </c>
      <c r="D722" s="34">
        <v>1819</v>
      </c>
      <c r="E722" s="34">
        <v>37</v>
      </c>
      <c r="F722" s="34" t="s">
        <v>55</v>
      </c>
      <c r="G722" s="34" t="str">
        <f>VLOOKUP(B722,Dane!$A$1:$G$1001,6,FALSE)</f>
        <v>za darmo</v>
      </c>
    </row>
    <row r="723" spans="1:7" x14ac:dyDescent="0.3">
      <c r="A723" s="34">
        <v>722</v>
      </c>
      <c r="B723" s="34">
        <v>788</v>
      </c>
      <c r="C723" s="34">
        <v>48</v>
      </c>
      <c r="D723" s="34">
        <v>2751</v>
      </c>
      <c r="E723" s="34">
        <v>38</v>
      </c>
      <c r="F723" s="34" t="s">
        <v>54</v>
      </c>
      <c r="G723" s="34" t="str">
        <f>VLOOKUP(B723,Dane!$A$1:$G$1001,6,FALSE)</f>
        <v>własność</v>
      </c>
    </row>
    <row r="724" spans="1:7" x14ac:dyDescent="0.3">
      <c r="A724" s="34">
        <v>723</v>
      </c>
      <c r="B724" s="34">
        <v>262</v>
      </c>
      <c r="C724" s="34">
        <v>24</v>
      </c>
      <c r="D724" s="34">
        <v>1603</v>
      </c>
      <c r="E724" s="34">
        <v>55</v>
      </c>
      <c r="F724" s="34" t="s">
        <v>56</v>
      </c>
      <c r="G724" s="34" t="str">
        <f>VLOOKUP(B724,Dane!$A$1:$G$1001,6,FALSE)</f>
        <v>własność</v>
      </c>
    </row>
    <row r="725" spans="1:7" x14ac:dyDescent="0.3">
      <c r="A725" s="34">
        <v>724</v>
      </c>
      <c r="B725" s="34">
        <v>536</v>
      </c>
      <c r="C725" s="34">
        <v>21</v>
      </c>
      <c r="D725" s="34">
        <v>2319</v>
      </c>
      <c r="E725" s="34">
        <v>33</v>
      </c>
      <c r="F725" s="34" t="s">
        <v>55</v>
      </c>
      <c r="G725" s="34" t="str">
        <f>VLOOKUP(B725,Dane!$A$1:$G$1001,6,FALSE)</f>
        <v>wynajem</v>
      </c>
    </row>
    <row r="726" spans="1:7" x14ac:dyDescent="0.3">
      <c r="A726" s="34">
        <v>725</v>
      </c>
      <c r="B726" s="34">
        <v>922</v>
      </c>
      <c r="C726" s="34">
        <v>48</v>
      </c>
      <c r="D726" s="34">
        <v>12749</v>
      </c>
      <c r="E726" s="34">
        <v>37</v>
      </c>
      <c r="F726" s="34" t="s">
        <v>54</v>
      </c>
      <c r="G726" s="34" t="str">
        <f>VLOOKUP(B726,Dane!$A$1:$G$1001,6,FALSE)</f>
        <v>własność</v>
      </c>
    </row>
    <row r="727" spans="1:7" x14ac:dyDescent="0.3">
      <c r="A727" s="34">
        <v>726</v>
      </c>
      <c r="B727" s="34">
        <v>149</v>
      </c>
      <c r="C727" s="34">
        <v>36</v>
      </c>
      <c r="D727" s="34">
        <v>5371</v>
      </c>
      <c r="E727" s="34">
        <v>28</v>
      </c>
      <c r="F727" s="34" t="s">
        <v>54</v>
      </c>
      <c r="G727" s="34" t="str">
        <f>VLOOKUP(B727,Dane!$A$1:$G$1001,6,FALSE)</f>
        <v>własność</v>
      </c>
    </row>
    <row r="728" spans="1:7" x14ac:dyDescent="0.3">
      <c r="A728" s="34">
        <v>727</v>
      </c>
      <c r="B728" s="34">
        <v>844</v>
      </c>
      <c r="C728" s="34">
        <v>24</v>
      </c>
      <c r="D728" s="34">
        <v>1559</v>
      </c>
      <c r="E728" s="34">
        <v>50</v>
      </c>
      <c r="F728" s="34" t="s">
        <v>54</v>
      </c>
      <c r="G728" s="34" t="str">
        <f>VLOOKUP(B728,Dane!$A$1:$G$1001,6,FALSE)</f>
        <v>własność</v>
      </c>
    </row>
    <row r="729" spans="1:7" x14ac:dyDescent="0.3">
      <c r="A729" s="34">
        <v>728</v>
      </c>
      <c r="B729" s="34">
        <v>286</v>
      </c>
      <c r="C729" s="34">
        <v>47</v>
      </c>
      <c r="D729" s="34">
        <v>10722</v>
      </c>
      <c r="E729" s="34">
        <v>35</v>
      </c>
      <c r="F729" s="34" t="s">
        <v>56</v>
      </c>
      <c r="G729" s="34" t="str">
        <f>VLOOKUP(B729,Dane!$A$1:$G$1001,6,FALSE)</f>
        <v>własność</v>
      </c>
    </row>
    <row r="730" spans="1:7" x14ac:dyDescent="0.3">
      <c r="A730" s="34">
        <v>729</v>
      </c>
      <c r="B730" s="34">
        <v>179</v>
      </c>
      <c r="C730" s="34">
        <v>12</v>
      </c>
      <c r="D730" s="34">
        <v>1963</v>
      </c>
      <c r="E730" s="34">
        <v>31</v>
      </c>
      <c r="F730" s="34" t="s">
        <v>54</v>
      </c>
      <c r="G730" s="34" t="str">
        <f>VLOOKUP(B730,Dane!$A$1:$G$1001,6,FALSE)</f>
        <v>wynajem</v>
      </c>
    </row>
    <row r="731" spans="1:7" x14ac:dyDescent="0.3">
      <c r="A731" s="34">
        <v>730</v>
      </c>
      <c r="B731" s="34">
        <v>732</v>
      </c>
      <c r="C731" s="34">
        <v>24</v>
      </c>
      <c r="D731" s="34">
        <v>1987</v>
      </c>
      <c r="E731" s="34">
        <v>21</v>
      </c>
      <c r="F731" s="34" t="s">
        <v>55</v>
      </c>
      <c r="G731" s="34" t="str">
        <f>VLOOKUP(B731,Dane!$A$1:$G$1001,6,FALSE)</f>
        <v>wynajem</v>
      </c>
    </row>
    <row r="732" spans="1:7" x14ac:dyDescent="0.3">
      <c r="A732" s="34">
        <v>731</v>
      </c>
      <c r="B732" s="34">
        <v>958</v>
      </c>
      <c r="C732" s="34">
        <v>9</v>
      </c>
      <c r="D732" s="34">
        <v>1154</v>
      </c>
      <c r="E732" s="34">
        <v>37</v>
      </c>
      <c r="F732" s="34" t="s">
        <v>54</v>
      </c>
      <c r="G732" s="34" t="str">
        <f>VLOOKUP(B732,Dane!$A$1:$G$1001,6,FALSE)</f>
        <v>własność</v>
      </c>
    </row>
    <row r="733" spans="1:7" x14ac:dyDescent="0.3">
      <c r="A733" s="34">
        <v>732</v>
      </c>
      <c r="B733" s="34">
        <v>336</v>
      </c>
      <c r="C733" s="34">
        <v>6</v>
      </c>
      <c r="D733" s="34">
        <v>3384</v>
      </c>
      <c r="E733" s="34">
        <v>44</v>
      </c>
      <c r="F733" s="34" t="s">
        <v>55</v>
      </c>
      <c r="G733" s="34" t="str">
        <f>VLOOKUP(B733,Dane!$A$1:$G$1001,6,FALSE)</f>
        <v>wynajem</v>
      </c>
    </row>
    <row r="734" spans="1:7" x14ac:dyDescent="0.3">
      <c r="A734" s="34">
        <v>733</v>
      </c>
      <c r="B734" s="34">
        <v>642</v>
      </c>
      <c r="C734" s="34">
        <v>15</v>
      </c>
      <c r="D734" s="34">
        <v>1308</v>
      </c>
      <c r="E734" s="34">
        <v>38</v>
      </c>
      <c r="F734" s="34" t="s">
        <v>54</v>
      </c>
      <c r="G734" s="34" t="str">
        <f>VLOOKUP(B734,Dane!$A$1:$G$1001,6,FALSE)</f>
        <v>własność</v>
      </c>
    </row>
    <row r="735" spans="1:7" x14ac:dyDescent="0.3">
      <c r="A735" s="34">
        <v>734</v>
      </c>
      <c r="B735" s="34">
        <v>930</v>
      </c>
      <c r="C735" s="34">
        <v>12</v>
      </c>
      <c r="D735" s="34">
        <v>1344</v>
      </c>
      <c r="E735" s="34">
        <v>43</v>
      </c>
      <c r="F735" s="34" t="s">
        <v>54</v>
      </c>
      <c r="G735" s="34" t="str">
        <f>VLOOKUP(B735,Dane!$A$1:$G$1001,6,FALSE)</f>
        <v>własność</v>
      </c>
    </row>
    <row r="736" spans="1:7" x14ac:dyDescent="0.3">
      <c r="A736" s="34">
        <v>735</v>
      </c>
      <c r="B736" s="34">
        <v>706</v>
      </c>
      <c r="C736" s="34">
        <v>15</v>
      </c>
      <c r="D736" s="34">
        <v>5324</v>
      </c>
      <c r="E736" s="34">
        <v>35</v>
      </c>
      <c r="F736" s="34" t="s">
        <v>56</v>
      </c>
      <c r="G736" s="34" t="str">
        <f>VLOOKUP(B736,Dane!$A$1:$G$1001,6,FALSE)</f>
        <v>za darmo</v>
      </c>
    </row>
    <row r="737" spans="1:7" x14ac:dyDescent="0.3">
      <c r="A737" s="34">
        <v>736</v>
      </c>
      <c r="B737" s="34">
        <v>53</v>
      </c>
      <c r="C737" s="34">
        <v>12</v>
      </c>
      <c r="D737" s="34">
        <v>1262</v>
      </c>
      <c r="E737" s="34">
        <v>25</v>
      </c>
      <c r="F737" s="34" t="s">
        <v>54</v>
      </c>
      <c r="G737" s="34" t="str">
        <f>VLOOKUP(B737,Dane!$A$1:$G$1001,6,FALSE)</f>
        <v>własność</v>
      </c>
    </row>
    <row r="738" spans="1:7" x14ac:dyDescent="0.3">
      <c r="A738" s="34">
        <v>737</v>
      </c>
      <c r="B738" s="34">
        <v>254</v>
      </c>
      <c r="C738" s="34">
        <v>24</v>
      </c>
      <c r="D738" s="34">
        <v>4151</v>
      </c>
      <c r="E738" s="34">
        <v>35</v>
      </c>
      <c r="F738" s="34" t="s">
        <v>54</v>
      </c>
      <c r="G738" s="34" t="str">
        <f>VLOOKUP(B738,Dane!$A$1:$G$1001,6,FALSE)</f>
        <v>własność</v>
      </c>
    </row>
    <row r="739" spans="1:7" x14ac:dyDescent="0.3">
      <c r="A739" s="34">
        <v>738</v>
      </c>
      <c r="B739" s="34">
        <v>328</v>
      </c>
      <c r="C739" s="34">
        <v>24</v>
      </c>
      <c r="D739" s="34">
        <v>1525</v>
      </c>
      <c r="E739" s="34">
        <v>34</v>
      </c>
      <c r="F739" s="34" t="s">
        <v>56</v>
      </c>
      <c r="G739" s="34" t="str">
        <f>VLOOKUP(B739,Dane!$A$1:$G$1001,6,FALSE)</f>
        <v>własność</v>
      </c>
    </row>
    <row r="740" spans="1:7" x14ac:dyDescent="0.3">
      <c r="A740" s="34">
        <v>739</v>
      </c>
      <c r="B740" s="34">
        <v>974</v>
      </c>
      <c r="C740" s="34">
        <v>60</v>
      </c>
      <c r="D740" s="34">
        <v>7297</v>
      </c>
      <c r="E740" s="34">
        <v>36</v>
      </c>
      <c r="F740" s="34" t="s">
        <v>55</v>
      </c>
      <c r="G740" s="34" t="str">
        <f>VLOOKUP(B740,Dane!$A$1:$G$1001,6,FALSE)</f>
        <v>wynajem</v>
      </c>
    </row>
    <row r="741" spans="1:7" x14ac:dyDescent="0.3">
      <c r="A741" s="34">
        <v>740</v>
      </c>
      <c r="B741" s="34">
        <v>321</v>
      </c>
      <c r="C741" s="34">
        <v>30</v>
      </c>
      <c r="D741" s="34">
        <v>4249</v>
      </c>
      <c r="E741" s="34">
        <v>28</v>
      </c>
      <c r="F741" s="34" t="s">
        <v>55</v>
      </c>
      <c r="G741" s="34" t="str">
        <f>VLOOKUP(B741,Dane!$A$1:$G$1001,6,FALSE)</f>
        <v>własność</v>
      </c>
    </row>
    <row r="742" spans="1:7" x14ac:dyDescent="0.3">
      <c r="A742" s="34">
        <v>741</v>
      </c>
      <c r="B742" s="34">
        <v>631</v>
      </c>
      <c r="C742" s="34">
        <v>24</v>
      </c>
      <c r="D742" s="34">
        <v>3660</v>
      </c>
      <c r="E742" s="34">
        <v>28</v>
      </c>
      <c r="F742" s="34" t="s">
        <v>56</v>
      </c>
      <c r="G742" s="34" t="str">
        <f>VLOOKUP(B742,Dane!$A$1:$G$1001,6,FALSE)</f>
        <v>własność</v>
      </c>
    </row>
    <row r="743" spans="1:7" x14ac:dyDescent="0.3">
      <c r="A743" s="34">
        <v>742</v>
      </c>
      <c r="B743" s="34">
        <v>835</v>
      </c>
      <c r="C743" s="34">
        <v>15</v>
      </c>
      <c r="D743" s="34">
        <v>2327</v>
      </c>
      <c r="E743" s="34">
        <v>25</v>
      </c>
      <c r="F743" s="34" t="s">
        <v>57</v>
      </c>
      <c r="G743" s="34" t="str">
        <f>VLOOKUP(B743,Dane!$A$1:$G$1001,6,FALSE)</f>
        <v>własność</v>
      </c>
    </row>
    <row r="744" spans="1:7" x14ac:dyDescent="0.3">
      <c r="A744" s="34">
        <v>743</v>
      </c>
      <c r="B744" s="34">
        <v>473</v>
      </c>
      <c r="C744" s="34">
        <v>9</v>
      </c>
      <c r="D744" s="34">
        <v>654</v>
      </c>
      <c r="E744" s="34">
        <v>28</v>
      </c>
      <c r="F744" s="34" t="s">
        <v>55</v>
      </c>
      <c r="G744" s="34" t="str">
        <f>VLOOKUP(B744,Dane!$A$1:$G$1001,6,FALSE)</f>
        <v>własność</v>
      </c>
    </row>
    <row r="745" spans="1:7" x14ac:dyDescent="0.3">
      <c r="A745" s="34">
        <v>744</v>
      </c>
      <c r="B745" s="34">
        <v>591</v>
      </c>
      <c r="C745" s="34">
        <v>12</v>
      </c>
      <c r="D745" s="34">
        <v>385</v>
      </c>
      <c r="E745" s="34">
        <v>58</v>
      </c>
      <c r="F745" s="34" t="s">
        <v>56</v>
      </c>
      <c r="G745" s="34" t="str">
        <f>VLOOKUP(B745,Dane!$A$1:$G$1001,6,FALSE)</f>
        <v>własność</v>
      </c>
    </row>
    <row r="746" spans="1:7" x14ac:dyDescent="0.3">
      <c r="A746" s="34">
        <v>745</v>
      </c>
      <c r="B746" s="34">
        <v>225</v>
      </c>
      <c r="C746" s="34">
        <v>15</v>
      </c>
      <c r="D746" s="34">
        <v>4657</v>
      </c>
      <c r="E746" s="34">
        <v>30</v>
      </c>
      <c r="F746" s="34" t="s">
        <v>54</v>
      </c>
      <c r="G746" s="34" t="str">
        <f>VLOOKUP(B746,Dane!$A$1:$G$1001,6,FALSE)</f>
        <v>własność</v>
      </c>
    </row>
    <row r="747" spans="1:7" x14ac:dyDescent="0.3">
      <c r="A747" s="34">
        <v>746</v>
      </c>
      <c r="B747" s="34">
        <v>353</v>
      </c>
      <c r="C747" s="34">
        <v>18</v>
      </c>
      <c r="D747" s="34">
        <v>3229</v>
      </c>
      <c r="E747" s="34">
        <v>38</v>
      </c>
      <c r="F747" s="34" t="s">
        <v>54</v>
      </c>
      <c r="G747" s="34" t="str">
        <f>VLOOKUP(B747,Dane!$A$1:$G$1001,6,FALSE)</f>
        <v>własność</v>
      </c>
    </row>
    <row r="748" spans="1:7" x14ac:dyDescent="0.3">
      <c r="A748" s="34">
        <v>747</v>
      </c>
      <c r="B748" s="34">
        <v>574</v>
      </c>
      <c r="C748" s="34">
        <v>15</v>
      </c>
      <c r="D748" s="34">
        <v>806</v>
      </c>
      <c r="E748" s="34">
        <v>22</v>
      </c>
      <c r="F748" s="34" t="s">
        <v>56</v>
      </c>
      <c r="G748" s="34" t="str">
        <f>VLOOKUP(B748,Dane!$A$1:$G$1001,6,FALSE)</f>
        <v>własność</v>
      </c>
    </row>
    <row r="749" spans="1:7" x14ac:dyDescent="0.3">
      <c r="A749" s="34">
        <v>748</v>
      </c>
      <c r="B749" s="34">
        <v>697</v>
      </c>
      <c r="C749" s="34">
        <v>12</v>
      </c>
      <c r="D749" s="34">
        <v>1103</v>
      </c>
      <c r="E749" s="34">
        <v>29</v>
      </c>
      <c r="F749" s="34" t="s">
        <v>54</v>
      </c>
      <c r="G749" s="34" t="str">
        <f>VLOOKUP(B749,Dane!$A$1:$G$1001,6,FALSE)</f>
        <v>własność</v>
      </c>
    </row>
    <row r="750" spans="1:7" x14ac:dyDescent="0.3">
      <c r="A750" s="34">
        <v>749</v>
      </c>
      <c r="B750" s="34">
        <v>959</v>
      </c>
      <c r="C750" s="34">
        <v>28</v>
      </c>
      <c r="D750" s="34">
        <v>4006</v>
      </c>
      <c r="E750" s="34">
        <v>45</v>
      </c>
      <c r="F750" s="34" t="s">
        <v>55</v>
      </c>
      <c r="G750" s="34" t="str">
        <f>VLOOKUP(B750,Dane!$A$1:$G$1001,6,FALSE)</f>
        <v>własność</v>
      </c>
    </row>
    <row r="751" spans="1:7" x14ac:dyDescent="0.3">
      <c r="A751" s="34">
        <v>750</v>
      </c>
      <c r="B751" s="34">
        <v>828</v>
      </c>
      <c r="C751" s="34">
        <v>18</v>
      </c>
      <c r="D751" s="34">
        <v>4165</v>
      </c>
      <c r="E751" s="34">
        <v>36</v>
      </c>
      <c r="F751" s="34" t="s">
        <v>55</v>
      </c>
      <c r="G751" s="34" t="str">
        <f>VLOOKUP(B751,Dane!$A$1:$G$1001,6,FALSE)</f>
        <v>własność</v>
      </c>
    </row>
    <row r="752" spans="1:7" x14ac:dyDescent="0.3">
      <c r="A752" s="34">
        <v>751</v>
      </c>
      <c r="B752" s="34">
        <v>540</v>
      </c>
      <c r="C752" s="34">
        <v>18</v>
      </c>
      <c r="D752" s="34">
        <v>3049</v>
      </c>
      <c r="E752" s="34">
        <v>45</v>
      </c>
      <c r="F752" s="34" t="s">
        <v>56</v>
      </c>
      <c r="G752" s="34" t="str">
        <f>VLOOKUP(B752,Dane!$A$1:$G$1001,6,FALSE)</f>
        <v>własność</v>
      </c>
    </row>
    <row r="753" spans="1:7" x14ac:dyDescent="0.3">
      <c r="A753" s="34">
        <v>752</v>
      </c>
      <c r="B753" s="34">
        <v>38</v>
      </c>
      <c r="C753" s="34">
        <v>18</v>
      </c>
      <c r="D753" s="34">
        <v>2100</v>
      </c>
      <c r="E753" s="34">
        <v>37</v>
      </c>
      <c r="F753" s="34" t="s">
        <v>55</v>
      </c>
      <c r="G753" s="34" t="str">
        <f>VLOOKUP(B753,Dane!$A$1:$G$1001,6,FALSE)</f>
        <v>własność</v>
      </c>
    </row>
    <row r="754" spans="1:7" x14ac:dyDescent="0.3">
      <c r="A754" s="34">
        <v>753</v>
      </c>
      <c r="B754" s="34">
        <v>995</v>
      </c>
      <c r="C754" s="34">
        <v>12</v>
      </c>
      <c r="D754" s="34">
        <v>2390</v>
      </c>
      <c r="E754" s="34">
        <v>50</v>
      </c>
      <c r="F754" s="34" t="s">
        <v>54</v>
      </c>
      <c r="G754" s="34" t="str">
        <f>VLOOKUP(B754,Dane!$A$1:$G$1001,6,FALSE)</f>
        <v>własność</v>
      </c>
    </row>
    <row r="755" spans="1:7" x14ac:dyDescent="0.3">
      <c r="A755" s="34">
        <v>754</v>
      </c>
      <c r="B755" s="34">
        <v>737</v>
      </c>
      <c r="C755" s="34">
        <v>24</v>
      </c>
      <c r="D755" s="34">
        <v>11560</v>
      </c>
      <c r="E755" s="34">
        <v>23</v>
      </c>
      <c r="F755" s="34" t="s">
        <v>57</v>
      </c>
      <c r="G755" s="34" t="str">
        <f>VLOOKUP(B755,Dane!$A$1:$G$1001,6,FALSE)</f>
        <v>wynajem</v>
      </c>
    </row>
    <row r="756" spans="1:7" x14ac:dyDescent="0.3">
      <c r="A756" s="34">
        <v>755</v>
      </c>
      <c r="B756" s="34">
        <v>45</v>
      </c>
      <c r="C756" s="34">
        <v>48</v>
      </c>
      <c r="D756" s="34">
        <v>6143</v>
      </c>
      <c r="E756" s="34">
        <v>58</v>
      </c>
      <c r="F756" s="34" t="s">
        <v>57</v>
      </c>
      <c r="G756" s="34" t="str">
        <f>VLOOKUP(B756,Dane!$A$1:$G$1001,6,FALSE)</f>
        <v>za darmo</v>
      </c>
    </row>
    <row r="757" spans="1:7" x14ac:dyDescent="0.3">
      <c r="A757" s="34">
        <v>756</v>
      </c>
      <c r="B757" s="34">
        <v>699</v>
      </c>
      <c r="C757" s="34">
        <v>18</v>
      </c>
      <c r="D757" s="34">
        <v>1800</v>
      </c>
      <c r="E757" s="34">
        <v>24</v>
      </c>
      <c r="F757" s="34" t="s">
        <v>54</v>
      </c>
      <c r="G757" s="34" t="str">
        <f>VLOOKUP(B757,Dane!$A$1:$G$1001,6,FALSE)</f>
        <v>własność</v>
      </c>
    </row>
    <row r="758" spans="1:7" x14ac:dyDescent="0.3">
      <c r="A758" s="34">
        <v>757</v>
      </c>
      <c r="B758" s="34">
        <v>544</v>
      </c>
      <c r="C758" s="34">
        <v>18</v>
      </c>
      <c r="D758" s="34">
        <v>2864</v>
      </c>
      <c r="E758" s="34">
        <v>34</v>
      </c>
      <c r="F758" s="34" t="s">
        <v>55</v>
      </c>
      <c r="G758" s="34" t="str">
        <f>VLOOKUP(B758,Dane!$A$1:$G$1001,6,FALSE)</f>
        <v>własność</v>
      </c>
    </row>
    <row r="759" spans="1:7" x14ac:dyDescent="0.3">
      <c r="A759" s="34">
        <v>758</v>
      </c>
      <c r="B759" s="34">
        <v>244</v>
      </c>
      <c r="C759" s="34">
        <v>12</v>
      </c>
      <c r="D759" s="34">
        <v>1185</v>
      </c>
      <c r="E759" s="34">
        <v>27</v>
      </c>
      <c r="F759" s="34" t="s">
        <v>56</v>
      </c>
      <c r="G759" s="34" t="str">
        <f>VLOOKUP(B759,Dane!$A$1:$G$1001,6,FALSE)</f>
        <v>własność</v>
      </c>
    </row>
    <row r="760" spans="1:7" x14ac:dyDescent="0.3">
      <c r="A760" s="34">
        <v>759</v>
      </c>
      <c r="B760" s="34">
        <v>287</v>
      </c>
      <c r="C760" s="34">
        <v>48</v>
      </c>
      <c r="D760" s="34">
        <v>4788</v>
      </c>
      <c r="E760" s="34">
        <v>26</v>
      </c>
      <c r="F760" s="34" t="s">
        <v>54</v>
      </c>
      <c r="G760" s="34" t="str">
        <f>VLOOKUP(B760,Dane!$A$1:$G$1001,6,FALSE)</f>
        <v>własność</v>
      </c>
    </row>
    <row r="761" spans="1:7" x14ac:dyDescent="0.3">
      <c r="A761" s="34">
        <v>760</v>
      </c>
      <c r="B761" s="34">
        <v>674</v>
      </c>
      <c r="C761" s="34">
        <v>6</v>
      </c>
      <c r="D761" s="34">
        <v>2080</v>
      </c>
      <c r="E761" s="34">
        <v>24</v>
      </c>
      <c r="F761" s="34" t="s">
        <v>54</v>
      </c>
      <c r="G761" s="34" t="str">
        <f>VLOOKUP(B761,Dane!$A$1:$G$1001,6,FALSE)</f>
        <v>własność</v>
      </c>
    </row>
    <row r="762" spans="1:7" x14ac:dyDescent="0.3">
      <c r="A762" s="34">
        <v>761</v>
      </c>
      <c r="B762" s="34">
        <v>917</v>
      </c>
      <c r="C762" s="34">
        <v>10</v>
      </c>
      <c r="D762" s="34">
        <v>2848</v>
      </c>
      <c r="E762" s="34">
        <v>32</v>
      </c>
      <c r="F762" s="34" t="s">
        <v>54</v>
      </c>
      <c r="G762" s="34" t="str">
        <f>VLOOKUP(B762,Dane!$A$1:$G$1001,6,FALSE)</f>
        <v>własność</v>
      </c>
    </row>
    <row r="763" spans="1:7" x14ac:dyDescent="0.3">
      <c r="A763" s="34">
        <v>762</v>
      </c>
      <c r="B763" s="34">
        <v>620</v>
      </c>
      <c r="C763" s="34">
        <v>12</v>
      </c>
      <c r="D763" s="34">
        <v>640</v>
      </c>
      <c r="E763" s="34">
        <v>49</v>
      </c>
      <c r="F763" s="34" t="s">
        <v>54</v>
      </c>
      <c r="G763" s="34" t="str">
        <f>VLOOKUP(B763,Dane!$A$1:$G$1001,6,FALSE)</f>
        <v>własność</v>
      </c>
    </row>
    <row r="764" spans="1:7" x14ac:dyDescent="0.3">
      <c r="A764" s="34">
        <v>763</v>
      </c>
      <c r="B764" s="34">
        <v>220</v>
      </c>
      <c r="C764" s="34">
        <v>10</v>
      </c>
      <c r="D764" s="34">
        <v>1364</v>
      </c>
      <c r="E764" s="34">
        <v>64</v>
      </c>
      <c r="F764" s="34" t="s">
        <v>56</v>
      </c>
      <c r="G764" s="34" t="str">
        <f>VLOOKUP(B764,Dane!$A$1:$G$1001,6,FALSE)</f>
        <v>własność</v>
      </c>
    </row>
    <row r="765" spans="1:7" x14ac:dyDescent="0.3">
      <c r="A765" s="34">
        <v>764</v>
      </c>
      <c r="B765" s="34">
        <v>481</v>
      </c>
      <c r="C765" s="34">
        <v>12</v>
      </c>
      <c r="D765" s="34">
        <v>3573</v>
      </c>
      <c r="E765" s="34">
        <v>23</v>
      </c>
      <c r="F765" s="34" t="s">
        <v>56</v>
      </c>
      <c r="G765" s="34" t="str">
        <f>VLOOKUP(B765,Dane!$A$1:$G$1001,6,FALSE)</f>
        <v>własność</v>
      </c>
    </row>
    <row r="766" spans="1:7" x14ac:dyDescent="0.3">
      <c r="A766" s="34">
        <v>765</v>
      </c>
      <c r="B766" s="34">
        <v>780</v>
      </c>
      <c r="C766" s="34">
        <v>18</v>
      </c>
      <c r="D766" s="34">
        <v>3872</v>
      </c>
      <c r="E766" s="34">
        <v>67</v>
      </c>
      <c r="F766" s="34" t="s">
        <v>56</v>
      </c>
      <c r="G766" s="34" t="str">
        <f>VLOOKUP(B766,Dane!$A$1:$G$1001,6,FALSE)</f>
        <v>własność</v>
      </c>
    </row>
    <row r="767" spans="1:7" x14ac:dyDescent="0.3">
      <c r="A767" s="34">
        <v>766</v>
      </c>
      <c r="B767" s="34">
        <v>516</v>
      </c>
      <c r="C767" s="34">
        <v>6</v>
      </c>
      <c r="D767" s="34">
        <v>609</v>
      </c>
      <c r="E767" s="34">
        <v>37</v>
      </c>
      <c r="F767" s="34" t="s">
        <v>56</v>
      </c>
      <c r="G767" s="34" t="str">
        <f>VLOOKUP(B767,Dane!$A$1:$G$1001,6,FALSE)</f>
        <v>własność</v>
      </c>
    </row>
    <row r="768" spans="1:7" x14ac:dyDescent="0.3">
      <c r="A768" s="34">
        <v>767</v>
      </c>
      <c r="B768" s="34">
        <v>114</v>
      </c>
      <c r="C768" s="34">
        <v>36</v>
      </c>
      <c r="D768" s="34">
        <v>7855</v>
      </c>
      <c r="E768" s="34">
        <v>25</v>
      </c>
      <c r="F768" s="34" t="s">
        <v>57</v>
      </c>
      <c r="G768" s="34" t="str">
        <f>VLOOKUP(B768,Dane!$A$1:$G$1001,6,FALSE)</f>
        <v>własność</v>
      </c>
    </row>
    <row r="769" spans="1:7" x14ac:dyDescent="0.3">
      <c r="A769" s="34">
        <v>768</v>
      </c>
      <c r="B769" s="34">
        <v>48</v>
      </c>
      <c r="C769" s="34">
        <v>6</v>
      </c>
      <c r="D769" s="34">
        <v>1352</v>
      </c>
      <c r="E769" s="34">
        <v>23</v>
      </c>
      <c r="F769" s="34" t="s">
        <v>56</v>
      </c>
      <c r="G769" s="34" t="str">
        <f>VLOOKUP(B769,Dane!$A$1:$G$1001,6,FALSE)</f>
        <v>wynajem</v>
      </c>
    </row>
    <row r="770" spans="1:7" x14ac:dyDescent="0.3">
      <c r="A770" s="34">
        <v>769</v>
      </c>
      <c r="B770" s="34">
        <v>67</v>
      </c>
      <c r="C770" s="34">
        <v>12</v>
      </c>
      <c r="D770" s="34">
        <v>2171</v>
      </c>
      <c r="E770" s="34">
        <v>29</v>
      </c>
      <c r="F770" s="34" t="s">
        <v>56</v>
      </c>
      <c r="G770" s="34" t="str">
        <f>VLOOKUP(B770,Dane!$A$1:$G$1001,6,FALSE)</f>
        <v>własność</v>
      </c>
    </row>
    <row r="771" spans="1:7" x14ac:dyDescent="0.3">
      <c r="A771" s="34">
        <v>770</v>
      </c>
      <c r="B771" s="34">
        <v>36</v>
      </c>
      <c r="C771" s="34">
        <v>45</v>
      </c>
      <c r="D771" s="34">
        <v>4746</v>
      </c>
      <c r="E771" s="34">
        <v>25</v>
      </c>
      <c r="F771" s="34" t="s">
        <v>55</v>
      </c>
      <c r="G771" s="34" t="str">
        <f>VLOOKUP(B771,Dane!$A$1:$G$1001,6,FALSE)</f>
        <v>własność</v>
      </c>
    </row>
    <row r="772" spans="1:7" x14ac:dyDescent="0.3">
      <c r="A772" s="34">
        <v>771</v>
      </c>
      <c r="B772" s="34">
        <v>777</v>
      </c>
      <c r="C772" s="34">
        <v>36</v>
      </c>
      <c r="D772" s="34">
        <v>3535</v>
      </c>
      <c r="E772" s="34">
        <v>37</v>
      </c>
      <c r="F772" s="34" t="s">
        <v>54</v>
      </c>
      <c r="G772" s="34" t="str">
        <f>VLOOKUP(B772,Dane!$A$1:$G$1001,6,FALSE)</f>
        <v>własność</v>
      </c>
    </row>
    <row r="773" spans="1:7" x14ac:dyDescent="0.3">
      <c r="A773" s="34">
        <v>772</v>
      </c>
      <c r="B773" s="34">
        <v>691</v>
      </c>
      <c r="C773" s="34">
        <v>15</v>
      </c>
      <c r="D773" s="34">
        <v>975</v>
      </c>
      <c r="E773" s="34">
        <v>25</v>
      </c>
      <c r="F773" s="34" t="s">
        <v>54</v>
      </c>
      <c r="G773" s="34" t="str">
        <f>VLOOKUP(B773,Dane!$A$1:$G$1001,6,FALSE)</f>
        <v>własność</v>
      </c>
    </row>
    <row r="774" spans="1:7" x14ac:dyDescent="0.3">
      <c r="A774" s="34">
        <v>773</v>
      </c>
      <c r="B774" s="34">
        <v>715</v>
      </c>
      <c r="C774" s="34">
        <v>60</v>
      </c>
      <c r="D774" s="34">
        <v>14027</v>
      </c>
      <c r="E774" s="34">
        <v>27</v>
      </c>
      <c r="F774" s="34" t="s">
        <v>55</v>
      </c>
      <c r="G774" s="34" t="str">
        <f>VLOOKUP(B774,Dane!$A$1:$G$1001,6,FALSE)</f>
        <v>własność</v>
      </c>
    </row>
    <row r="775" spans="1:7" x14ac:dyDescent="0.3">
      <c r="A775" s="34">
        <v>774</v>
      </c>
      <c r="B775" s="34">
        <v>942</v>
      </c>
      <c r="C775" s="34">
        <v>10</v>
      </c>
      <c r="D775" s="34">
        <v>1546</v>
      </c>
      <c r="E775" s="34">
        <v>31</v>
      </c>
      <c r="F775" s="34" t="s">
        <v>54</v>
      </c>
      <c r="G775" s="34" t="str">
        <f>VLOOKUP(B775,Dane!$A$1:$G$1001,6,FALSE)</f>
        <v>własność</v>
      </c>
    </row>
    <row r="776" spans="1:7" x14ac:dyDescent="0.3">
      <c r="A776" s="34">
        <v>775</v>
      </c>
      <c r="B776" s="34">
        <v>173</v>
      </c>
      <c r="C776" s="34">
        <v>24</v>
      </c>
      <c r="D776" s="34">
        <v>2064</v>
      </c>
      <c r="E776" s="34">
        <v>34</v>
      </c>
      <c r="F776" s="34" t="s">
        <v>57</v>
      </c>
      <c r="G776" s="34" t="str">
        <f>VLOOKUP(B776,Dane!$A$1:$G$1001,6,FALSE)</f>
        <v>własność</v>
      </c>
    </row>
    <row r="777" spans="1:7" x14ac:dyDescent="0.3">
      <c r="A777" s="34">
        <v>776</v>
      </c>
      <c r="B777" s="34">
        <v>351</v>
      </c>
      <c r="C777" s="34">
        <v>9</v>
      </c>
      <c r="D777" s="34">
        <v>1236</v>
      </c>
      <c r="E777" s="34">
        <v>23</v>
      </c>
      <c r="F777" s="34" t="s">
        <v>56</v>
      </c>
      <c r="G777" s="34" t="str">
        <f>VLOOKUP(B777,Dane!$A$1:$G$1001,6,FALSE)</f>
        <v>wynajem</v>
      </c>
    </row>
    <row r="778" spans="1:7" x14ac:dyDescent="0.3">
      <c r="A778" s="34">
        <v>777</v>
      </c>
      <c r="B778" s="34">
        <v>726</v>
      </c>
      <c r="C778" s="34">
        <v>6</v>
      </c>
      <c r="D778" s="34">
        <v>250</v>
      </c>
      <c r="E778" s="34">
        <v>41</v>
      </c>
      <c r="F778" s="34" t="s">
        <v>56</v>
      </c>
      <c r="G778" s="34" t="str">
        <f>VLOOKUP(B778,Dane!$A$1:$G$1001,6,FALSE)</f>
        <v>własność</v>
      </c>
    </row>
    <row r="779" spans="1:7" x14ac:dyDescent="0.3">
      <c r="A779" s="34">
        <v>778</v>
      </c>
      <c r="B779" s="34">
        <v>518</v>
      </c>
      <c r="C779" s="34">
        <v>36</v>
      </c>
      <c r="D779" s="34">
        <v>7127</v>
      </c>
      <c r="E779" s="34">
        <v>23</v>
      </c>
      <c r="F779" s="34" t="s">
        <v>57</v>
      </c>
      <c r="G779" s="34" t="str">
        <f>VLOOKUP(B779,Dane!$A$1:$G$1001,6,FALSE)</f>
        <v>wynajem</v>
      </c>
    </row>
    <row r="780" spans="1:7" x14ac:dyDescent="0.3">
      <c r="A780" s="34">
        <v>779</v>
      </c>
      <c r="B780" s="34">
        <v>51</v>
      </c>
      <c r="C780" s="34">
        <v>24</v>
      </c>
      <c r="D780" s="34">
        <v>2333</v>
      </c>
      <c r="E780" s="34">
        <v>29</v>
      </c>
      <c r="F780" s="34" t="s">
        <v>54</v>
      </c>
      <c r="G780" s="34" t="str">
        <f>VLOOKUP(B780,Dane!$A$1:$G$1001,6,FALSE)</f>
        <v>własność</v>
      </c>
    </row>
    <row r="781" spans="1:7" x14ac:dyDescent="0.3">
      <c r="A781" s="34">
        <v>780</v>
      </c>
      <c r="B781" s="34">
        <v>312</v>
      </c>
      <c r="C781" s="34">
        <v>24</v>
      </c>
      <c r="D781" s="34">
        <v>5511</v>
      </c>
      <c r="E781" s="34">
        <v>25</v>
      </c>
      <c r="F781" s="34" t="s">
        <v>54</v>
      </c>
      <c r="G781" s="34" t="str">
        <f>VLOOKUP(B781,Dane!$A$1:$G$1001,6,FALSE)</f>
        <v>własność</v>
      </c>
    </row>
    <row r="782" spans="1:7" x14ac:dyDescent="0.3">
      <c r="A782" s="34">
        <v>781</v>
      </c>
      <c r="B782" s="34">
        <v>75</v>
      </c>
      <c r="C782" s="34">
        <v>36</v>
      </c>
      <c r="D782" s="34">
        <v>1977</v>
      </c>
      <c r="E782" s="34">
        <v>40</v>
      </c>
      <c r="F782" s="34" t="s">
        <v>55</v>
      </c>
      <c r="G782" s="34" t="str">
        <f>VLOOKUP(B782,Dane!$A$1:$G$1001,6,FALSE)</f>
        <v>własność</v>
      </c>
    </row>
    <row r="783" spans="1:7" x14ac:dyDescent="0.3">
      <c r="A783" s="34">
        <v>782</v>
      </c>
      <c r="B783" s="34">
        <v>698</v>
      </c>
      <c r="C783" s="34">
        <v>12</v>
      </c>
      <c r="D783" s="34">
        <v>926</v>
      </c>
      <c r="E783" s="34">
        <v>38</v>
      </c>
      <c r="F783" s="34" t="s">
        <v>56</v>
      </c>
      <c r="G783" s="34" t="str">
        <f>VLOOKUP(B783,Dane!$A$1:$G$1001,6,FALSE)</f>
        <v>własność</v>
      </c>
    </row>
    <row r="784" spans="1:7" x14ac:dyDescent="0.3">
      <c r="A784" s="34">
        <v>783</v>
      </c>
      <c r="B784" s="34">
        <v>571</v>
      </c>
      <c r="C784" s="34">
        <v>24</v>
      </c>
      <c r="D784" s="34">
        <v>3234</v>
      </c>
      <c r="E784" s="34">
        <v>23</v>
      </c>
      <c r="F784" s="34" t="s">
        <v>57</v>
      </c>
      <c r="G784" s="34" t="str">
        <f>VLOOKUP(B784,Dane!$A$1:$G$1001,6,FALSE)</f>
        <v>wynajem</v>
      </c>
    </row>
    <row r="785" spans="1:7" x14ac:dyDescent="0.3">
      <c r="A785" s="34">
        <v>784</v>
      </c>
      <c r="B785" s="34">
        <v>764</v>
      </c>
      <c r="C785" s="34">
        <v>21</v>
      </c>
      <c r="D785" s="34">
        <v>12680</v>
      </c>
      <c r="E785" s="34">
        <v>30</v>
      </c>
      <c r="F785" s="34" t="s">
        <v>55</v>
      </c>
      <c r="G785" s="34" t="str">
        <f>VLOOKUP(B785,Dane!$A$1:$G$1001,6,FALSE)</f>
        <v>za darmo</v>
      </c>
    </row>
    <row r="786" spans="1:7" x14ac:dyDescent="0.3">
      <c r="A786" s="34">
        <v>785</v>
      </c>
      <c r="B786" s="34">
        <v>690</v>
      </c>
      <c r="C786" s="34">
        <v>12</v>
      </c>
      <c r="D786" s="34">
        <v>3651</v>
      </c>
      <c r="E786" s="34">
        <v>31</v>
      </c>
      <c r="F786" s="34" t="s">
        <v>54</v>
      </c>
      <c r="G786" s="34" t="str">
        <f>VLOOKUP(B786,Dane!$A$1:$G$1001,6,FALSE)</f>
        <v>własność</v>
      </c>
    </row>
    <row r="787" spans="1:7" x14ac:dyDescent="0.3">
      <c r="A787" s="34">
        <v>786</v>
      </c>
      <c r="B787" s="34">
        <v>407</v>
      </c>
      <c r="C787" s="34">
        <v>24</v>
      </c>
      <c r="D787" s="34">
        <v>2197</v>
      </c>
      <c r="E787" s="34">
        <v>43</v>
      </c>
      <c r="F787" s="34" t="s">
        <v>54</v>
      </c>
      <c r="G787" s="34" t="str">
        <f>VLOOKUP(B787,Dane!$A$1:$G$1001,6,FALSE)</f>
        <v>własność</v>
      </c>
    </row>
    <row r="788" spans="1:7" x14ac:dyDescent="0.3">
      <c r="A788" s="34">
        <v>787</v>
      </c>
      <c r="B788" s="34">
        <v>59</v>
      </c>
      <c r="C788" s="34">
        <v>18</v>
      </c>
      <c r="D788" s="34">
        <v>1961</v>
      </c>
      <c r="E788" s="34">
        <v>23</v>
      </c>
      <c r="F788" s="34" t="s">
        <v>56</v>
      </c>
      <c r="G788" s="34" t="str">
        <f>VLOOKUP(B788,Dane!$A$1:$G$1001,6,FALSE)</f>
        <v>własność</v>
      </c>
    </row>
    <row r="789" spans="1:7" x14ac:dyDescent="0.3">
      <c r="A789" s="34">
        <v>788</v>
      </c>
      <c r="B789" s="34">
        <v>293</v>
      </c>
      <c r="C789" s="34">
        <v>24</v>
      </c>
      <c r="D789" s="34">
        <v>6419</v>
      </c>
      <c r="E789" s="34">
        <v>44</v>
      </c>
      <c r="F789" s="34" t="s">
        <v>56</v>
      </c>
      <c r="G789" s="34" t="str">
        <f>VLOOKUP(B789,Dane!$A$1:$G$1001,6,FALSE)</f>
        <v>za darmo</v>
      </c>
    </row>
    <row r="790" spans="1:7" x14ac:dyDescent="0.3">
      <c r="A790" s="34">
        <v>789</v>
      </c>
      <c r="B790" s="34">
        <v>442</v>
      </c>
      <c r="C790" s="34">
        <v>12</v>
      </c>
      <c r="D790" s="34">
        <v>1620</v>
      </c>
      <c r="E790" s="34">
        <v>30</v>
      </c>
      <c r="F790" s="34" t="s">
        <v>56</v>
      </c>
      <c r="G790" s="34" t="str">
        <f>VLOOKUP(B790,Dane!$A$1:$G$1001,6,FALSE)</f>
        <v>własność</v>
      </c>
    </row>
    <row r="791" spans="1:7" x14ac:dyDescent="0.3">
      <c r="A791" s="34">
        <v>790</v>
      </c>
      <c r="B791" s="34">
        <v>829</v>
      </c>
      <c r="C791" s="34">
        <v>36</v>
      </c>
      <c r="D791" s="34">
        <v>8335</v>
      </c>
      <c r="E791" s="34">
        <v>47</v>
      </c>
      <c r="F791" s="34" t="s">
        <v>55</v>
      </c>
      <c r="G791" s="34" t="str">
        <f>VLOOKUP(B791,Dane!$A$1:$G$1001,6,FALSE)</f>
        <v>za darmo</v>
      </c>
    </row>
    <row r="792" spans="1:7" x14ac:dyDescent="0.3">
      <c r="A792" s="34">
        <v>791</v>
      </c>
      <c r="B792" s="34">
        <v>157</v>
      </c>
      <c r="C792" s="34">
        <v>9</v>
      </c>
      <c r="D792" s="34">
        <v>1288</v>
      </c>
      <c r="E792" s="34">
        <v>48</v>
      </c>
      <c r="F792" s="34" t="s">
        <v>54</v>
      </c>
      <c r="G792" s="34" t="str">
        <f>VLOOKUP(B792,Dane!$A$1:$G$1001,6,FALSE)</f>
        <v>własność</v>
      </c>
    </row>
    <row r="793" spans="1:7" x14ac:dyDescent="0.3">
      <c r="A793" s="34">
        <v>792</v>
      </c>
      <c r="B793" s="34">
        <v>503</v>
      </c>
      <c r="C793" s="34">
        <v>9</v>
      </c>
      <c r="D793" s="34">
        <v>1126</v>
      </c>
      <c r="E793" s="34">
        <v>49</v>
      </c>
      <c r="F793" s="34" t="s">
        <v>54</v>
      </c>
      <c r="G793" s="34" t="str">
        <f>VLOOKUP(B793,Dane!$A$1:$G$1001,6,FALSE)</f>
        <v>własność</v>
      </c>
    </row>
    <row r="794" spans="1:7" x14ac:dyDescent="0.3">
      <c r="A794" s="34">
        <v>793</v>
      </c>
      <c r="B794" s="34">
        <v>939</v>
      </c>
      <c r="C794" s="34">
        <v>60</v>
      </c>
      <c r="D794" s="34">
        <v>6288</v>
      </c>
      <c r="E794" s="34">
        <v>42</v>
      </c>
      <c r="F794" s="34" t="s">
        <v>55</v>
      </c>
      <c r="G794" s="34" t="str">
        <f>VLOOKUP(B794,Dane!$A$1:$G$1001,6,FALSE)</f>
        <v>za darmo</v>
      </c>
    </row>
    <row r="795" spans="1:7" x14ac:dyDescent="0.3">
      <c r="A795" s="34">
        <v>794</v>
      </c>
      <c r="B795" s="34">
        <v>273</v>
      </c>
      <c r="C795" s="34">
        <v>48</v>
      </c>
      <c r="D795" s="34">
        <v>12169</v>
      </c>
      <c r="E795" s="34">
        <v>36</v>
      </c>
      <c r="F795" s="34" t="s">
        <v>54</v>
      </c>
      <c r="G795" s="34" t="str">
        <f>VLOOKUP(B795,Dane!$A$1:$G$1001,6,FALSE)</f>
        <v>za darmo</v>
      </c>
    </row>
    <row r="796" spans="1:7" x14ac:dyDescent="0.3">
      <c r="A796" s="34">
        <v>795</v>
      </c>
      <c r="B796" s="34">
        <v>755</v>
      </c>
      <c r="C796" s="34">
        <v>12</v>
      </c>
      <c r="D796" s="34">
        <v>1555</v>
      </c>
      <c r="E796" s="34">
        <v>55</v>
      </c>
      <c r="F796" s="34" t="s">
        <v>55</v>
      </c>
      <c r="G796" s="34" t="str">
        <f>VLOOKUP(B796,Dane!$A$1:$G$1001,6,FALSE)</f>
        <v>za darmo</v>
      </c>
    </row>
    <row r="797" spans="1:7" x14ac:dyDescent="0.3">
      <c r="A797" s="34">
        <v>796</v>
      </c>
      <c r="B797" s="34">
        <v>719</v>
      </c>
      <c r="C797" s="34">
        <v>24</v>
      </c>
      <c r="D797" s="34">
        <v>3148</v>
      </c>
      <c r="E797" s="34">
        <v>31</v>
      </c>
      <c r="F797" s="34" t="s">
        <v>54</v>
      </c>
      <c r="G797" s="34" t="str">
        <f>VLOOKUP(B797,Dane!$A$1:$G$1001,6,FALSE)</f>
        <v>własność</v>
      </c>
    </row>
    <row r="798" spans="1:7" x14ac:dyDescent="0.3">
      <c r="A798" s="34">
        <v>797</v>
      </c>
      <c r="B798" s="34">
        <v>596</v>
      </c>
      <c r="C798" s="34">
        <v>6</v>
      </c>
      <c r="D798" s="34">
        <v>931</v>
      </c>
      <c r="E798" s="34">
        <v>32</v>
      </c>
      <c r="F798" s="34" t="s">
        <v>57</v>
      </c>
      <c r="G798" s="34" t="str">
        <f>VLOOKUP(B798,Dane!$A$1:$G$1001,6,FALSE)</f>
        <v>własność</v>
      </c>
    </row>
    <row r="799" spans="1:7" x14ac:dyDescent="0.3">
      <c r="A799" s="34">
        <v>798</v>
      </c>
      <c r="B799" s="34">
        <v>988</v>
      </c>
      <c r="C799" s="34">
        <v>13</v>
      </c>
      <c r="D799" s="34">
        <v>1409</v>
      </c>
      <c r="E799" s="34">
        <v>64</v>
      </c>
      <c r="F799" s="34" t="s">
        <v>56</v>
      </c>
      <c r="G799" s="34" t="str">
        <f>VLOOKUP(B799,Dane!$A$1:$G$1001,6,FALSE)</f>
        <v>własność</v>
      </c>
    </row>
    <row r="800" spans="1:7" x14ac:dyDescent="0.3">
      <c r="A800" s="34">
        <v>799</v>
      </c>
      <c r="B800" s="34">
        <v>383</v>
      </c>
      <c r="C800" s="34">
        <v>22</v>
      </c>
      <c r="D800" s="34">
        <v>1283</v>
      </c>
      <c r="E800" s="34">
        <v>25</v>
      </c>
      <c r="F800" s="34" t="s">
        <v>56</v>
      </c>
      <c r="G800" s="34" t="str">
        <f>VLOOKUP(B800,Dane!$A$1:$G$1001,6,FALSE)</f>
        <v>wynajem</v>
      </c>
    </row>
    <row r="801" spans="1:7" x14ac:dyDescent="0.3">
      <c r="A801" s="34">
        <v>800</v>
      </c>
      <c r="B801" s="34">
        <v>606</v>
      </c>
      <c r="C801" s="34">
        <v>24</v>
      </c>
      <c r="D801" s="34">
        <v>2828</v>
      </c>
      <c r="E801" s="34">
        <v>22</v>
      </c>
      <c r="F801" s="34" t="s">
        <v>54</v>
      </c>
      <c r="G801" s="34" t="str">
        <f>VLOOKUP(B801,Dane!$A$1:$G$1001,6,FALSE)</f>
        <v>własność</v>
      </c>
    </row>
    <row r="802" spans="1:7" x14ac:dyDescent="0.3">
      <c r="A802" s="34">
        <v>801</v>
      </c>
      <c r="B802" s="34">
        <v>56</v>
      </c>
      <c r="C802" s="34">
        <v>6</v>
      </c>
      <c r="D802" s="34">
        <v>783</v>
      </c>
      <c r="E802" s="34">
        <v>26</v>
      </c>
      <c r="F802" s="34" t="s">
        <v>54</v>
      </c>
      <c r="G802" s="34" t="str">
        <f>VLOOKUP(B802,Dane!$A$1:$G$1001,6,FALSE)</f>
        <v>własność</v>
      </c>
    </row>
    <row r="803" spans="1:7" x14ac:dyDescent="0.3">
      <c r="A803" s="34">
        <v>802</v>
      </c>
      <c r="B803" s="34">
        <v>990</v>
      </c>
      <c r="C803" s="34">
        <v>24</v>
      </c>
      <c r="D803" s="34">
        <v>1743</v>
      </c>
      <c r="E803" s="34">
        <v>48</v>
      </c>
      <c r="F803" s="34" t="s">
        <v>54</v>
      </c>
      <c r="G803" s="34" t="str">
        <f>VLOOKUP(B803,Dane!$A$1:$G$1001,6,FALSE)</f>
        <v>własność</v>
      </c>
    </row>
    <row r="804" spans="1:7" x14ac:dyDescent="0.3">
      <c r="A804" s="34">
        <v>803</v>
      </c>
      <c r="B804" s="34">
        <v>626</v>
      </c>
      <c r="C804" s="34">
        <v>15</v>
      </c>
      <c r="D804" s="34">
        <v>1979</v>
      </c>
      <c r="E804" s="34">
        <v>35</v>
      </c>
      <c r="F804" s="34" t="s">
        <v>54</v>
      </c>
      <c r="G804" s="34" t="str">
        <f>VLOOKUP(B804,Dane!$A$1:$G$1001,6,FALSE)</f>
        <v>własność</v>
      </c>
    </row>
    <row r="805" spans="1:7" x14ac:dyDescent="0.3">
      <c r="A805" s="34">
        <v>804</v>
      </c>
      <c r="B805" s="34">
        <v>641</v>
      </c>
      <c r="C805" s="34">
        <v>18</v>
      </c>
      <c r="D805" s="34">
        <v>750</v>
      </c>
      <c r="E805" s="34">
        <v>27</v>
      </c>
      <c r="F805" s="34" t="s">
        <v>57</v>
      </c>
      <c r="G805" s="34" t="str">
        <f>VLOOKUP(B805,Dane!$A$1:$G$1001,6,FALSE)</f>
        <v>własność</v>
      </c>
    </row>
    <row r="806" spans="1:7" x14ac:dyDescent="0.3">
      <c r="A806" s="34">
        <v>805</v>
      </c>
      <c r="B806" s="34">
        <v>916</v>
      </c>
      <c r="C806" s="34">
        <v>48</v>
      </c>
      <c r="D806" s="34">
        <v>18424</v>
      </c>
      <c r="E806" s="34">
        <v>32</v>
      </c>
      <c r="F806" s="34" t="s">
        <v>57</v>
      </c>
      <c r="G806" s="34" t="str">
        <f>VLOOKUP(B806,Dane!$A$1:$G$1001,6,FALSE)</f>
        <v>własność</v>
      </c>
    </row>
    <row r="807" spans="1:7" x14ac:dyDescent="0.3">
      <c r="A807" s="34">
        <v>806</v>
      </c>
      <c r="B807" s="34">
        <v>484</v>
      </c>
      <c r="C807" s="34">
        <v>15</v>
      </c>
      <c r="D807" s="34">
        <v>960</v>
      </c>
      <c r="E807" s="34">
        <v>30</v>
      </c>
      <c r="F807" s="34" t="s">
        <v>56</v>
      </c>
      <c r="G807" s="34" t="str">
        <f>VLOOKUP(B807,Dane!$A$1:$G$1001,6,FALSE)</f>
        <v>własność</v>
      </c>
    </row>
    <row r="808" spans="1:7" x14ac:dyDescent="0.3">
      <c r="A808" s="34">
        <v>807</v>
      </c>
      <c r="B808" s="34">
        <v>820</v>
      </c>
      <c r="C808" s="34">
        <v>18</v>
      </c>
      <c r="D808" s="34">
        <v>1345</v>
      </c>
      <c r="E808" s="34">
        <v>26</v>
      </c>
      <c r="F808" s="34" t="s">
        <v>55</v>
      </c>
      <c r="G808" s="34" t="str">
        <f>VLOOKUP(B808,Dane!$A$1:$G$1001,6,FALSE)</f>
        <v>własność</v>
      </c>
    </row>
    <row r="809" spans="1:7" x14ac:dyDescent="0.3">
      <c r="A809" s="34">
        <v>808</v>
      </c>
      <c r="B809" s="34">
        <v>3</v>
      </c>
      <c r="C809" s="34">
        <v>12</v>
      </c>
      <c r="D809" s="34">
        <v>2096</v>
      </c>
      <c r="E809" s="34">
        <v>49</v>
      </c>
      <c r="F809" s="34" t="s">
        <v>54</v>
      </c>
      <c r="G809" s="34" t="str">
        <f>VLOOKUP(B809,Dane!$A$1:$G$1001,6,FALSE)</f>
        <v>własność</v>
      </c>
    </row>
    <row r="810" spans="1:7" x14ac:dyDescent="0.3">
      <c r="A810" s="34">
        <v>809</v>
      </c>
      <c r="B810" s="34">
        <v>271</v>
      </c>
      <c r="C810" s="34">
        <v>18</v>
      </c>
      <c r="D810" s="34">
        <v>2662</v>
      </c>
      <c r="E810" s="34">
        <v>32</v>
      </c>
      <c r="F810" s="34" t="s">
        <v>54</v>
      </c>
      <c r="G810" s="34" t="str">
        <f>VLOOKUP(B810,Dane!$A$1:$G$1001,6,FALSE)</f>
        <v>własność</v>
      </c>
    </row>
    <row r="811" spans="1:7" x14ac:dyDescent="0.3">
      <c r="A811" s="34">
        <v>810</v>
      </c>
      <c r="B811" s="34">
        <v>530</v>
      </c>
      <c r="C811" s="34">
        <v>6</v>
      </c>
      <c r="D811" s="34">
        <v>662</v>
      </c>
      <c r="E811" s="34">
        <v>41</v>
      </c>
      <c r="F811" s="34" t="s">
        <v>54</v>
      </c>
      <c r="G811" s="34" t="str">
        <f>VLOOKUP(B811,Dane!$A$1:$G$1001,6,FALSE)</f>
        <v>własność</v>
      </c>
    </row>
    <row r="812" spans="1:7" x14ac:dyDescent="0.3">
      <c r="A812" s="34">
        <v>811</v>
      </c>
      <c r="B812" s="34">
        <v>217</v>
      </c>
      <c r="C812" s="34">
        <v>18</v>
      </c>
      <c r="D812" s="34">
        <v>3104</v>
      </c>
      <c r="E812" s="34">
        <v>31</v>
      </c>
      <c r="F812" s="34" t="s">
        <v>54</v>
      </c>
      <c r="G812" s="34" t="str">
        <f>VLOOKUP(B812,Dane!$A$1:$G$1001,6,FALSE)</f>
        <v>własność</v>
      </c>
    </row>
    <row r="813" spans="1:7" x14ac:dyDescent="0.3">
      <c r="A813" s="34">
        <v>812</v>
      </c>
      <c r="B813" s="34">
        <v>688</v>
      </c>
      <c r="C813" s="34">
        <v>36</v>
      </c>
      <c r="D813" s="34">
        <v>2862</v>
      </c>
      <c r="E813" s="34">
        <v>30</v>
      </c>
      <c r="F813" s="34" t="s">
        <v>54</v>
      </c>
      <c r="G813" s="34" t="str">
        <f>VLOOKUP(B813,Dane!$A$1:$G$1001,6,FALSE)</f>
        <v>za darmo</v>
      </c>
    </row>
    <row r="814" spans="1:7" x14ac:dyDescent="0.3">
      <c r="A814" s="34">
        <v>813</v>
      </c>
      <c r="B814" s="34">
        <v>400</v>
      </c>
      <c r="C814" s="34">
        <v>24</v>
      </c>
      <c r="D814" s="34">
        <v>1516</v>
      </c>
      <c r="E814" s="34">
        <v>43</v>
      </c>
      <c r="F814" s="34" t="s">
        <v>56</v>
      </c>
      <c r="G814" s="34" t="str">
        <f>VLOOKUP(B814,Dane!$A$1:$G$1001,6,FALSE)</f>
        <v>własność</v>
      </c>
    </row>
    <row r="815" spans="1:7" x14ac:dyDescent="0.3">
      <c r="A815" s="34">
        <v>814</v>
      </c>
      <c r="B815" s="34">
        <v>792</v>
      </c>
      <c r="C815" s="34">
        <v>24</v>
      </c>
      <c r="D815" s="34">
        <v>6313</v>
      </c>
      <c r="E815" s="34">
        <v>41</v>
      </c>
      <c r="F815" s="34" t="s">
        <v>54</v>
      </c>
      <c r="G815" s="34" t="str">
        <f>VLOOKUP(B815,Dane!$A$1:$G$1001,6,FALSE)</f>
        <v>własność</v>
      </c>
    </row>
    <row r="816" spans="1:7" x14ac:dyDescent="0.3">
      <c r="A816" s="34">
        <v>815</v>
      </c>
      <c r="B816" s="34">
        <v>189</v>
      </c>
      <c r="C816" s="34">
        <v>12</v>
      </c>
      <c r="D816" s="34">
        <v>674</v>
      </c>
      <c r="E816" s="34">
        <v>20</v>
      </c>
      <c r="F816" s="34" t="s">
        <v>55</v>
      </c>
      <c r="G816" s="34" t="str">
        <f>VLOOKUP(B816,Dane!$A$1:$G$1001,6,FALSE)</f>
        <v>własność</v>
      </c>
    </row>
    <row r="817" spans="1:7" x14ac:dyDescent="0.3">
      <c r="A817" s="34">
        <v>816</v>
      </c>
      <c r="B817" s="34">
        <v>467</v>
      </c>
      <c r="C817" s="34">
        <v>24</v>
      </c>
      <c r="D817" s="34">
        <v>1659</v>
      </c>
      <c r="E817" s="34">
        <v>29</v>
      </c>
      <c r="F817" s="34" t="s">
        <v>57</v>
      </c>
      <c r="G817" s="34" t="str">
        <f>VLOOKUP(B817,Dane!$A$1:$G$1001,6,FALSE)</f>
        <v>wynajem</v>
      </c>
    </row>
    <row r="818" spans="1:7" x14ac:dyDescent="0.3">
      <c r="A818" s="34">
        <v>817</v>
      </c>
      <c r="B818" s="34">
        <v>734</v>
      </c>
      <c r="C818" s="34">
        <v>24</v>
      </c>
      <c r="D818" s="34">
        <v>2603</v>
      </c>
      <c r="E818" s="34">
        <v>28</v>
      </c>
      <c r="F818" s="34" t="s">
        <v>56</v>
      </c>
      <c r="G818" s="34" t="str">
        <f>VLOOKUP(B818,Dane!$A$1:$G$1001,6,FALSE)</f>
        <v>wynajem</v>
      </c>
    </row>
    <row r="819" spans="1:7" x14ac:dyDescent="0.3">
      <c r="A819" s="34">
        <v>818</v>
      </c>
      <c r="B819" s="34">
        <v>61</v>
      </c>
      <c r="C819" s="34">
        <v>9</v>
      </c>
      <c r="D819" s="34">
        <v>1391</v>
      </c>
      <c r="E819" s="34">
        <v>27</v>
      </c>
      <c r="F819" s="34" t="s">
        <v>54</v>
      </c>
      <c r="G819" s="34" t="str">
        <f>VLOOKUP(B819,Dane!$A$1:$G$1001,6,FALSE)</f>
        <v>własność</v>
      </c>
    </row>
    <row r="820" spans="1:7" x14ac:dyDescent="0.3">
      <c r="A820" s="34">
        <v>819</v>
      </c>
      <c r="B820" s="34">
        <v>561</v>
      </c>
      <c r="C820" s="34">
        <v>24</v>
      </c>
      <c r="D820" s="34">
        <v>2964</v>
      </c>
      <c r="E820" s="34">
        <v>49</v>
      </c>
      <c r="F820" s="34" t="s">
        <v>54</v>
      </c>
      <c r="G820" s="34" t="str">
        <f>VLOOKUP(B820,Dane!$A$1:$G$1001,6,FALSE)</f>
        <v>za darmo</v>
      </c>
    </row>
    <row r="821" spans="1:7" x14ac:dyDescent="0.3">
      <c r="A821" s="34">
        <v>820</v>
      </c>
      <c r="B821" s="34">
        <v>611</v>
      </c>
      <c r="C821" s="34">
        <v>12</v>
      </c>
      <c r="D821" s="34">
        <v>741</v>
      </c>
      <c r="E821" s="34">
        <v>22</v>
      </c>
      <c r="F821" s="34" t="s">
        <v>57</v>
      </c>
      <c r="G821" s="34" t="str">
        <f>VLOOKUP(B821,Dane!$A$1:$G$1001,6,FALSE)</f>
        <v>własność</v>
      </c>
    </row>
    <row r="822" spans="1:7" x14ac:dyDescent="0.3">
      <c r="A822" s="34">
        <v>821</v>
      </c>
      <c r="B822" s="34">
        <v>947</v>
      </c>
      <c r="C822" s="34">
        <v>24</v>
      </c>
      <c r="D822" s="34">
        <v>3349</v>
      </c>
      <c r="E822" s="34">
        <v>30</v>
      </c>
      <c r="F822" s="34" t="s">
        <v>55</v>
      </c>
      <c r="G822" s="34" t="str">
        <f>VLOOKUP(B822,Dane!$A$1:$G$1001,6,FALSE)</f>
        <v>za darmo</v>
      </c>
    </row>
    <row r="823" spans="1:7" x14ac:dyDescent="0.3">
      <c r="A823" s="34">
        <v>822</v>
      </c>
      <c r="B823" s="34">
        <v>4</v>
      </c>
      <c r="C823" s="34">
        <v>42</v>
      </c>
      <c r="D823" s="34">
        <v>7882</v>
      </c>
      <c r="E823" s="34">
        <v>45</v>
      </c>
      <c r="F823" s="34" t="s">
        <v>54</v>
      </c>
      <c r="G823" s="34" t="str">
        <f>VLOOKUP(B823,Dane!$A$1:$G$1001,6,FALSE)</f>
        <v>za darmo</v>
      </c>
    </row>
    <row r="824" spans="1:7" x14ac:dyDescent="0.3">
      <c r="A824" s="34">
        <v>823</v>
      </c>
      <c r="B824" s="34">
        <v>569</v>
      </c>
      <c r="C824" s="34">
        <v>48</v>
      </c>
      <c r="D824" s="34">
        <v>3979</v>
      </c>
      <c r="E824" s="34">
        <v>41</v>
      </c>
      <c r="F824" s="34" t="s">
        <v>54</v>
      </c>
      <c r="G824" s="34" t="str">
        <f>VLOOKUP(B824,Dane!$A$1:$G$1001,6,FALSE)</f>
        <v>własność</v>
      </c>
    </row>
    <row r="825" spans="1:7" x14ac:dyDescent="0.3">
      <c r="A825" s="34">
        <v>824</v>
      </c>
      <c r="B825" s="34">
        <v>382</v>
      </c>
      <c r="C825" s="34">
        <v>18</v>
      </c>
      <c r="D825" s="34">
        <v>12976</v>
      </c>
      <c r="E825" s="34">
        <v>38</v>
      </c>
      <c r="F825" s="34" t="s">
        <v>57</v>
      </c>
      <c r="G825" s="34" t="str">
        <f>VLOOKUP(B825,Dane!$A$1:$G$1001,6,FALSE)</f>
        <v>za darmo</v>
      </c>
    </row>
    <row r="826" spans="1:7" x14ac:dyDescent="0.3">
      <c r="A826" s="34">
        <v>825</v>
      </c>
      <c r="B826" s="34">
        <v>242</v>
      </c>
      <c r="C826" s="34">
        <v>6</v>
      </c>
      <c r="D826" s="34">
        <v>1595</v>
      </c>
      <c r="E826" s="34">
        <v>51</v>
      </c>
      <c r="F826" s="34" t="s">
        <v>54</v>
      </c>
      <c r="G826" s="34" t="str">
        <f>VLOOKUP(B826,Dane!$A$1:$G$1001,6,FALSE)</f>
        <v>własność</v>
      </c>
    </row>
    <row r="827" spans="1:7" x14ac:dyDescent="0.3">
      <c r="A827" s="34">
        <v>826</v>
      </c>
      <c r="B827" s="34">
        <v>787</v>
      </c>
      <c r="C827" s="34">
        <v>22</v>
      </c>
      <c r="D827" s="34">
        <v>2675</v>
      </c>
      <c r="E827" s="34">
        <v>40</v>
      </c>
      <c r="F827" s="34" t="s">
        <v>54</v>
      </c>
      <c r="G827" s="34" t="str">
        <f>VLOOKUP(B827,Dane!$A$1:$G$1001,6,FALSE)</f>
        <v>własność</v>
      </c>
    </row>
    <row r="828" spans="1:7" x14ac:dyDescent="0.3">
      <c r="A828" s="34">
        <v>827</v>
      </c>
      <c r="B828" s="34">
        <v>405</v>
      </c>
      <c r="C828" s="34">
        <v>18</v>
      </c>
      <c r="D828" s="34">
        <v>2899</v>
      </c>
      <c r="E828" s="34">
        <v>43</v>
      </c>
      <c r="F828" s="34" t="s">
        <v>54</v>
      </c>
      <c r="G828" s="34" t="str">
        <f>VLOOKUP(B828,Dane!$A$1:$G$1001,6,FALSE)</f>
        <v>własność</v>
      </c>
    </row>
    <row r="829" spans="1:7" x14ac:dyDescent="0.3">
      <c r="A829" s="34">
        <v>828</v>
      </c>
      <c r="B829" s="34">
        <v>377</v>
      </c>
      <c r="C829" s="34">
        <v>18</v>
      </c>
      <c r="D829" s="34">
        <v>2320</v>
      </c>
      <c r="E829" s="34">
        <v>34</v>
      </c>
      <c r="F829" s="34" t="s">
        <v>54</v>
      </c>
      <c r="G829" s="34" t="str">
        <f>VLOOKUP(B829,Dane!$A$1:$G$1001,6,FALSE)</f>
        <v>własność</v>
      </c>
    </row>
    <row r="830" spans="1:7" x14ac:dyDescent="0.3">
      <c r="A830" s="34">
        <v>829</v>
      </c>
      <c r="B830" s="34">
        <v>174</v>
      </c>
      <c r="C830" s="34">
        <v>8</v>
      </c>
      <c r="D830" s="34">
        <v>1414</v>
      </c>
      <c r="E830" s="34">
        <v>33</v>
      </c>
      <c r="F830" s="34" t="s">
        <v>54</v>
      </c>
      <c r="G830" s="34" t="str">
        <f>VLOOKUP(B830,Dane!$A$1:$G$1001,6,FALSE)</f>
        <v>własność</v>
      </c>
    </row>
    <row r="831" spans="1:7" x14ac:dyDescent="0.3">
      <c r="A831" s="34">
        <v>830</v>
      </c>
      <c r="B831" s="34">
        <v>702</v>
      </c>
      <c r="C831" s="34">
        <v>48</v>
      </c>
      <c r="D831" s="34">
        <v>6331</v>
      </c>
      <c r="E831" s="34">
        <v>46</v>
      </c>
      <c r="F831" s="34" t="s">
        <v>55</v>
      </c>
      <c r="G831" s="34" t="str">
        <f>VLOOKUP(B831,Dane!$A$1:$G$1001,6,FALSE)</f>
        <v>za darmo</v>
      </c>
    </row>
    <row r="832" spans="1:7" x14ac:dyDescent="0.3">
      <c r="A832" s="34">
        <v>831</v>
      </c>
      <c r="B832" s="34">
        <v>349</v>
      </c>
      <c r="C832" s="34">
        <v>6</v>
      </c>
      <c r="D832" s="34">
        <v>1743</v>
      </c>
      <c r="E832" s="34">
        <v>34</v>
      </c>
      <c r="F832" s="34" t="s">
        <v>54</v>
      </c>
      <c r="G832" s="34" t="str">
        <f>VLOOKUP(B832,Dane!$A$1:$G$1001,6,FALSE)</f>
        <v>własność</v>
      </c>
    </row>
    <row r="833" spans="1:7" x14ac:dyDescent="0.3">
      <c r="A833" s="34">
        <v>832</v>
      </c>
      <c r="B833" s="34">
        <v>261</v>
      </c>
      <c r="C833" s="34">
        <v>12</v>
      </c>
      <c r="D833" s="34">
        <v>1657</v>
      </c>
      <c r="E833" s="34">
        <v>27</v>
      </c>
      <c r="F833" s="34" t="s">
        <v>54</v>
      </c>
      <c r="G833" s="34" t="str">
        <f>VLOOKUP(B833,Dane!$A$1:$G$1001,6,FALSE)</f>
        <v>własność</v>
      </c>
    </row>
    <row r="834" spans="1:7" x14ac:dyDescent="0.3">
      <c r="A834" s="34">
        <v>833</v>
      </c>
      <c r="B834" s="34">
        <v>418</v>
      </c>
      <c r="C834" s="34">
        <v>18</v>
      </c>
      <c r="D834" s="34">
        <v>8471</v>
      </c>
      <c r="E834" s="34">
        <v>23</v>
      </c>
      <c r="F834" s="34" t="s">
        <v>56</v>
      </c>
      <c r="G834" s="34" t="str">
        <f>VLOOKUP(B834,Dane!$A$1:$G$1001,6,FALSE)</f>
        <v>wynajem</v>
      </c>
    </row>
    <row r="835" spans="1:7" x14ac:dyDescent="0.3">
      <c r="A835" s="34">
        <v>834</v>
      </c>
      <c r="B835" s="34">
        <v>115</v>
      </c>
      <c r="C835" s="34">
        <v>12</v>
      </c>
      <c r="D835" s="34">
        <v>1680</v>
      </c>
      <c r="E835" s="34">
        <v>35</v>
      </c>
      <c r="F835" s="34" t="s">
        <v>54</v>
      </c>
      <c r="G835" s="34" t="str">
        <f>VLOOKUP(B835,Dane!$A$1:$G$1001,6,FALSE)</f>
        <v>własność</v>
      </c>
    </row>
    <row r="836" spans="1:7" x14ac:dyDescent="0.3">
      <c r="A836" s="34">
        <v>835</v>
      </c>
      <c r="B836" s="34">
        <v>49</v>
      </c>
      <c r="C836" s="34">
        <v>11</v>
      </c>
      <c r="D836" s="34">
        <v>7228</v>
      </c>
      <c r="E836" s="34">
        <v>39</v>
      </c>
      <c r="F836" s="34" t="s">
        <v>54</v>
      </c>
      <c r="G836" s="34" t="str">
        <f>VLOOKUP(B836,Dane!$A$1:$G$1001,6,FALSE)</f>
        <v>własność</v>
      </c>
    </row>
    <row r="837" spans="1:7" x14ac:dyDescent="0.3">
      <c r="A837" s="34">
        <v>836</v>
      </c>
      <c r="B837" s="34">
        <v>646</v>
      </c>
      <c r="C837" s="34">
        <v>36</v>
      </c>
      <c r="D837" s="34">
        <v>7980</v>
      </c>
      <c r="E837" s="34">
        <v>27</v>
      </c>
      <c r="F837" s="34" t="s">
        <v>55</v>
      </c>
      <c r="G837" s="34" t="str">
        <f>VLOOKUP(B837,Dane!$A$1:$G$1001,6,FALSE)</f>
        <v>wynajem</v>
      </c>
    </row>
    <row r="838" spans="1:7" x14ac:dyDescent="0.3">
      <c r="A838" s="34">
        <v>837</v>
      </c>
      <c r="B838" s="34">
        <v>317</v>
      </c>
      <c r="C838" s="34">
        <v>12</v>
      </c>
      <c r="D838" s="34">
        <v>708</v>
      </c>
      <c r="E838" s="34">
        <v>38</v>
      </c>
      <c r="F838" s="34" t="s">
        <v>54</v>
      </c>
      <c r="G838" s="34" t="str">
        <f>VLOOKUP(B838,Dane!$A$1:$G$1001,6,FALSE)</f>
        <v>własność</v>
      </c>
    </row>
    <row r="839" spans="1:7" x14ac:dyDescent="0.3">
      <c r="A839" s="34">
        <v>838</v>
      </c>
      <c r="B839" s="34">
        <v>750</v>
      </c>
      <c r="C839" s="34">
        <v>15</v>
      </c>
      <c r="D839" s="34">
        <v>3029</v>
      </c>
      <c r="E839" s="34">
        <v>33</v>
      </c>
      <c r="F839" s="34" t="s">
        <v>54</v>
      </c>
      <c r="G839" s="34" t="str">
        <f>VLOOKUP(B839,Dane!$A$1:$G$1001,6,FALSE)</f>
        <v>własność</v>
      </c>
    </row>
    <row r="840" spans="1:7" x14ac:dyDescent="0.3">
      <c r="A840" s="34">
        <v>839</v>
      </c>
      <c r="B840" s="34">
        <v>373</v>
      </c>
      <c r="C840" s="34">
        <v>10</v>
      </c>
      <c r="D840" s="34">
        <v>2146</v>
      </c>
      <c r="E840" s="34">
        <v>23</v>
      </c>
      <c r="F840" s="34" t="s">
        <v>56</v>
      </c>
      <c r="G840" s="34" t="str">
        <f>VLOOKUP(B840,Dane!$A$1:$G$1001,6,FALSE)</f>
        <v>wynajem</v>
      </c>
    </row>
    <row r="841" spans="1:7" x14ac:dyDescent="0.3">
      <c r="A841" s="34">
        <v>840</v>
      </c>
      <c r="B841" s="34">
        <v>765</v>
      </c>
      <c r="C841" s="34">
        <v>24</v>
      </c>
      <c r="D841" s="34">
        <v>2463</v>
      </c>
      <c r="E841" s="34">
        <v>27</v>
      </c>
      <c r="F841" s="34" t="s">
        <v>54</v>
      </c>
      <c r="G841" s="34" t="str">
        <f>VLOOKUP(B841,Dane!$A$1:$G$1001,6,FALSE)</f>
        <v>własność</v>
      </c>
    </row>
    <row r="842" spans="1:7" x14ac:dyDescent="0.3">
      <c r="A842" s="34">
        <v>841</v>
      </c>
      <c r="B842" s="34">
        <v>865</v>
      </c>
      <c r="C842" s="34">
        <v>10</v>
      </c>
      <c r="D842" s="34">
        <v>2210</v>
      </c>
      <c r="E842" s="34">
        <v>25</v>
      </c>
      <c r="F842" s="34" t="s">
        <v>55</v>
      </c>
      <c r="G842" s="34" t="str">
        <f>VLOOKUP(B842,Dane!$A$1:$G$1001,6,FALSE)</f>
        <v>wynajem</v>
      </c>
    </row>
    <row r="843" spans="1:7" x14ac:dyDescent="0.3">
      <c r="A843" s="34">
        <v>842</v>
      </c>
      <c r="B843" s="34">
        <v>912</v>
      </c>
      <c r="C843" s="34">
        <v>24</v>
      </c>
      <c r="D843" s="34">
        <v>4736</v>
      </c>
      <c r="E843" s="34">
        <v>25</v>
      </c>
      <c r="F843" s="34" t="s">
        <v>57</v>
      </c>
      <c r="G843" s="34" t="str">
        <f>VLOOKUP(B843,Dane!$A$1:$G$1001,6,FALSE)</f>
        <v>własność</v>
      </c>
    </row>
    <row r="844" spans="1:7" x14ac:dyDescent="0.3">
      <c r="A844" s="34">
        <v>843</v>
      </c>
      <c r="B844" s="34">
        <v>897</v>
      </c>
      <c r="C844" s="34">
        <v>21</v>
      </c>
      <c r="D844" s="34">
        <v>2606</v>
      </c>
      <c r="E844" s="34">
        <v>28</v>
      </c>
      <c r="F844" s="34" t="s">
        <v>56</v>
      </c>
      <c r="G844" s="34" t="str">
        <f>VLOOKUP(B844,Dane!$A$1:$G$1001,6,FALSE)</f>
        <v>wynajem</v>
      </c>
    </row>
    <row r="845" spans="1:7" x14ac:dyDescent="0.3">
      <c r="A845" s="34">
        <v>844</v>
      </c>
      <c r="B845" s="34">
        <v>409</v>
      </c>
      <c r="C845" s="34">
        <v>24</v>
      </c>
      <c r="D845" s="34">
        <v>3235</v>
      </c>
      <c r="E845" s="34">
        <v>26</v>
      </c>
      <c r="F845" s="34" t="s">
        <v>54</v>
      </c>
      <c r="G845" s="34" t="str">
        <f>VLOOKUP(B845,Dane!$A$1:$G$1001,6,FALSE)</f>
        <v>własność</v>
      </c>
    </row>
    <row r="846" spans="1:7" x14ac:dyDescent="0.3">
      <c r="A846" s="34">
        <v>845</v>
      </c>
      <c r="B846" s="34">
        <v>476</v>
      </c>
      <c r="C846" s="34">
        <v>18</v>
      </c>
      <c r="D846" s="34">
        <v>3114</v>
      </c>
      <c r="E846" s="34">
        <v>26</v>
      </c>
      <c r="F846" s="34" t="s">
        <v>57</v>
      </c>
      <c r="G846" s="34" t="str">
        <f>VLOOKUP(B846,Dane!$A$1:$G$1001,6,FALSE)</f>
        <v>wynajem</v>
      </c>
    </row>
    <row r="847" spans="1:7" x14ac:dyDescent="0.3">
      <c r="A847" s="34">
        <v>846</v>
      </c>
      <c r="B847" s="34">
        <v>198</v>
      </c>
      <c r="C847" s="34">
        <v>12</v>
      </c>
      <c r="D847" s="34">
        <v>951</v>
      </c>
      <c r="E847" s="34">
        <v>27</v>
      </c>
      <c r="F847" s="34" t="s">
        <v>57</v>
      </c>
      <c r="G847" s="34" t="str">
        <f>VLOOKUP(B847,Dane!$A$1:$G$1001,6,FALSE)</f>
        <v>wynajem</v>
      </c>
    </row>
    <row r="848" spans="1:7" x14ac:dyDescent="0.3">
      <c r="A848" s="34">
        <v>847</v>
      </c>
      <c r="B848" s="34">
        <v>437</v>
      </c>
      <c r="C848" s="34">
        <v>6</v>
      </c>
      <c r="D848" s="34">
        <v>660</v>
      </c>
      <c r="E848" s="34">
        <v>23</v>
      </c>
      <c r="F848" s="34" t="s">
        <v>54</v>
      </c>
      <c r="G848" s="34" t="str">
        <f>VLOOKUP(B848,Dane!$A$1:$G$1001,6,FALSE)</f>
        <v>wynajem</v>
      </c>
    </row>
    <row r="849" spans="1:7" x14ac:dyDescent="0.3">
      <c r="A849" s="34">
        <v>848</v>
      </c>
      <c r="B849" s="34">
        <v>724</v>
      </c>
      <c r="C849" s="34">
        <v>9</v>
      </c>
      <c r="D849" s="34">
        <v>790</v>
      </c>
      <c r="E849" s="34">
        <v>66</v>
      </c>
      <c r="F849" s="34" t="s">
        <v>56</v>
      </c>
      <c r="G849" s="34" t="str">
        <f>VLOOKUP(B849,Dane!$A$1:$G$1001,6,FALSE)</f>
        <v>własność</v>
      </c>
    </row>
    <row r="850" spans="1:7" x14ac:dyDescent="0.3">
      <c r="A850" s="34">
        <v>849</v>
      </c>
      <c r="B850" s="34">
        <v>228</v>
      </c>
      <c r="C850" s="34">
        <v>12</v>
      </c>
      <c r="D850" s="34">
        <v>7865</v>
      </c>
      <c r="E850" s="34">
        <v>53</v>
      </c>
      <c r="F850" s="34" t="s">
        <v>55</v>
      </c>
      <c r="G850" s="34" t="str">
        <f>VLOOKUP(B850,Dane!$A$1:$G$1001,6,FALSE)</f>
        <v>za darmo</v>
      </c>
    </row>
    <row r="851" spans="1:7" x14ac:dyDescent="0.3">
      <c r="A851" s="34">
        <v>850</v>
      </c>
      <c r="B851" s="34">
        <v>423</v>
      </c>
      <c r="C851" s="34">
        <v>12</v>
      </c>
      <c r="D851" s="34">
        <v>958</v>
      </c>
      <c r="E851" s="34">
        <v>47</v>
      </c>
      <c r="F851" s="34" t="s">
        <v>54</v>
      </c>
      <c r="G851" s="34" t="str">
        <f>VLOOKUP(B851,Dane!$A$1:$G$1001,6,FALSE)</f>
        <v>własność</v>
      </c>
    </row>
    <row r="852" spans="1:7" x14ac:dyDescent="0.3">
      <c r="A852" s="34">
        <v>851</v>
      </c>
      <c r="B852" s="34">
        <v>381</v>
      </c>
      <c r="C852" s="34">
        <v>20</v>
      </c>
      <c r="D852" s="34">
        <v>2212</v>
      </c>
      <c r="E852" s="34">
        <v>39</v>
      </c>
      <c r="F852" s="34" t="s">
        <v>54</v>
      </c>
      <c r="G852" s="34" t="str">
        <f>VLOOKUP(B852,Dane!$A$1:$G$1001,6,FALSE)</f>
        <v>własność</v>
      </c>
    </row>
    <row r="853" spans="1:7" x14ac:dyDescent="0.3">
      <c r="A853" s="34">
        <v>852</v>
      </c>
      <c r="B853" s="34">
        <v>965</v>
      </c>
      <c r="C853" s="34">
        <v>6</v>
      </c>
      <c r="D853" s="34">
        <v>454</v>
      </c>
      <c r="E853" s="34">
        <v>22</v>
      </c>
      <c r="F853" s="34" t="s">
        <v>54</v>
      </c>
      <c r="G853" s="34" t="str">
        <f>VLOOKUP(B853,Dane!$A$1:$G$1001,6,FALSE)</f>
        <v>własność</v>
      </c>
    </row>
    <row r="854" spans="1:7" x14ac:dyDescent="0.3">
      <c r="A854" s="34">
        <v>853</v>
      </c>
      <c r="B854" s="34">
        <v>350</v>
      </c>
      <c r="C854" s="34">
        <v>9</v>
      </c>
      <c r="D854" s="34">
        <v>1136</v>
      </c>
      <c r="E854" s="34">
        <v>32</v>
      </c>
      <c r="F854" s="34" t="s">
        <v>55</v>
      </c>
      <c r="G854" s="34" t="str">
        <f>VLOOKUP(B854,Dane!$A$1:$G$1001,6,FALSE)</f>
        <v>za darmo</v>
      </c>
    </row>
    <row r="855" spans="1:7" x14ac:dyDescent="0.3">
      <c r="A855" s="34">
        <v>854</v>
      </c>
      <c r="B855" s="34">
        <v>372</v>
      </c>
      <c r="C855" s="34">
        <v>18</v>
      </c>
      <c r="D855" s="34">
        <v>6070</v>
      </c>
      <c r="E855" s="34">
        <v>33</v>
      </c>
      <c r="F855" s="34" t="s">
        <v>54</v>
      </c>
      <c r="G855" s="34" t="str">
        <f>VLOOKUP(B855,Dane!$A$1:$G$1001,6,FALSE)</f>
        <v>własność</v>
      </c>
    </row>
    <row r="856" spans="1:7" x14ac:dyDescent="0.3">
      <c r="A856" s="34">
        <v>855</v>
      </c>
      <c r="B856" s="34">
        <v>926</v>
      </c>
      <c r="C856" s="34">
        <v>12</v>
      </c>
      <c r="D856" s="34">
        <v>697</v>
      </c>
      <c r="E856" s="34">
        <v>46</v>
      </c>
      <c r="F856" s="34" t="s">
        <v>55</v>
      </c>
      <c r="G856" s="34" t="str">
        <f>VLOOKUP(B856,Dane!$A$1:$G$1001,6,FALSE)</f>
        <v>własność</v>
      </c>
    </row>
    <row r="857" spans="1:7" x14ac:dyDescent="0.3">
      <c r="A857" s="34">
        <v>856</v>
      </c>
      <c r="B857" s="34">
        <v>977</v>
      </c>
      <c r="C857" s="34">
        <v>6</v>
      </c>
      <c r="D857" s="34">
        <v>753</v>
      </c>
      <c r="E857" s="34">
        <v>64</v>
      </c>
      <c r="F857" s="34" t="s">
        <v>56</v>
      </c>
      <c r="G857" s="34" t="str">
        <f>VLOOKUP(B857,Dane!$A$1:$G$1001,6,FALSE)</f>
        <v>własność</v>
      </c>
    </row>
    <row r="858" spans="1:7" x14ac:dyDescent="0.3">
      <c r="A858" s="34">
        <v>857</v>
      </c>
      <c r="B858" s="34">
        <v>649</v>
      </c>
      <c r="C858" s="34">
        <v>24</v>
      </c>
      <c r="D858" s="34">
        <v>947</v>
      </c>
      <c r="E858" s="34">
        <v>38</v>
      </c>
      <c r="F858" s="34" t="s">
        <v>55</v>
      </c>
      <c r="G858" s="34" t="str">
        <f>VLOOKUP(B858,Dane!$A$1:$G$1001,6,FALSE)</f>
        <v>za darmo</v>
      </c>
    </row>
    <row r="859" spans="1:7" x14ac:dyDescent="0.3">
      <c r="A859" s="34">
        <v>858</v>
      </c>
      <c r="B859" s="34">
        <v>37</v>
      </c>
      <c r="C859" s="34">
        <v>48</v>
      </c>
      <c r="D859" s="34">
        <v>6110</v>
      </c>
      <c r="E859" s="34">
        <v>31</v>
      </c>
      <c r="F859" s="34" t="s">
        <v>54</v>
      </c>
      <c r="G859" s="34" t="str">
        <f>VLOOKUP(B859,Dane!$A$1:$G$1001,6,FALSE)</f>
        <v>za darmo</v>
      </c>
    </row>
    <row r="860" spans="1:7" x14ac:dyDescent="0.3">
      <c r="A860" s="34">
        <v>859</v>
      </c>
      <c r="B860" s="34">
        <v>82</v>
      </c>
      <c r="C860" s="34">
        <v>15</v>
      </c>
      <c r="D860" s="34">
        <v>1213</v>
      </c>
      <c r="E860" s="34">
        <v>47</v>
      </c>
      <c r="F860" s="34" t="s">
        <v>54</v>
      </c>
      <c r="G860" s="34" t="str">
        <f>VLOOKUP(B860,Dane!$A$1:$G$1001,6,FALSE)</f>
        <v>własność</v>
      </c>
    </row>
    <row r="861" spans="1:7" x14ac:dyDescent="0.3">
      <c r="A861" s="34">
        <v>860</v>
      </c>
      <c r="B861" s="34">
        <v>150</v>
      </c>
      <c r="C861" s="34">
        <v>18</v>
      </c>
      <c r="D861" s="34">
        <v>1582</v>
      </c>
      <c r="E861" s="34">
        <v>46</v>
      </c>
      <c r="F861" s="34" t="s">
        <v>54</v>
      </c>
      <c r="G861" s="34" t="str">
        <f>VLOOKUP(B861,Dane!$A$1:$G$1001,6,FALSE)</f>
        <v>własność</v>
      </c>
    </row>
    <row r="862" spans="1:7" x14ac:dyDescent="0.3">
      <c r="A862" s="34">
        <v>861</v>
      </c>
      <c r="B862" s="34">
        <v>197</v>
      </c>
      <c r="C862" s="34">
        <v>6</v>
      </c>
      <c r="D862" s="34">
        <v>1382</v>
      </c>
      <c r="E862" s="34">
        <v>28</v>
      </c>
      <c r="F862" s="34" t="s">
        <v>56</v>
      </c>
      <c r="G862" s="34" t="str">
        <f>VLOOKUP(B862,Dane!$A$1:$G$1001,6,FALSE)</f>
        <v>własność</v>
      </c>
    </row>
    <row r="863" spans="1:7" x14ac:dyDescent="0.3">
      <c r="A863" s="34">
        <v>862</v>
      </c>
      <c r="B863" s="34">
        <v>134</v>
      </c>
      <c r="C863" s="34">
        <v>18</v>
      </c>
      <c r="D863" s="34">
        <v>1984</v>
      </c>
      <c r="E863" s="34">
        <v>47</v>
      </c>
      <c r="F863" s="34" t="s">
        <v>54</v>
      </c>
      <c r="G863" s="34" t="str">
        <f>VLOOKUP(B863,Dane!$A$1:$G$1001,6,FALSE)</f>
        <v>za darmo</v>
      </c>
    </row>
    <row r="864" spans="1:7" x14ac:dyDescent="0.3">
      <c r="A864" s="34">
        <v>863</v>
      </c>
      <c r="B864" s="34">
        <v>131</v>
      </c>
      <c r="C864" s="34">
        <v>48</v>
      </c>
      <c r="D864" s="34">
        <v>8487</v>
      </c>
      <c r="E864" s="34">
        <v>24</v>
      </c>
      <c r="F864" s="34" t="s">
        <v>56</v>
      </c>
      <c r="G864" s="34" t="str">
        <f>VLOOKUP(B864,Dane!$A$1:$G$1001,6,FALSE)</f>
        <v>własność</v>
      </c>
    </row>
    <row r="865" spans="1:7" x14ac:dyDescent="0.3">
      <c r="A865" s="34">
        <v>864</v>
      </c>
      <c r="B865" s="34">
        <v>434</v>
      </c>
      <c r="C865" s="34">
        <v>24</v>
      </c>
      <c r="D865" s="34">
        <v>2058</v>
      </c>
      <c r="E865" s="34">
        <v>33</v>
      </c>
      <c r="F865" s="34" t="s">
        <v>54</v>
      </c>
      <c r="G865" s="34" t="str">
        <f>VLOOKUP(B865,Dane!$A$1:$G$1001,6,FALSE)</f>
        <v>własność</v>
      </c>
    </row>
    <row r="866" spans="1:7" x14ac:dyDescent="0.3">
      <c r="A866" s="34">
        <v>865</v>
      </c>
      <c r="B866" s="34">
        <v>122</v>
      </c>
      <c r="C866" s="34">
        <v>24</v>
      </c>
      <c r="D866" s="34">
        <v>3868</v>
      </c>
      <c r="E866" s="34">
        <v>41</v>
      </c>
      <c r="F866" s="34" t="s">
        <v>56</v>
      </c>
      <c r="G866" s="34" t="str">
        <f>VLOOKUP(B866,Dane!$A$1:$G$1001,6,FALSE)</f>
        <v>wynajem</v>
      </c>
    </row>
    <row r="867" spans="1:7" x14ac:dyDescent="0.3">
      <c r="A867" s="34">
        <v>866</v>
      </c>
      <c r="B867" s="34">
        <v>535</v>
      </c>
      <c r="C867" s="34">
        <v>24</v>
      </c>
      <c r="D867" s="34">
        <v>3105</v>
      </c>
      <c r="E867" s="34">
        <v>25</v>
      </c>
      <c r="F867" s="34" t="s">
        <v>54</v>
      </c>
      <c r="G867" s="34" t="str">
        <f>VLOOKUP(B867,Dane!$A$1:$G$1001,6,FALSE)</f>
        <v>własność</v>
      </c>
    </row>
    <row r="868" spans="1:7" x14ac:dyDescent="0.3">
      <c r="A868" s="34">
        <v>867</v>
      </c>
      <c r="B868" s="34">
        <v>438</v>
      </c>
      <c r="C868" s="34">
        <v>24</v>
      </c>
      <c r="D868" s="34">
        <v>1287</v>
      </c>
      <c r="E868" s="34">
        <v>37</v>
      </c>
      <c r="F868" s="34" t="s">
        <v>56</v>
      </c>
      <c r="G868" s="34" t="str">
        <f>VLOOKUP(B868,Dane!$A$1:$G$1001,6,FALSE)</f>
        <v>własność</v>
      </c>
    </row>
    <row r="869" spans="1:7" x14ac:dyDescent="0.3">
      <c r="A869" s="34">
        <v>868</v>
      </c>
      <c r="B869" s="34">
        <v>444</v>
      </c>
      <c r="C869" s="34">
        <v>12</v>
      </c>
      <c r="D869" s="34">
        <v>719</v>
      </c>
      <c r="E869" s="34">
        <v>41</v>
      </c>
      <c r="F869" s="34" t="s">
        <v>55</v>
      </c>
      <c r="G869" s="34" t="str">
        <f>VLOOKUP(B869,Dane!$A$1:$G$1001,6,FALSE)</f>
        <v>własność</v>
      </c>
    </row>
    <row r="870" spans="1:7" x14ac:dyDescent="0.3">
      <c r="A870" s="34">
        <v>869</v>
      </c>
      <c r="B870" s="34">
        <v>693</v>
      </c>
      <c r="C870" s="34">
        <v>24</v>
      </c>
      <c r="D870" s="34">
        <v>2896</v>
      </c>
      <c r="E870" s="34">
        <v>29</v>
      </c>
      <c r="F870" s="34" t="s">
        <v>54</v>
      </c>
      <c r="G870" s="34" t="str">
        <f>VLOOKUP(B870,Dane!$A$1:$G$1001,6,FALSE)</f>
        <v>własność</v>
      </c>
    </row>
    <row r="871" spans="1:7" x14ac:dyDescent="0.3">
      <c r="A871" s="34">
        <v>870</v>
      </c>
      <c r="B871" s="34">
        <v>85</v>
      </c>
      <c r="C871" s="34">
        <v>10</v>
      </c>
      <c r="D871" s="34">
        <v>2315</v>
      </c>
      <c r="E871" s="34">
        <v>52</v>
      </c>
      <c r="F871" s="34" t="s">
        <v>54</v>
      </c>
      <c r="G871" s="34" t="str">
        <f>VLOOKUP(B871,Dane!$A$1:$G$1001,6,FALSE)</f>
        <v>własność</v>
      </c>
    </row>
    <row r="872" spans="1:7" x14ac:dyDescent="0.3">
      <c r="A872" s="34">
        <v>871</v>
      </c>
      <c r="B872" s="34">
        <v>799</v>
      </c>
      <c r="C872" s="34">
        <v>24</v>
      </c>
      <c r="D872" s="34">
        <v>717</v>
      </c>
      <c r="E872" s="34">
        <v>54</v>
      </c>
      <c r="F872" s="34" t="s">
        <v>54</v>
      </c>
      <c r="G872" s="34" t="str">
        <f>VLOOKUP(B872,Dane!$A$1:$G$1001,6,FALSE)</f>
        <v>własność</v>
      </c>
    </row>
    <row r="873" spans="1:7" x14ac:dyDescent="0.3">
      <c r="A873" s="34">
        <v>872</v>
      </c>
      <c r="B873" s="34">
        <v>514</v>
      </c>
      <c r="C873" s="34">
        <v>12</v>
      </c>
      <c r="D873" s="34">
        <v>585</v>
      </c>
      <c r="E873" s="34">
        <v>20</v>
      </c>
      <c r="F873" s="34" t="s">
        <v>54</v>
      </c>
      <c r="G873" s="34" t="str">
        <f>VLOOKUP(B873,Dane!$A$1:$G$1001,6,FALSE)</f>
        <v>wynajem</v>
      </c>
    </row>
    <row r="874" spans="1:7" x14ac:dyDescent="0.3">
      <c r="A874" s="34">
        <v>873</v>
      </c>
      <c r="B874" s="34">
        <v>6</v>
      </c>
      <c r="C874" s="34">
        <v>36</v>
      </c>
      <c r="D874" s="34">
        <v>9055</v>
      </c>
      <c r="E874" s="34">
        <v>35</v>
      </c>
      <c r="F874" s="34" t="s">
        <v>54</v>
      </c>
      <c r="G874" s="34" t="str">
        <f>VLOOKUP(B874,Dane!$A$1:$G$1001,6,FALSE)</f>
        <v>za darmo</v>
      </c>
    </row>
    <row r="875" spans="1:7" x14ac:dyDescent="0.3">
      <c r="A875" s="34">
        <v>874</v>
      </c>
      <c r="B875" s="34">
        <v>981</v>
      </c>
      <c r="C875" s="34">
        <v>30</v>
      </c>
      <c r="D875" s="34">
        <v>8386</v>
      </c>
      <c r="E875" s="34">
        <v>49</v>
      </c>
      <c r="F875" s="34" t="s">
        <v>55</v>
      </c>
      <c r="G875" s="34" t="str">
        <f>VLOOKUP(B875,Dane!$A$1:$G$1001,6,FALSE)</f>
        <v>własność</v>
      </c>
    </row>
    <row r="876" spans="1:7" x14ac:dyDescent="0.3">
      <c r="A876" s="34">
        <v>875</v>
      </c>
      <c r="B876" s="34">
        <v>528</v>
      </c>
      <c r="C876" s="34">
        <v>4</v>
      </c>
      <c r="D876" s="34">
        <v>1503</v>
      </c>
      <c r="E876" s="34">
        <v>42</v>
      </c>
      <c r="F876" s="34" t="s">
        <v>54</v>
      </c>
      <c r="G876" s="34" t="str">
        <f>VLOOKUP(B876,Dane!$A$1:$G$1001,6,FALSE)</f>
        <v>własność</v>
      </c>
    </row>
    <row r="877" spans="1:7" x14ac:dyDescent="0.3">
      <c r="A877" s="34">
        <v>876</v>
      </c>
      <c r="B877" s="34">
        <v>98</v>
      </c>
      <c r="C877" s="34">
        <v>18</v>
      </c>
      <c r="D877" s="34">
        <v>2622</v>
      </c>
      <c r="E877" s="34">
        <v>34</v>
      </c>
      <c r="F877" s="34" t="s">
        <v>54</v>
      </c>
      <c r="G877" s="34" t="str">
        <f>VLOOKUP(B877,Dane!$A$1:$G$1001,6,FALSE)</f>
        <v>własność</v>
      </c>
    </row>
    <row r="878" spans="1:7" x14ac:dyDescent="0.3">
      <c r="A878" s="34">
        <v>877</v>
      </c>
      <c r="B878" s="34">
        <v>594</v>
      </c>
      <c r="C878" s="34">
        <v>24</v>
      </c>
      <c r="D878" s="34">
        <v>2718</v>
      </c>
      <c r="E878" s="34">
        <v>20</v>
      </c>
      <c r="F878" s="34" t="s">
        <v>57</v>
      </c>
      <c r="G878" s="34" t="str">
        <f>VLOOKUP(B878,Dane!$A$1:$G$1001,6,FALSE)</f>
        <v>wynajem</v>
      </c>
    </row>
    <row r="879" spans="1:7" x14ac:dyDescent="0.3">
      <c r="A879" s="34">
        <v>878</v>
      </c>
      <c r="B879" s="34">
        <v>123</v>
      </c>
      <c r="C879" s="34">
        <v>12</v>
      </c>
      <c r="D879" s="34">
        <v>1768</v>
      </c>
      <c r="E879" s="34">
        <v>24</v>
      </c>
      <c r="F879" s="34" t="s">
        <v>54</v>
      </c>
      <c r="G879" s="34" t="str">
        <f>VLOOKUP(B879,Dane!$A$1:$G$1001,6,FALSE)</f>
        <v>wynajem</v>
      </c>
    </row>
    <row r="880" spans="1:7" x14ac:dyDescent="0.3">
      <c r="A880" s="34">
        <v>879</v>
      </c>
      <c r="B880" s="34">
        <v>378</v>
      </c>
      <c r="C880" s="34">
        <v>7</v>
      </c>
      <c r="D880" s="34">
        <v>846</v>
      </c>
      <c r="E880" s="34">
        <v>36</v>
      </c>
      <c r="F880" s="34" t="s">
        <v>54</v>
      </c>
      <c r="G880" s="34" t="str">
        <f>VLOOKUP(B880,Dane!$A$1:$G$1001,6,FALSE)</f>
        <v>za darmo</v>
      </c>
    </row>
    <row r="881" spans="1:7" x14ac:dyDescent="0.3">
      <c r="A881" s="34">
        <v>880</v>
      </c>
      <c r="B881" s="34">
        <v>181</v>
      </c>
      <c r="C881" s="34">
        <v>36</v>
      </c>
      <c r="D881" s="34">
        <v>9572</v>
      </c>
      <c r="E881" s="34">
        <v>28</v>
      </c>
      <c r="F881" s="34" t="s">
        <v>55</v>
      </c>
      <c r="G881" s="34" t="str">
        <f>VLOOKUP(B881,Dane!$A$1:$G$1001,6,FALSE)</f>
        <v>własność</v>
      </c>
    </row>
    <row r="882" spans="1:7" x14ac:dyDescent="0.3">
      <c r="A882" s="34">
        <v>881</v>
      </c>
      <c r="B882" s="34">
        <v>915</v>
      </c>
      <c r="C882" s="34">
        <v>24</v>
      </c>
      <c r="D882" s="34">
        <v>3161</v>
      </c>
      <c r="E882" s="34">
        <v>31</v>
      </c>
      <c r="F882" s="34" t="s">
        <v>55</v>
      </c>
      <c r="G882" s="34" t="str">
        <f>VLOOKUP(B882,Dane!$A$1:$G$1001,6,FALSE)</f>
        <v>wynajem</v>
      </c>
    </row>
    <row r="883" spans="1:7" x14ac:dyDescent="0.3">
      <c r="A883" s="34">
        <v>882</v>
      </c>
      <c r="B883" s="34">
        <v>42</v>
      </c>
      <c r="C883" s="34">
        <v>12</v>
      </c>
      <c r="D883" s="34">
        <v>1158</v>
      </c>
      <c r="E883" s="34">
        <v>26</v>
      </c>
      <c r="F883" s="34" t="s">
        <v>54</v>
      </c>
      <c r="G883" s="34" t="str">
        <f>VLOOKUP(B883,Dane!$A$1:$G$1001,6,FALSE)</f>
        <v>własność</v>
      </c>
    </row>
    <row r="884" spans="1:7" x14ac:dyDescent="0.3">
      <c r="A884" s="34">
        <v>883</v>
      </c>
      <c r="B884" s="34">
        <v>555</v>
      </c>
      <c r="C884" s="34">
        <v>9</v>
      </c>
      <c r="D884" s="34">
        <v>1199</v>
      </c>
      <c r="E884" s="34">
        <v>67</v>
      </c>
      <c r="F884" s="34" t="s">
        <v>56</v>
      </c>
      <c r="G884" s="34" t="str">
        <f>VLOOKUP(B884,Dane!$A$1:$G$1001,6,FALSE)</f>
        <v>własność</v>
      </c>
    </row>
    <row r="885" spans="1:7" x14ac:dyDescent="0.3">
      <c r="A885" s="34">
        <v>884</v>
      </c>
      <c r="B885" s="34">
        <v>979</v>
      </c>
      <c r="C885" s="34">
        <v>24</v>
      </c>
      <c r="D885" s="34">
        <v>2538</v>
      </c>
      <c r="E885" s="34">
        <v>47</v>
      </c>
      <c r="F885" s="34" t="s">
        <v>55</v>
      </c>
      <c r="G885" s="34" t="str">
        <f>VLOOKUP(B885,Dane!$A$1:$G$1001,6,FALSE)</f>
        <v>własność</v>
      </c>
    </row>
    <row r="886" spans="1:7" x14ac:dyDescent="0.3">
      <c r="A886" s="34">
        <v>885</v>
      </c>
      <c r="B886" s="34">
        <v>772</v>
      </c>
      <c r="C886" s="34">
        <v>36</v>
      </c>
      <c r="D886" s="34">
        <v>8065</v>
      </c>
      <c r="E886" s="34">
        <v>25</v>
      </c>
      <c r="F886" s="34" t="s">
        <v>57</v>
      </c>
      <c r="G886" s="34" t="str">
        <f>VLOOKUP(B886,Dane!$A$1:$G$1001,6,FALSE)</f>
        <v>własność</v>
      </c>
    </row>
    <row r="887" spans="1:7" x14ac:dyDescent="0.3">
      <c r="A887" s="34">
        <v>886</v>
      </c>
      <c r="B887" s="34">
        <v>686</v>
      </c>
      <c r="C887" s="34">
        <v>60</v>
      </c>
      <c r="D887" s="34">
        <v>6527</v>
      </c>
      <c r="E887" s="34">
        <v>34</v>
      </c>
      <c r="F887" s="34" t="s">
        <v>54</v>
      </c>
      <c r="G887" s="34" t="str">
        <f>VLOOKUP(B887,Dane!$A$1:$G$1001,6,FALSE)</f>
        <v>za darmo</v>
      </c>
    </row>
    <row r="888" spans="1:7" x14ac:dyDescent="0.3">
      <c r="A888" s="34">
        <v>887</v>
      </c>
      <c r="B888" s="34">
        <v>553</v>
      </c>
      <c r="C888" s="34">
        <v>48</v>
      </c>
      <c r="D888" s="34">
        <v>6999</v>
      </c>
      <c r="E888" s="34">
        <v>34</v>
      </c>
      <c r="F888" s="34" t="s">
        <v>55</v>
      </c>
      <c r="G888" s="34" t="str">
        <f>VLOOKUP(B888,Dane!$A$1:$G$1001,6,FALSE)</f>
        <v>własność</v>
      </c>
    </row>
    <row r="889" spans="1:7" x14ac:dyDescent="0.3">
      <c r="A889" s="34">
        <v>888</v>
      </c>
      <c r="B889" s="34">
        <v>284</v>
      </c>
      <c r="C889" s="34">
        <v>15</v>
      </c>
      <c r="D889" s="34">
        <v>1520</v>
      </c>
      <c r="E889" s="34">
        <v>63</v>
      </c>
      <c r="F889" s="34" t="s">
        <v>54</v>
      </c>
      <c r="G889" s="34" t="str">
        <f>VLOOKUP(B889,Dane!$A$1:$G$1001,6,FALSE)</f>
        <v>własność</v>
      </c>
    </row>
    <row r="890" spans="1:7" x14ac:dyDescent="0.3">
      <c r="A890" s="34">
        <v>889</v>
      </c>
      <c r="B890" s="34">
        <v>462</v>
      </c>
      <c r="C890" s="34">
        <v>15</v>
      </c>
      <c r="D890" s="34">
        <v>1721</v>
      </c>
      <c r="E890" s="34">
        <v>36</v>
      </c>
      <c r="F890" s="34" t="s">
        <v>54</v>
      </c>
      <c r="G890" s="34" t="str">
        <f>VLOOKUP(B890,Dane!$A$1:$G$1001,6,FALSE)</f>
        <v>własność</v>
      </c>
    </row>
    <row r="891" spans="1:7" x14ac:dyDescent="0.3">
      <c r="A891" s="34">
        <v>890</v>
      </c>
      <c r="B891" s="34">
        <v>592</v>
      </c>
      <c r="C891" s="34">
        <v>24</v>
      </c>
      <c r="D891" s="34">
        <v>1965</v>
      </c>
      <c r="E891" s="34">
        <v>42</v>
      </c>
      <c r="F891" s="34" t="s">
        <v>56</v>
      </c>
      <c r="G891" s="34" t="str">
        <f>VLOOKUP(B891,Dane!$A$1:$G$1001,6,FALSE)</f>
        <v>wynajem</v>
      </c>
    </row>
    <row r="892" spans="1:7" x14ac:dyDescent="0.3">
      <c r="A892" s="34">
        <v>891</v>
      </c>
      <c r="B892" s="34">
        <v>94</v>
      </c>
      <c r="C892" s="34">
        <v>24</v>
      </c>
      <c r="D892" s="34">
        <v>3617</v>
      </c>
      <c r="E892" s="34">
        <v>20</v>
      </c>
      <c r="F892" s="34" t="s">
        <v>54</v>
      </c>
      <c r="G892" s="34" t="str">
        <f>VLOOKUP(B892,Dane!$A$1:$G$1001,6,FALSE)</f>
        <v>wynajem</v>
      </c>
    </row>
    <row r="893" spans="1:7" x14ac:dyDescent="0.3">
      <c r="A893" s="34">
        <v>892</v>
      </c>
      <c r="B893" s="34">
        <v>982</v>
      </c>
      <c r="C893" s="34">
        <v>48</v>
      </c>
      <c r="D893" s="34">
        <v>4844</v>
      </c>
      <c r="E893" s="34">
        <v>33</v>
      </c>
      <c r="F893" s="34" t="s">
        <v>55</v>
      </c>
      <c r="G893" s="34" t="str">
        <f>VLOOKUP(B893,Dane!$A$1:$G$1001,6,FALSE)</f>
        <v>wynajem</v>
      </c>
    </row>
    <row r="894" spans="1:7" x14ac:dyDescent="0.3">
      <c r="A894" s="34">
        <v>893</v>
      </c>
      <c r="B894" s="34">
        <v>885</v>
      </c>
      <c r="C894" s="34">
        <v>24</v>
      </c>
      <c r="D894" s="34">
        <v>4057</v>
      </c>
      <c r="E894" s="34">
        <v>43</v>
      </c>
      <c r="F894" s="34" t="s">
        <v>55</v>
      </c>
      <c r="G894" s="34" t="str">
        <f>VLOOKUP(B894,Dane!$A$1:$G$1001,6,FALSE)</f>
        <v>własność</v>
      </c>
    </row>
    <row r="895" spans="1:7" x14ac:dyDescent="0.3">
      <c r="A895" s="34">
        <v>894</v>
      </c>
      <c r="B895" s="34">
        <v>663</v>
      </c>
      <c r="C895" s="34">
        <v>21</v>
      </c>
      <c r="D895" s="34">
        <v>2241</v>
      </c>
      <c r="E895" s="34">
        <v>50</v>
      </c>
      <c r="F895" s="34" t="s">
        <v>54</v>
      </c>
      <c r="G895" s="34" t="str">
        <f>VLOOKUP(B895,Dane!$A$1:$G$1001,6,FALSE)</f>
        <v>własność</v>
      </c>
    </row>
    <row r="896" spans="1:7" x14ac:dyDescent="0.3">
      <c r="A896" s="34">
        <v>895</v>
      </c>
      <c r="B896" s="34">
        <v>414</v>
      </c>
      <c r="C896" s="34">
        <v>10</v>
      </c>
      <c r="D896" s="34">
        <v>1597</v>
      </c>
      <c r="E896" s="34">
        <v>40</v>
      </c>
      <c r="F896" s="34" t="s">
        <v>54</v>
      </c>
      <c r="G896" s="34" t="str">
        <f>VLOOKUP(B896,Dane!$A$1:$G$1001,6,FALSE)</f>
        <v>wynajem</v>
      </c>
    </row>
    <row r="897" spans="1:7" x14ac:dyDescent="0.3">
      <c r="A897" s="34">
        <v>896</v>
      </c>
      <c r="B897" s="34">
        <v>497</v>
      </c>
      <c r="C897" s="34">
        <v>36</v>
      </c>
      <c r="D897" s="34">
        <v>9034</v>
      </c>
      <c r="E897" s="34">
        <v>29</v>
      </c>
      <c r="F897" s="34" t="s">
        <v>55</v>
      </c>
      <c r="G897" s="34" t="str">
        <f>VLOOKUP(B897,Dane!$A$1:$G$1001,6,FALSE)</f>
        <v>wynajem</v>
      </c>
    </row>
    <row r="898" spans="1:7" x14ac:dyDescent="0.3">
      <c r="A898" s="34">
        <v>897</v>
      </c>
      <c r="B898" s="34">
        <v>576</v>
      </c>
      <c r="C898" s="34">
        <v>15</v>
      </c>
      <c r="D898" s="34">
        <v>2788</v>
      </c>
      <c r="E898" s="34">
        <v>24</v>
      </c>
      <c r="F898" s="34" t="s">
        <v>56</v>
      </c>
      <c r="G898" s="34" t="str">
        <f>VLOOKUP(B898,Dane!$A$1:$G$1001,6,FALSE)</f>
        <v>własność</v>
      </c>
    </row>
    <row r="899" spans="1:7" x14ac:dyDescent="0.3">
      <c r="A899" s="34">
        <v>898</v>
      </c>
      <c r="B899" s="34">
        <v>617</v>
      </c>
      <c r="C899" s="34">
        <v>60</v>
      </c>
      <c r="D899" s="34">
        <v>9157</v>
      </c>
      <c r="E899" s="34">
        <v>27</v>
      </c>
      <c r="F899" s="34" t="s">
        <v>54</v>
      </c>
      <c r="G899" s="34" t="str">
        <f>VLOOKUP(B899,Dane!$A$1:$G$1001,6,FALSE)</f>
        <v>za darmo</v>
      </c>
    </row>
    <row r="900" spans="1:7" x14ac:dyDescent="0.3">
      <c r="A900" s="34">
        <v>899</v>
      </c>
      <c r="B900" s="34">
        <v>292</v>
      </c>
      <c r="C900" s="34">
        <v>36</v>
      </c>
      <c r="D900" s="34">
        <v>9398</v>
      </c>
      <c r="E900" s="34">
        <v>28</v>
      </c>
      <c r="F900" s="34" t="s">
        <v>55</v>
      </c>
      <c r="G900" s="34" t="str">
        <f>VLOOKUP(B900,Dane!$A$1:$G$1001,6,FALSE)</f>
        <v>wynajem</v>
      </c>
    </row>
    <row r="901" spans="1:7" x14ac:dyDescent="0.3">
      <c r="A901" s="34">
        <v>900</v>
      </c>
      <c r="B901" s="34">
        <v>588</v>
      </c>
      <c r="C901" s="34">
        <v>12</v>
      </c>
      <c r="D901" s="34">
        <v>1289</v>
      </c>
      <c r="E901" s="34">
        <v>21</v>
      </c>
      <c r="F901" s="34" t="s">
        <v>54</v>
      </c>
      <c r="G901" s="34" t="str">
        <f>VLOOKUP(B901,Dane!$A$1:$G$1001,6,FALSE)</f>
        <v>własność</v>
      </c>
    </row>
    <row r="902" spans="1:7" x14ac:dyDescent="0.3">
      <c r="A902" s="34">
        <v>901</v>
      </c>
      <c r="B902" s="34">
        <v>466</v>
      </c>
      <c r="C902" s="34">
        <v>24</v>
      </c>
      <c r="D902" s="34">
        <v>2924</v>
      </c>
      <c r="E902" s="34">
        <v>63</v>
      </c>
      <c r="F902" s="34" t="s">
        <v>54</v>
      </c>
      <c r="G902" s="34" t="str">
        <f>VLOOKUP(B902,Dane!$A$1:$G$1001,6,FALSE)</f>
        <v>własność</v>
      </c>
    </row>
    <row r="903" spans="1:7" x14ac:dyDescent="0.3">
      <c r="A903" s="34">
        <v>902</v>
      </c>
      <c r="B903" s="34">
        <v>124</v>
      </c>
      <c r="C903" s="34">
        <v>10</v>
      </c>
      <c r="D903" s="34">
        <v>781</v>
      </c>
      <c r="E903" s="34">
        <v>63</v>
      </c>
      <c r="F903" s="34" t="s">
        <v>54</v>
      </c>
      <c r="G903" s="34" t="str">
        <f>VLOOKUP(B903,Dane!$A$1:$G$1001,6,FALSE)</f>
        <v>za darmo</v>
      </c>
    </row>
    <row r="904" spans="1:7" x14ac:dyDescent="0.3">
      <c r="A904" s="34">
        <v>903</v>
      </c>
      <c r="B904" s="34">
        <v>151</v>
      </c>
      <c r="C904" s="34">
        <v>6</v>
      </c>
      <c r="D904" s="34">
        <v>1346</v>
      </c>
      <c r="E904" s="34">
        <v>42</v>
      </c>
      <c r="F904" s="34" t="s">
        <v>54</v>
      </c>
      <c r="G904" s="34" t="str">
        <f>VLOOKUP(B904,Dane!$A$1:$G$1001,6,FALSE)</f>
        <v>za darmo</v>
      </c>
    </row>
    <row r="905" spans="1:7" x14ac:dyDescent="0.3">
      <c r="A905" s="34">
        <v>904</v>
      </c>
      <c r="B905" s="34">
        <v>808</v>
      </c>
      <c r="C905" s="34">
        <v>12</v>
      </c>
      <c r="D905" s="34">
        <v>930</v>
      </c>
      <c r="E905" s="34">
        <v>65</v>
      </c>
      <c r="F905" s="34" t="s">
        <v>54</v>
      </c>
      <c r="G905" s="34" t="str">
        <f>VLOOKUP(B905,Dane!$A$1:$G$1001,6,FALSE)</f>
        <v>własność</v>
      </c>
    </row>
    <row r="906" spans="1:7" x14ac:dyDescent="0.3">
      <c r="A906" s="34">
        <v>905</v>
      </c>
      <c r="B906" s="34">
        <v>607</v>
      </c>
      <c r="C906" s="34">
        <v>24</v>
      </c>
      <c r="D906" s="34">
        <v>4526</v>
      </c>
      <c r="E906" s="34">
        <v>74</v>
      </c>
      <c r="F906" s="34" t="s">
        <v>54</v>
      </c>
      <c r="G906" s="34" t="str">
        <f>VLOOKUP(B906,Dane!$A$1:$G$1001,6,FALSE)</f>
        <v>własność</v>
      </c>
    </row>
    <row r="907" spans="1:7" x14ac:dyDescent="0.3">
      <c r="A907" s="34">
        <v>906</v>
      </c>
      <c r="B907" s="34">
        <v>247</v>
      </c>
      <c r="C907" s="34">
        <v>12</v>
      </c>
      <c r="D907" s="34">
        <v>717</v>
      </c>
      <c r="E907" s="34">
        <v>52</v>
      </c>
      <c r="F907" s="34" t="s">
        <v>54</v>
      </c>
      <c r="G907" s="34" t="str">
        <f>VLOOKUP(B907,Dane!$A$1:$G$1001,6,FALSE)</f>
        <v>własność</v>
      </c>
    </row>
    <row r="908" spans="1:7" x14ac:dyDescent="0.3">
      <c r="A908" s="34">
        <v>907</v>
      </c>
      <c r="B908" s="34">
        <v>301</v>
      </c>
      <c r="C908" s="34">
        <v>6</v>
      </c>
      <c r="D908" s="34">
        <v>672</v>
      </c>
      <c r="E908" s="34">
        <v>54</v>
      </c>
      <c r="F908" s="34" t="s">
        <v>56</v>
      </c>
      <c r="G908" s="34" t="str">
        <f>VLOOKUP(B908,Dane!$A$1:$G$1001,6,FALSE)</f>
        <v>własność</v>
      </c>
    </row>
    <row r="909" spans="1:7" x14ac:dyDescent="0.3">
      <c r="A909" s="34">
        <v>908</v>
      </c>
      <c r="B909" s="34">
        <v>111</v>
      </c>
      <c r="C909" s="34">
        <v>6</v>
      </c>
      <c r="D909" s="34">
        <v>1449</v>
      </c>
      <c r="E909" s="34">
        <v>31</v>
      </c>
      <c r="F909" s="34" t="s">
        <v>54</v>
      </c>
      <c r="G909" s="34" t="str">
        <f>VLOOKUP(B909,Dane!$A$1:$G$1001,6,FALSE)</f>
        <v>własność</v>
      </c>
    </row>
    <row r="910" spans="1:7" x14ac:dyDescent="0.3">
      <c r="A910" s="34">
        <v>909</v>
      </c>
      <c r="B910" s="34">
        <v>125</v>
      </c>
      <c r="C910" s="34">
        <v>18</v>
      </c>
      <c r="D910" s="34">
        <v>1924</v>
      </c>
      <c r="E910" s="34">
        <v>27</v>
      </c>
      <c r="F910" s="34" t="s">
        <v>57</v>
      </c>
      <c r="G910" s="34" t="str">
        <f>VLOOKUP(B910,Dane!$A$1:$G$1001,6,FALSE)</f>
        <v>wynajem</v>
      </c>
    </row>
    <row r="911" spans="1:7" x14ac:dyDescent="0.3">
      <c r="A911" s="34">
        <v>910</v>
      </c>
      <c r="B911" s="34">
        <v>159</v>
      </c>
      <c r="C911" s="34">
        <v>24</v>
      </c>
      <c r="D911" s="34">
        <v>3512</v>
      </c>
      <c r="E911" s="34">
        <v>38</v>
      </c>
      <c r="F911" s="34" t="s">
        <v>54</v>
      </c>
      <c r="G911" s="34" t="str">
        <f>VLOOKUP(B911,Dane!$A$1:$G$1001,6,FALSE)</f>
        <v>własność</v>
      </c>
    </row>
    <row r="912" spans="1:7" x14ac:dyDescent="0.3">
      <c r="A912" s="34">
        <v>911</v>
      </c>
      <c r="B912" s="34">
        <v>10</v>
      </c>
      <c r="C912" s="34">
        <v>30</v>
      </c>
      <c r="D912" s="34">
        <v>5234</v>
      </c>
      <c r="E912" s="34">
        <v>28</v>
      </c>
      <c r="F912" s="34" t="s">
        <v>55</v>
      </c>
      <c r="G912" s="34" t="str">
        <f>VLOOKUP(B912,Dane!$A$1:$G$1001,6,FALSE)</f>
        <v>własność</v>
      </c>
    </row>
    <row r="913" spans="1:7" x14ac:dyDescent="0.3">
      <c r="A913" s="34">
        <v>912</v>
      </c>
      <c r="B913" s="34">
        <v>723</v>
      </c>
      <c r="C913" s="34">
        <v>12</v>
      </c>
      <c r="D913" s="34">
        <v>1228</v>
      </c>
      <c r="E913" s="34">
        <v>24</v>
      </c>
      <c r="F913" s="34" t="s">
        <v>57</v>
      </c>
      <c r="G913" s="34" t="str">
        <f>VLOOKUP(B913,Dane!$A$1:$G$1001,6,FALSE)</f>
        <v>własność</v>
      </c>
    </row>
    <row r="914" spans="1:7" x14ac:dyDescent="0.3">
      <c r="A914" s="34">
        <v>913</v>
      </c>
      <c r="B914" s="34">
        <v>431</v>
      </c>
      <c r="C914" s="34">
        <v>5</v>
      </c>
      <c r="D914" s="34">
        <v>3448</v>
      </c>
      <c r="E914" s="34">
        <v>74</v>
      </c>
      <c r="F914" s="34" t="s">
        <v>54</v>
      </c>
      <c r="G914" s="34" t="str">
        <f>VLOOKUP(B914,Dane!$A$1:$G$1001,6,FALSE)</f>
        <v>własność</v>
      </c>
    </row>
    <row r="915" spans="1:7" x14ac:dyDescent="0.3">
      <c r="A915" s="34">
        <v>914</v>
      </c>
      <c r="B915" s="34">
        <v>863</v>
      </c>
      <c r="C915" s="34">
        <v>24</v>
      </c>
      <c r="D915" s="34">
        <v>2439</v>
      </c>
      <c r="E915" s="34">
        <v>35</v>
      </c>
      <c r="F915" s="34" t="s">
        <v>57</v>
      </c>
      <c r="G915" s="34" t="str">
        <f>VLOOKUP(B915,Dane!$A$1:$G$1001,6,FALSE)</f>
        <v>własność</v>
      </c>
    </row>
    <row r="916" spans="1:7" x14ac:dyDescent="0.3">
      <c r="A916" s="34">
        <v>915</v>
      </c>
      <c r="B916" s="34">
        <v>711</v>
      </c>
      <c r="C916" s="34">
        <v>18</v>
      </c>
      <c r="D916" s="34">
        <v>629</v>
      </c>
      <c r="E916" s="34">
        <v>32</v>
      </c>
      <c r="F916" s="34" t="s">
        <v>54</v>
      </c>
      <c r="G916" s="34" t="str">
        <f>VLOOKUP(B916,Dane!$A$1:$G$1001,6,FALSE)</f>
        <v>własność</v>
      </c>
    </row>
    <row r="917" spans="1:7" x14ac:dyDescent="0.3">
      <c r="A917" s="34">
        <v>916</v>
      </c>
      <c r="B917" s="34">
        <v>875</v>
      </c>
      <c r="C917" s="34">
        <v>12</v>
      </c>
      <c r="D917" s="34">
        <v>3590</v>
      </c>
      <c r="E917" s="34">
        <v>29</v>
      </c>
      <c r="F917" s="34" t="s">
        <v>54</v>
      </c>
      <c r="G917" s="34" t="str">
        <f>VLOOKUP(B917,Dane!$A$1:$G$1001,6,FALSE)</f>
        <v>własność</v>
      </c>
    </row>
    <row r="918" spans="1:7" x14ac:dyDescent="0.3">
      <c r="A918" s="34">
        <v>917</v>
      </c>
      <c r="B918" s="34">
        <v>687</v>
      </c>
      <c r="C918" s="34">
        <v>10</v>
      </c>
      <c r="D918" s="34">
        <v>1347</v>
      </c>
      <c r="E918" s="34">
        <v>27</v>
      </c>
      <c r="F918" s="34" t="s">
        <v>54</v>
      </c>
      <c r="G918" s="34" t="str">
        <f>VLOOKUP(B918,Dane!$A$1:$G$1001,6,FALSE)</f>
        <v>własność</v>
      </c>
    </row>
    <row r="919" spans="1:7" x14ac:dyDescent="0.3">
      <c r="A919" s="34">
        <v>918</v>
      </c>
      <c r="B919" s="34">
        <v>252</v>
      </c>
      <c r="C919" s="34">
        <v>12</v>
      </c>
      <c r="D919" s="34">
        <v>2251</v>
      </c>
      <c r="E919" s="34">
        <v>46</v>
      </c>
      <c r="F919" s="34" t="s">
        <v>56</v>
      </c>
      <c r="G919" s="34" t="str">
        <f>VLOOKUP(B919,Dane!$A$1:$G$1001,6,FALSE)</f>
        <v>własność</v>
      </c>
    </row>
    <row r="920" spans="1:7" x14ac:dyDescent="0.3">
      <c r="A920" s="34">
        <v>919</v>
      </c>
      <c r="B920" s="34">
        <v>985</v>
      </c>
      <c r="C920" s="34">
        <v>24</v>
      </c>
      <c r="D920" s="34">
        <v>2028</v>
      </c>
      <c r="E920" s="34">
        <v>30</v>
      </c>
      <c r="F920" s="34" t="s">
        <v>54</v>
      </c>
      <c r="G920" s="34" t="str">
        <f>VLOOKUP(B920,Dane!$A$1:$G$1001,6,FALSE)</f>
        <v>własność</v>
      </c>
    </row>
    <row r="921" spans="1:7" x14ac:dyDescent="0.3">
      <c r="A921" s="34">
        <v>920</v>
      </c>
      <c r="B921" s="34">
        <v>365</v>
      </c>
      <c r="C921" s="34">
        <v>18</v>
      </c>
      <c r="D921" s="34">
        <v>2473</v>
      </c>
      <c r="E921" s="34">
        <v>25</v>
      </c>
      <c r="F921" s="34" t="s">
        <v>55</v>
      </c>
      <c r="G921" s="34" t="str">
        <f>VLOOKUP(B921,Dane!$A$1:$G$1001,6,FALSE)</f>
        <v>własność</v>
      </c>
    </row>
    <row r="922" spans="1:7" x14ac:dyDescent="0.3">
      <c r="A922" s="34">
        <v>921</v>
      </c>
      <c r="B922" s="34">
        <v>359</v>
      </c>
      <c r="C922" s="34">
        <v>12</v>
      </c>
      <c r="D922" s="34">
        <v>776</v>
      </c>
      <c r="E922" s="34">
        <v>28</v>
      </c>
      <c r="F922" s="34" t="s">
        <v>54</v>
      </c>
      <c r="G922" s="34" t="str">
        <f>VLOOKUP(B922,Dane!$A$1:$G$1001,6,FALSE)</f>
        <v>własność</v>
      </c>
    </row>
    <row r="923" spans="1:7" x14ac:dyDescent="0.3">
      <c r="A923" s="34">
        <v>922</v>
      </c>
      <c r="B923" s="34">
        <v>605</v>
      </c>
      <c r="C923" s="34">
        <v>10</v>
      </c>
      <c r="D923" s="34">
        <v>1275</v>
      </c>
      <c r="E923" s="34">
        <v>23</v>
      </c>
      <c r="F923" s="34" t="s">
        <v>56</v>
      </c>
      <c r="G923" s="34" t="str">
        <f>VLOOKUP(B923,Dane!$A$1:$G$1001,6,FALSE)</f>
        <v>własność</v>
      </c>
    </row>
    <row r="924" spans="1:7" x14ac:dyDescent="0.3">
      <c r="A924" s="34">
        <v>923</v>
      </c>
      <c r="B924" s="34">
        <v>107</v>
      </c>
      <c r="C924" s="34">
        <v>18</v>
      </c>
      <c r="D924" s="34">
        <v>6458</v>
      </c>
      <c r="E924" s="34">
        <v>39</v>
      </c>
      <c r="F924" s="34" t="s">
        <v>55</v>
      </c>
      <c r="G924" s="34" t="str">
        <f>VLOOKUP(B924,Dane!$A$1:$G$1001,6,FALSE)</f>
        <v>własność</v>
      </c>
    </row>
    <row r="925" spans="1:7" x14ac:dyDescent="0.3">
      <c r="A925" s="34">
        <v>924</v>
      </c>
      <c r="B925" s="34">
        <v>196</v>
      </c>
      <c r="C925" s="34">
        <v>9</v>
      </c>
      <c r="D925" s="34">
        <v>1501</v>
      </c>
      <c r="E925" s="34">
        <v>34</v>
      </c>
      <c r="F925" s="34" t="s">
        <v>57</v>
      </c>
      <c r="G925" s="34" t="str">
        <f>VLOOKUP(B925,Dane!$A$1:$G$1001,6,FALSE)</f>
        <v>własność</v>
      </c>
    </row>
    <row r="926" spans="1:7" x14ac:dyDescent="0.3">
      <c r="A926" s="34">
        <v>925</v>
      </c>
      <c r="B926" s="34">
        <v>918</v>
      </c>
      <c r="C926" s="34">
        <v>6</v>
      </c>
      <c r="D926" s="34">
        <v>14896</v>
      </c>
      <c r="E926" s="34">
        <v>68</v>
      </c>
      <c r="F926" s="34" t="s">
        <v>55</v>
      </c>
      <c r="G926" s="34" t="str">
        <f>VLOOKUP(B926,Dane!$A$1:$G$1001,6,FALSE)</f>
        <v>własność</v>
      </c>
    </row>
    <row r="927" spans="1:7" x14ac:dyDescent="0.3">
      <c r="A927" s="34">
        <v>926</v>
      </c>
      <c r="B927" s="34">
        <v>888</v>
      </c>
      <c r="C927" s="34">
        <v>48</v>
      </c>
      <c r="D927" s="34">
        <v>15672</v>
      </c>
      <c r="E927" s="34">
        <v>23</v>
      </c>
      <c r="F927" s="34" t="s">
        <v>55</v>
      </c>
      <c r="G927" s="34" t="str">
        <f>VLOOKUP(B927,Dane!$A$1:$G$1001,6,FALSE)</f>
        <v>własność</v>
      </c>
    </row>
    <row r="928" spans="1:7" x14ac:dyDescent="0.3">
      <c r="A928" s="34">
        <v>927</v>
      </c>
      <c r="B928" s="34">
        <v>356</v>
      </c>
      <c r="C928" s="34">
        <v>24</v>
      </c>
      <c r="D928" s="34">
        <v>1246</v>
      </c>
      <c r="E928" s="34">
        <v>23</v>
      </c>
      <c r="F928" s="34" t="s">
        <v>55</v>
      </c>
      <c r="G928" s="34" t="str">
        <f>VLOOKUP(B928,Dane!$A$1:$G$1001,6,FALSE)</f>
        <v>własność</v>
      </c>
    </row>
    <row r="929" spans="1:7" x14ac:dyDescent="0.3">
      <c r="A929" s="34">
        <v>928</v>
      </c>
      <c r="B929" s="34">
        <v>785</v>
      </c>
      <c r="C929" s="34">
        <v>20</v>
      </c>
      <c r="D929" s="34">
        <v>6468</v>
      </c>
      <c r="E929" s="34">
        <v>60</v>
      </c>
      <c r="F929" s="34" t="s">
        <v>54</v>
      </c>
      <c r="G929" s="34" t="str">
        <f>VLOOKUP(B929,Dane!$A$1:$G$1001,6,FALSE)</f>
        <v>własność</v>
      </c>
    </row>
    <row r="930" spans="1:7" x14ac:dyDescent="0.3">
      <c r="A930" s="34">
        <v>929</v>
      </c>
      <c r="B930" s="34">
        <v>199</v>
      </c>
      <c r="C930" s="34">
        <v>24</v>
      </c>
      <c r="D930" s="34">
        <v>2760</v>
      </c>
      <c r="E930" s="34">
        <v>36</v>
      </c>
      <c r="F930" s="34" t="s">
        <v>54</v>
      </c>
      <c r="G930" s="34" t="str">
        <f>VLOOKUP(B930,Dane!$A$1:$G$1001,6,FALSE)</f>
        <v>za darmo</v>
      </c>
    </row>
    <row r="931" spans="1:7" x14ac:dyDescent="0.3">
      <c r="A931" s="34">
        <v>930</v>
      </c>
      <c r="B931" s="34">
        <v>891</v>
      </c>
      <c r="C931" s="34">
        <v>27</v>
      </c>
      <c r="D931" s="34">
        <v>2442</v>
      </c>
      <c r="E931" s="34">
        <v>43</v>
      </c>
      <c r="F931" s="34" t="s">
        <v>54</v>
      </c>
      <c r="G931" s="34" t="str">
        <f>VLOOKUP(B931,Dane!$A$1:$G$1001,6,FALSE)</f>
        <v>własność</v>
      </c>
    </row>
    <row r="932" spans="1:7" x14ac:dyDescent="0.3">
      <c r="A932" s="34">
        <v>931</v>
      </c>
      <c r="B932" s="34">
        <v>801</v>
      </c>
      <c r="C932" s="34">
        <v>24</v>
      </c>
      <c r="D932" s="34">
        <v>1597</v>
      </c>
      <c r="E932" s="34">
        <v>54</v>
      </c>
      <c r="F932" s="34" t="s">
        <v>54</v>
      </c>
      <c r="G932" s="34" t="str">
        <f>VLOOKUP(B932,Dane!$A$1:$G$1001,6,FALSE)</f>
        <v>za darmo</v>
      </c>
    </row>
    <row r="933" spans="1:7" x14ac:dyDescent="0.3">
      <c r="A933" s="34">
        <v>932</v>
      </c>
      <c r="B933" s="34">
        <v>662</v>
      </c>
      <c r="C933" s="34">
        <v>12</v>
      </c>
      <c r="D933" s="34">
        <v>900</v>
      </c>
      <c r="E933" s="34">
        <v>23</v>
      </c>
      <c r="F933" s="34" t="s">
        <v>55</v>
      </c>
      <c r="G933" s="34" t="str">
        <f>VLOOKUP(B933,Dane!$A$1:$G$1001,6,FALSE)</f>
        <v>własność</v>
      </c>
    </row>
    <row r="934" spans="1:7" x14ac:dyDescent="0.3">
      <c r="A934" s="34">
        <v>933</v>
      </c>
      <c r="B934" s="34">
        <v>938</v>
      </c>
      <c r="C934" s="34">
        <v>6</v>
      </c>
      <c r="D934" s="34">
        <v>2063</v>
      </c>
      <c r="E934" s="34">
        <v>30</v>
      </c>
      <c r="F934" s="34" t="s">
        <v>54</v>
      </c>
      <c r="G934" s="34" t="str">
        <f>VLOOKUP(B934,Dane!$A$1:$G$1001,6,FALSE)</f>
        <v>wynajem</v>
      </c>
    </row>
    <row r="935" spans="1:7" x14ac:dyDescent="0.3">
      <c r="A935" s="34">
        <v>934</v>
      </c>
      <c r="B935" s="34">
        <v>288</v>
      </c>
      <c r="C935" s="34">
        <v>48</v>
      </c>
      <c r="D935" s="34">
        <v>7582</v>
      </c>
      <c r="E935" s="34">
        <v>31</v>
      </c>
      <c r="F935" s="34" t="s">
        <v>54</v>
      </c>
      <c r="G935" s="34" t="str">
        <f>VLOOKUP(B935,Dane!$A$1:$G$1001,6,FALSE)</f>
        <v>za darmo</v>
      </c>
    </row>
    <row r="936" spans="1:7" x14ac:dyDescent="0.3">
      <c r="A936" s="34">
        <v>935</v>
      </c>
      <c r="B936" s="34">
        <v>879</v>
      </c>
      <c r="C936" s="34">
        <v>9</v>
      </c>
      <c r="D936" s="34">
        <v>1422</v>
      </c>
      <c r="E936" s="34">
        <v>27</v>
      </c>
      <c r="F936" s="34" t="s">
        <v>55</v>
      </c>
      <c r="G936" s="34" t="str">
        <f>VLOOKUP(B936,Dane!$A$1:$G$1001,6,FALSE)</f>
        <v>za darmo</v>
      </c>
    </row>
    <row r="937" spans="1:7" x14ac:dyDescent="0.3">
      <c r="A937" s="34">
        <v>936</v>
      </c>
      <c r="B937" s="34">
        <v>183</v>
      </c>
      <c r="C937" s="34">
        <v>21</v>
      </c>
      <c r="D937" s="34">
        <v>1647</v>
      </c>
      <c r="E937" s="34">
        <v>40</v>
      </c>
      <c r="F937" s="34" t="s">
        <v>55</v>
      </c>
      <c r="G937" s="34" t="str">
        <f>VLOOKUP(B937,Dane!$A$1:$G$1001,6,FALSE)</f>
        <v>własność</v>
      </c>
    </row>
    <row r="938" spans="1:7" x14ac:dyDescent="0.3">
      <c r="A938" s="34">
        <v>937</v>
      </c>
      <c r="B938" s="34">
        <v>886</v>
      </c>
      <c r="C938" s="34">
        <v>12</v>
      </c>
      <c r="D938" s="34">
        <v>795</v>
      </c>
      <c r="E938" s="34">
        <v>53</v>
      </c>
      <c r="F938" s="34" t="s">
        <v>57</v>
      </c>
      <c r="G938" s="34" t="str">
        <f>VLOOKUP(B938,Dane!$A$1:$G$1001,6,FALSE)</f>
        <v>własność</v>
      </c>
    </row>
    <row r="939" spans="1:7" x14ac:dyDescent="0.3">
      <c r="A939" s="34">
        <v>938</v>
      </c>
      <c r="B939" s="34">
        <v>807</v>
      </c>
      <c r="C939" s="34">
        <v>6</v>
      </c>
      <c r="D939" s="34">
        <v>590</v>
      </c>
      <c r="E939" s="34">
        <v>26</v>
      </c>
      <c r="F939" s="34" t="s">
        <v>54</v>
      </c>
      <c r="G939" s="34" t="str">
        <f>VLOOKUP(B939,Dane!$A$1:$G$1001,6,FALSE)</f>
        <v>własność</v>
      </c>
    </row>
    <row r="940" spans="1:7" x14ac:dyDescent="0.3">
      <c r="A940" s="34">
        <v>939</v>
      </c>
      <c r="B940" s="34">
        <v>836</v>
      </c>
      <c r="C940" s="34">
        <v>12</v>
      </c>
      <c r="D940" s="34">
        <v>1082</v>
      </c>
      <c r="E940" s="34">
        <v>48</v>
      </c>
      <c r="F940" s="34" t="s">
        <v>55</v>
      </c>
      <c r="G940" s="34" t="str">
        <f>VLOOKUP(B940,Dane!$A$1:$G$1001,6,FALSE)</f>
        <v>własność</v>
      </c>
    </row>
    <row r="941" spans="1:7" x14ac:dyDescent="0.3">
      <c r="A941" s="34">
        <v>940</v>
      </c>
      <c r="B941" s="34">
        <v>695</v>
      </c>
      <c r="C941" s="34">
        <v>24</v>
      </c>
      <c r="D941" s="34">
        <v>2284</v>
      </c>
      <c r="E941" s="34">
        <v>28</v>
      </c>
      <c r="F941" s="34" t="s">
        <v>54</v>
      </c>
      <c r="G941" s="34" t="str">
        <f>VLOOKUP(B941,Dane!$A$1:$G$1001,6,FALSE)</f>
        <v>własność</v>
      </c>
    </row>
    <row r="942" spans="1:7" x14ac:dyDescent="0.3">
      <c r="A942" s="34">
        <v>941</v>
      </c>
      <c r="B942" s="34">
        <v>881</v>
      </c>
      <c r="C942" s="34">
        <v>24</v>
      </c>
      <c r="D942" s="34">
        <v>7814</v>
      </c>
      <c r="E942" s="34">
        <v>38</v>
      </c>
      <c r="F942" s="34" t="s">
        <v>54</v>
      </c>
      <c r="G942" s="34" t="str">
        <f>VLOOKUP(B942,Dane!$A$1:$G$1001,6,FALSE)</f>
        <v>własność</v>
      </c>
    </row>
    <row r="943" spans="1:7" x14ac:dyDescent="0.3">
      <c r="A943" s="34">
        <v>942</v>
      </c>
      <c r="B943" s="34">
        <v>132</v>
      </c>
      <c r="C943" s="34">
        <v>36</v>
      </c>
      <c r="D943" s="34">
        <v>6887</v>
      </c>
      <c r="E943" s="34">
        <v>29</v>
      </c>
      <c r="F943" s="34" t="s">
        <v>55</v>
      </c>
      <c r="G943" s="34" t="str">
        <f>VLOOKUP(B943,Dane!$A$1:$G$1001,6,FALSE)</f>
        <v>własność</v>
      </c>
    </row>
    <row r="944" spans="1:7" x14ac:dyDescent="0.3">
      <c r="A944" s="34">
        <v>943</v>
      </c>
      <c r="B944" s="34">
        <v>425</v>
      </c>
      <c r="C944" s="34">
        <v>12</v>
      </c>
      <c r="D944" s="34">
        <v>2762</v>
      </c>
      <c r="E944" s="34">
        <v>25</v>
      </c>
      <c r="F944" s="34" t="s">
        <v>57</v>
      </c>
      <c r="G944" s="34" t="str">
        <f>VLOOKUP(B944,Dane!$A$1:$G$1001,6,FALSE)</f>
        <v>własność</v>
      </c>
    </row>
    <row r="945" spans="1:7" x14ac:dyDescent="0.3">
      <c r="A945" s="34">
        <v>944</v>
      </c>
      <c r="B945" s="34">
        <v>158</v>
      </c>
      <c r="C945" s="34">
        <v>12</v>
      </c>
      <c r="D945" s="34">
        <v>339</v>
      </c>
      <c r="E945" s="34">
        <v>45</v>
      </c>
      <c r="F945" s="34" t="s">
        <v>54</v>
      </c>
      <c r="G945" s="34" t="str">
        <f>VLOOKUP(B945,Dane!$A$1:$G$1001,6,FALSE)</f>
        <v>własność</v>
      </c>
    </row>
    <row r="946" spans="1:7" x14ac:dyDescent="0.3">
      <c r="A946" s="34">
        <v>945</v>
      </c>
      <c r="B946" s="34">
        <v>991</v>
      </c>
      <c r="C946" s="34">
        <v>12</v>
      </c>
      <c r="D946" s="34">
        <v>3565</v>
      </c>
      <c r="E946" s="34">
        <v>37</v>
      </c>
      <c r="F946" s="34" t="s">
        <v>54</v>
      </c>
      <c r="G946" s="34" t="str">
        <f>VLOOKUP(B946,Dane!$A$1:$G$1001,6,FALSE)</f>
        <v>własność</v>
      </c>
    </row>
    <row r="947" spans="1:7" x14ac:dyDescent="0.3">
      <c r="A947" s="34">
        <v>946</v>
      </c>
      <c r="B947" s="34">
        <v>309</v>
      </c>
      <c r="C947" s="34">
        <v>8</v>
      </c>
      <c r="D947" s="34">
        <v>1237</v>
      </c>
      <c r="E947" s="34">
        <v>24</v>
      </c>
      <c r="F947" s="34" t="s">
        <v>57</v>
      </c>
      <c r="G947" s="34" t="str">
        <f>VLOOKUP(B947,Dane!$A$1:$G$1001,6,FALSE)</f>
        <v>własność</v>
      </c>
    </row>
    <row r="948" spans="1:7" x14ac:dyDescent="0.3">
      <c r="A948" s="34">
        <v>947</v>
      </c>
      <c r="B948" s="34">
        <v>638</v>
      </c>
      <c r="C948" s="34">
        <v>60</v>
      </c>
      <c r="D948" s="34">
        <v>15653</v>
      </c>
      <c r="E948" s="34">
        <v>21</v>
      </c>
      <c r="F948" s="34" t="s">
        <v>54</v>
      </c>
      <c r="G948" s="34" t="str">
        <f>VLOOKUP(B948,Dane!$A$1:$G$1001,6,FALSE)</f>
        <v>własność</v>
      </c>
    </row>
    <row r="949" spans="1:7" x14ac:dyDescent="0.3">
      <c r="A949" s="34">
        <v>948</v>
      </c>
      <c r="B949" s="34">
        <v>968</v>
      </c>
      <c r="C949" s="34">
        <v>15</v>
      </c>
      <c r="D949" s="34">
        <v>3568</v>
      </c>
      <c r="E949" s="34">
        <v>54</v>
      </c>
      <c r="F949" s="34" t="s">
        <v>56</v>
      </c>
      <c r="G949" s="34" t="str">
        <f>VLOOKUP(B949,Dane!$A$1:$G$1001,6,FALSE)</f>
        <v>wynajem</v>
      </c>
    </row>
    <row r="950" spans="1:7" x14ac:dyDescent="0.3">
      <c r="A950" s="34">
        <v>949</v>
      </c>
      <c r="B950" s="34">
        <v>379</v>
      </c>
      <c r="C950" s="34">
        <v>36</v>
      </c>
      <c r="D950" s="34">
        <v>14318</v>
      </c>
      <c r="E950" s="34">
        <v>57</v>
      </c>
      <c r="F950" s="34" t="s">
        <v>55</v>
      </c>
      <c r="G950" s="34" t="str">
        <f>VLOOKUP(B950,Dane!$A$1:$G$1001,6,FALSE)</f>
        <v>za darmo</v>
      </c>
    </row>
    <row r="951" spans="1:7" x14ac:dyDescent="0.3">
      <c r="A951" s="34">
        <v>950</v>
      </c>
      <c r="B951" s="34">
        <v>78</v>
      </c>
      <c r="C951" s="34">
        <v>11</v>
      </c>
      <c r="D951" s="34">
        <v>4771</v>
      </c>
      <c r="E951" s="34">
        <v>51</v>
      </c>
      <c r="F951" s="34" t="s">
        <v>54</v>
      </c>
      <c r="G951" s="34" t="str">
        <f>VLOOKUP(B951,Dane!$A$1:$G$1001,6,FALSE)</f>
        <v>własność</v>
      </c>
    </row>
    <row r="952" spans="1:7" x14ac:dyDescent="0.3">
      <c r="A952" s="34">
        <v>951</v>
      </c>
      <c r="B952" s="34">
        <v>921</v>
      </c>
      <c r="C952" s="34">
        <v>18</v>
      </c>
      <c r="D952" s="34">
        <v>1817</v>
      </c>
      <c r="E952" s="34">
        <v>28</v>
      </c>
      <c r="F952" s="34" t="s">
        <v>56</v>
      </c>
      <c r="G952" s="34" t="str">
        <f>VLOOKUP(B952,Dane!$A$1:$G$1001,6,FALSE)</f>
        <v>własność</v>
      </c>
    </row>
    <row r="953" spans="1:7" x14ac:dyDescent="0.3">
      <c r="A953" s="34">
        <v>952</v>
      </c>
      <c r="B953" s="34">
        <v>268</v>
      </c>
      <c r="C953" s="34">
        <v>24</v>
      </c>
      <c r="D953" s="34">
        <v>1533</v>
      </c>
      <c r="E953" s="34">
        <v>38</v>
      </c>
      <c r="F953" s="34" t="s">
        <v>56</v>
      </c>
      <c r="G953" s="34" t="str">
        <f>VLOOKUP(B953,Dane!$A$1:$G$1001,6,FALSE)</f>
        <v>własność</v>
      </c>
    </row>
    <row r="954" spans="1:7" x14ac:dyDescent="0.3">
      <c r="A954" s="34">
        <v>953</v>
      </c>
      <c r="B954" s="34">
        <v>927</v>
      </c>
      <c r="C954" s="34">
        <v>18</v>
      </c>
      <c r="D954" s="34">
        <v>1049</v>
      </c>
      <c r="E954" s="34">
        <v>21</v>
      </c>
      <c r="F954" s="34" t="s">
        <v>56</v>
      </c>
      <c r="G954" s="34" t="str">
        <f>VLOOKUP(B954,Dane!$A$1:$G$1001,6,FALSE)</f>
        <v>wynajem</v>
      </c>
    </row>
    <row r="955" spans="1:7" x14ac:dyDescent="0.3">
      <c r="A955" s="34">
        <v>954</v>
      </c>
      <c r="B955" s="34">
        <v>334</v>
      </c>
      <c r="C955" s="34">
        <v>48</v>
      </c>
      <c r="D955" s="34">
        <v>11590</v>
      </c>
      <c r="E955" s="34">
        <v>24</v>
      </c>
      <c r="F955" s="34" t="s">
        <v>57</v>
      </c>
      <c r="G955" s="34" t="str">
        <f>VLOOKUP(B955,Dane!$A$1:$G$1001,6,FALSE)</f>
        <v>wynajem</v>
      </c>
    </row>
    <row r="956" spans="1:7" x14ac:dyDescent="0.3">
      <c r="A956" s="34">
        <v>955</v>
      </c>
      <c r="B956" s="34">
        <v>637</v>
      </c>
      <c r="C956" s="34">
        <v>24</v>
      </c>
      <c r="D956" s="34">
        <v>1376</v>
      </c>
      <c r="E956" s="34">
        <v>28</v>
      </c>
      <c r="F956" s="34" t="s">
        <v>56</v>
      </c>
      <c r="G956" s="34" t="str">
        <f>VLOOKUP(B956,Dane!$A$1:$G$1001,6,FALSE)</f>
        <v>własność</v>
      </c>
    </row>
    <row r="957" spans="1:7" x14ac:dyDescent="0.3">
      <c r="A957" s="34">
        <v>956</v>
      </c>
      <c r="B957" s="34">
        <v>722</v>
      </c>
      <c r="C957" s="34">
        <v>6</v>
      </c>
      <c r="D957" s="34">
        <v>433</v>
      </c>
      <c r="E957" s="34">
        <v>24</v>
      </c>
      <c r="F957" s="34" t="s">
        <v>57</v>
      </c>
      <c r="G957" s="34" t="str">
        <f>VLOOKUP(B957,Dane!$A$1:$G$1001,6,FALSE)</f>
        <v>wynajem</v>
      </c>
    </row>
    <row r="958" spans="1:7" x14ac:dyDescent="0.3">
      <c r="A958" s="34">
        <v>957</v>
      </c>
      <c r="B958" s="34">
        <v>529</v>
      </c>
      <c r="C958" s="34">
        <v>36</v>
      </c>
      <c r="D958" s="34">
        <v>2302</v>
      </c>
      <c r="E958" s="34">
        <v>31</v>
      </c>
      <c r="F958" s="34" t="s">
        <v>55</v>
      </c>
      <c r="G958" s="34" t="str">
        <f>VLOOKUP(B958,Dane!$A$1:$G$1001,6,FALSE)</f>
        <v>wynajem</v>
      </c>
    </row>
    <row r="959" spans="1:7" x14ac:dyDescent="0.3">
      <c r="A959" s="34">
        <v>958</v>
      </c>
      <c r="B959" s="34">
        <v>870</v>
      </c>
      <c r="C959" s="34">
        <v>12</v>
      </c>
      <c r="D959" s="34">
        <v>652</v>
      </c>
      <c r="E959" s="34">
        <v>24</v>
      </c>
      <c r="F959" s="34" t="s">
        <v>56</v>
      </c>
      <c r="G959" s="34" t="str">
        <f>VLOOKUP(B959,Dane!$A$1:$G$1001,6,FALSE)</f>
        <v>wynajem</v>
      </c>
    </row>
    <row r="960" spans="1:7" x14ac:dyDescent="0.3">
      <c r="A960" s="34">
        <v>959</v>
      </c>
      <c r="B960" s="34">
        <v>168</v>
      </c>
      <c r="C960" s="34">
        <v>11</v>
      </c>
      <c r="D960" s="34">
        <v>1577</v>
      </c>
      <c r="E960" s="34">
        <v>20</v>
      </c>
      <c r="F960" s="34" t="s">
        <v>56</v>
      </c>
      <c r="G960" s="34" t="str">
        <f>VLOOKUP(B960,Dane!$A$1:$G$1001,6,FALSE)</f>
        <v>własność</v>
      </c>
    </row>
    <row r="961" spans="1:7" x14ac:dyDescent="0.3">
      <c r="A961" s="34">
        <v>960</v>
      </c>
      <c r="B961" s="34">
        <v>774</v>
      </c>
      <c r="C961" s="34">
        <v>24</v>
      </c>
      <c r="D961" s="34">
        <v>2223</v>
      </c>
      <c r="E961" s="34">
        <v>52</v>
      </c>
      <c r="F961" s="34" t="s">
        <v>54</v>
      </c>
      <c r="G961" s="34" t="str">
        <f>VLOOKUP(B961,Dane!$A$1:$G$1001,6,FALSE)</f>
        <v>własność</v>
      </c>
    </row>
    <row r="962" spans="1:7" x14ac:dyDescent="0.3">
      <c r="A962" s="34">
        <v>961</v>
      </c>
      <c r="B962" s="34">
        <v>387</v>
      </c>
      <c r="C962" s="34">
        <v>18</v>
      </c>
      <c r="D962" s="34">
        <v>1126</v>
      </c>
      <c r="E962" s="34">
        <v>21</v>
      </c>
      <c r="F962" s="34" t="s">
        <v>56</v>
      </c>
      <c r="G962" s="34" t="str">
        <f>VLOOKUP(B962,Dane!$A$1:$G$1001,6,FALSE)</f>
        <v>wynajem</v>
      </c>
    </row>
    <row r="963" spans="1:7" x14ac:dyDescent="0.3">
      <c r="A963" s="34">
        <v>962</v>
      </c>
      <c r="B963" s="34">
        <v>994</v>
      </c>
      <c r="C963" s="34">
        <v>36</v>
      </c>
      <c r="D963" s="34">
        <v>3959</v>
      </c>
      <c r="E963" s="34">
        <v>30</v>
      </c>
      <c r="F963" s="34" t="s">
        <v>54</v>
      </c>
      <c r="G963" s="34" t="str">
        <f>VLOOKUP(B963,Dane!$A$1:$G$1001,6,FALSE)</f>
        <v>własność</v>
      </c>
    </row>
    <row r="964" spans="1:7" x14ac:dyDescent="0.3">
      <c r="A964" s="34">
        <v>963</v>
      </c>
      <c r="B964" s="34">
        <v>956</v>
      </c>
      <c r="C964" s="34">
        <v>24</v>
      </c>
      <c r="D964" s="34">
        <v>1231</v>
      </c>
      <c r="E964" s="34">
        <v>57</v>
      </c>
      <c r="F964" s="34" t="s">
        <v>56</v>
      </c>
      <c r="G964" s="34" t="str">
        <f>VLOOKUP(B964,Dane!$A$1:$G$1001,6,FALSE)</f>
        <v>wynajem</v>
      </c>
    </row>
    <row r="965" spans="1:7" x14ac:dyDescent="0.3">
      <c r="A965" s="34">
        <v>964</v>
      </c>
      <c r="B965" s="34">
        <v>997</v>
      </c>
      <c r="C965" s="34">
        <v>30</v>
      </c>
      <c r="D965" s="34">
        <v>3857</v>
      </c>
      <c r="E965" s="34">
        <v>40</v>
      </c>
      <c r="F965" s="34" t="s">
        <v>54</v>
      </c>
      <c r="G965" s="34" t="str">
        <f>VLOOKUP(B965,Dane!$A$1:$G$1001,6,FALSE)</f>
        <v>własność</v>
      </c>
    </row>
    <row r="966" spans="1:7" x14ac:dyDescent="0.3">
      <c r="A966" s="34">
        <v>965</v>
      </c>
      <c r="B966" s="34">
        <v>999</v>
      </c>
      <c r="C966" s="34">
        <v>45</v>
      </c>
      <c r="D966" s="34">
        <v>1845</v>
      </c>
      <c r="E966" s="34">
        <v>23</v>
      </c>
      <c r="F966" s="34" t="s">
        <v>55</v>
      </c>
      <c r="G966" s="34" t="str">
        <f>VLOOKUP(B966,Dane!$A$1:$G$1001,6,FALSE)</f>
        <v>za darmo</v>
      </c>
    </row>
    <row r="967" spans="1:7" x14ac:dyDescent="0.3">
      <c r="A967" s="34">
        <v>966</v>
      </c>
      <c r="B967" s="34">
        <v>265</v>
      </c>
      <c r="C967" s="34">
        <v>10</v>
      </c>
      <c r="D967" s="34">
        <v>1231</v>
      </c>
      <c r="E967" s="34">
        <v>32</v>
      </c>
      <c r="F967" s="34" t="s">
        <v>54</v>
      </c>
      <c r="G967" s="34" t="str">
        <f>VLOOKUP(B967,Dane!$A$1:$G$1001,6,FALSE)</f>
        <v>własność</v>
      </c>
    </row>
    <row r="968" spans="1:7" x14ac:dyDescent="0.3">
      <c r="A968" s="34">
        <v>967</v>
      </c>
      <c r="B968" s="34">
        <v>570</v>
      </c>
      <c r="C968" s="34">
        <v>48</v>
      </c>
      <c r="D968" s="34">
        <v>6758</v>
      </c>
      <c r="E968" s="34">
        <v>31</v>
      </c>
      <c r="F968" s="34" t="s">
        <v>57</v>
      </c>
      <c r="G968" s="34" t="str">
        <f>VLOOKUP(B968,Dane!$A$1:$G$1001,6,FALSE)</f>
        <v>własność</v>
      </c>
    </row>
    <row r="969" spans="1:7" x14ac:dyDescent="0.3">
      <c r="A969" s="34">
        <v>968</v>
      </c>
      <c r="B969" s="34">
        <v>18</v>
      </c>
      <c r="C969" s="34">
        <v>30</v>
      </c>
      <c r="D969" s="34">
        <v>8072</v>
      </c>
      <c r="E969" s="34">
        <v>25</v>
      </c>
      <c r="F969" s="34" t="s">
        <v>54</v>
      </c>
      <c r="G969" s="34" t="str">
        <f>VLOOKUP(B969,Dane!$A$1:$G$1001,6,FALSE)</f>
        <v>własność</v>
      </c>
    </row>
    <row r="970" spans="1:7" x14ac:dyDescent="0.3">
      <c r="A970" s="34">
        <v>969</v>
      </c>
      <c r="B970" s="34">
        <v>537</v>
      </c>
      <c r="C970" s="34">
        <v>6</v>
      </c>
      <c r="D970" s="34">
        <v>1374</v>
      </c>
      <c r="E970" s="34">
        <v>75</v>
      </c>
      <c r="F970" s="34" t="s">
        <v>56</v>
      </c>
      <c r="G970" s="34" t="str">
        <f>VLOOKUP(B970,Dane!$A$1:$G$1001,6,FALSE)</f>
        <v>własność</v>
      </c>
    </row>
    <row r="971" spans="1:7" x14ac:dyDescent="0.3">
      <c r="A971" s="34">
        <v>970</v>
      </c>
      <c r="B971" s="34">
        <v>195</v>
      </c>
      <c r="C971" s="34">
        <v>45</v>
      </c>
      <c r="D971" s="34">
        <v>3031</v>
      </c>
      <c r="E971" s="34">
        <v>21</v>
      </c>
      <c r="F971" s="34" t="s">
        <v>55</v>
      </c>
      <c r="G971" s="34" t="str">
        <f>VLOOKUP(B971,Dane!$A$1:$G$1001,6,FALSE)</f>
        <v>wynajem</v>
      </c>
    </row>
    <row r="972" spans="1:7" x14ac:dyDescent="0.3">
      <c r="A972" s="34">
        <v>971</v>
      </c>
      <c r="B972" s="34">
        <v>474</v>
      </c>
      <c r="C972" s="34">
        <v>6</v>
      </c>
      <c r="D972" s="34">
        <v>1238</v>
      </c>
      <c r="E972" s="34">
        <v>36</v>
      </c>
      <c r="F972" s="34" t="s">
        <v>54</v>
      </c>
      <c r="G972" s="34" t="str">
        <f>VLOOKUP(B972,Dane!$A$1:$G$1001,6,FALSE)</f>
        <v>własność</v>
      </c>
    </row>
    <row r="973" spans="1:7" x14ac:dyDescent="0.3">
      <c r="A973" s="34">
        <v>972</v>
      </c>
      <c r="B973" s="34">
        <v>24</v>
      </c>
      <c r="C973" s="34">
        <v>12</v>
      </c>
      <c r="D973" s="34">
        <v>1804</v>
      </c>
      <c r="E973" s="34">
        <v>44</v>
      </c>
      <c r="F973" s="34" t="s">
        <v>54</v>
      </c>
      <c r="G973" s="34" t="str">
        <f>VLOOKUP(B973,Dane!$A$1:$G$1001,6,FALSE)</f>
        <v>własność</v>
      </c>
    </row>
    <row r="974" spans="1:7" x14ac:dyDescent="0.3">
      <c r="A974" s="34">
        <v>973</v>
      </c>
      <c r="B974" s="34">
        <v>91</v>
      </c>
      <c r="C974" s="34">
        <v>12</v>
      </c>
      <c r="D974" s="34">
        <v>618</v>
      </c>
      <c r="E974" s="34">
        <v>56</v>
      </c>
      <c r="F974" s="34" t="s">
        <v>54</v>
      </c>
      <c r="G974" s="34" t="str">
        <f>VLOOKUP(B974,Dane!$A$1:$G$1001,6,FALSE)</f>
        <v>własność</v>
      </c>
    </row>
    <row r="975" spans="1:7" x14ac:dyDescent="0.3">
      <c r="A975" s="34">
        <v>974</v>
      </c>
      <c r="B975" s="34">
        <v>837</v>
      </c>
      <c r="C975" s="34">
        <v>12</v>
      </c>
      <c r="D975" s="34">
        <v>886</v>
      </c>
      <c r="E975" s="34">
        <v>21</v>
      </c>
      <c r="F975" s="34" t="s">
        <v>56</v>
      </c>
      <c r="G975" s="34" t="str">
        <f>VLOOKUP(B975,Dane!$A$1:$G$1001,6,FALSE)</f>
        <v>własność</v>
      </c>
    </row>
    <row r="976" spans="1:7" x14ac:dyDescent="0.3">
      <c r="A976" s="34">
        <v>975</v>
      </c>
      <c r="B976" s="34">
        <v>623</v>
      </c>
      <c r="C976" s="34">
        <v>48</v>
      </c>
      <c r="D976" s="34">
        <v>3914</v>
      </c>
      <c r="E976" s="34">
        <v>38</v>
      </c>
      <c r="F976" s="34" t="s">
        <v>55</v>
      </c>
      <c r="G976" s="34" t="str">
        <f>VLOOKUP(B976,Dane!$A$1:$G$1001,6,FALSE)</f>
        <v>własność</v>
      </c>
    </row>
    <row r="977" spans="1:7" x14ac:dyDescent="0.3">
      <c r="A977" s="34">
        <v>976</v>
      </c>
      <c r="B977" s="34">
        <v>667</v>
      </c>
      <c r="C977" s="34">
        <v>30</v>
      </c>
      <c r="D977" s="34">
        <v>3496</v>
      </c>
      <c r="E977" s="34">
        <v>34</v>
      </c>
      <c r="F977" s="34" t="s">
        <v>54</v>
      </c>
      <c r="G977" s="34" t="str">
        <f>VLOOKUP(B977,Dane!$A$1:$G$1001,6,FALSE)</f>
        <v>własność</v>
      </c>
    </row>
    <row r="978" spans="1:7" x14ac:dyDescent="0.3">
      <c r="A978" s="34">
        <v>977</v>
      </c>
      <c r="B978" s="34">
        <v>839</v>
      </c>
      <c r="C978" s="34">
        <v>24</v>
      </c>
      <c r="D978" s="34">
        <v>2957</v>
      </c>
      <c r="E978" s="34">
        <v>63</v>
      </c>
      <c r="F978" s="34" t="s">
        <v>54</v>
      </c>
      <c r="G978" s="34" t="str">
        <f>VLOOKUP(B978,Dane!$A$1:$G$1001,6,FALSE)</f>
        <v>własność</v>
      </c>
    </row>
    <row r="979" spans="1:7" x14ac:dyDescent="0.3">
      <c r="A979" s="34">
        <v>978</v>
      </c>
      <c r="B979" s="34">
        <v>524</v>
      </c>
      <c r="C979" s="34">
        <v>24</v>
      </c>
      <c r="D979" s="34">
        <v>3488</v>
      </c>
      <c r="E979" s="34">
        <v>23</v>
      </c>
      <c r="F979" s="34" t="s">
        <v>56</v>
      </c>
      <c r="G979" s="34" t="str">
        <f>VLOOKUP(B979,Dane!$A$1:$G$1001,6,FALSE)</f>
        <v>własność</v>
      </c>
    </row>
    <row r="980" spans="1:7" x14ac:dyDescent="0.3">
      <c r="A980" s="34">
        <v>979</v>
      </c>
      <c r="B980" s="34">
        <v>160</v>
      </c>
      <c r="C980" s="34">
        <v>6</v>
      </c>
      <c r="D980" s="34">
        <v>1898</v>
      </c>
      <c r="E980" s="34">
        <v>34</v>
      </c>
      <c r="F980" s="34" t="s">
        <v>54</v>
      </c>
      <c r="G980" s="34" t="str">
        <f>VLOOKUP(B980,Dane!$A$1:$G$1001,6,FALSE)</f>
        <v>własność</v>
      </c>
    </row>
    <row r="981" spans="1:7" x14ac:dyDescent="0.3">
      <c r="A981" s="34">
        <v>980</v>
      </c>
      <c r="B981" s="34">
        <v>796</v>
      </c>
      <c r="C981" s="34">
        <v>9</v>
      </c>
      <c r="D981" s="34">
        <v>2301</v>
      </c>
      <c r="E981" s="34">
        <v>22</v>
      </c>
      <c r="F981" s="34" t="s">
        <v>56</v>
      </c>
      <c r="G981" s="34" t="str">
        <f>VLOOKUP(B981,Dane!$A$1:$G$1001,6,FALSE)</f>
        <v>wynajem</v>
      </c>
    </row>
    <row r="982" spans="1:7" x14ac:dyDescent="0.3">
      <c r="A982" s="34">
        <v>981</v>
      </c>
      <c r="B982" s="34">
        <v>121</v>
      </c>
      <c r="C982" s="34">
        <v>21</v>
      </c>
      <c r="D982" s="34">
        <v>1835</v>
      </c>
      <c r="E982" s="34">
        <v>25</v>
      </c>
      <c r="F982" s="34" t="s">
        <v>57</v>
      </c>
      <c r="G982" s="34" t="str">
        <f>VLOOKUP(B982,Dane!$A$1:$G$1001,6,FALSE)</f>
        <v>własność</v>
      </c>
    </row>
    <row r="983" spans="1:7" x14ac:dyDescent="0.3">
      <c r="A983" s="34">
        <v>982</v>
      </c>
      <c r="B983" s="34">
        <v>613</v>
      </c>
      <c r="C983" s="34">
        <v>21</v>
      </c>
      <c r="D983" s="34">
        <v>3357</v>
      </c>
      <c r="E983" s="34">
        <v>29</v>
      </c>
      <c r="F983" s="34" t="s">
        <v>56</v>
      </c>
      <c r="G983" s="34" t="str">
        <f>VLOOKUP(B983,Dane!$A$1:$G$1001,6,FALSE)</f>
        <v>własność</v>
      </c>
    </row>
    <row r="984" spans="1:7" x14ac:dyDescent="0.3">
      <c r="A984" s="34">
        <v>983</v>
      </c>
      <c r="B984" s="34">
        <v>568</v>
      </c>
      <c r="C984" s="34">
        <v>24</v>
      </c>
      <c r="D984" s="34">
        <v>2578</v>
      </c>
      <c r="E984" s="34">
        <v>34</v>
      </c>
      <c r="F984" s="34" t="s">
        <v>54</v>
      </c>
      <c r="G984" s="34" t="str">
        <f>VLOOKUP(B984,Dane!$A$1:$G$1001,6,FALSE)</f>
        <v>własność</v>
      </c>
    </row>
    <row r="985" spans="1:7" x14ac:dyDescent="0.3">
      <c r="A985" s="34">
        <v>984</v>
      </c>
      <c r="B985" s="34">
        <v>983</v>
      </c>
      <c r="C985" s="34">
        <v>21</v>
      </c>
      <c r="D985" s="34">
        <v>2923</v>
      </c>
      <c r="E985" s="34">
        <v>28</v>
      </c>
      <c r="F985" s="34" t="s">
        <v>56</v>
      </c>
      <c r="G985" s="34" t="str">
        <f>VLOOKUP(B985,Dane!$A$1:$G$1001,6,FALSE)</f>
        <v>własność</v>
      </c>
    </row>
    <row r="986" spans="1:7" x14ac:dyDescent="0.3">
      <c r="A986" s="34">
        <v>985</v>
      </c>
      <c r="B986" s="34">
        <v>949</v>
      </c>
      <c r="C986" s="34">
        <v>18</v>
      </c>
      <c r="D986" s="34">
        <v>1533</v>
      </c>
      <c r="E986" s="34">
        <v>43</v>
      </c>
      <c r="F986" s="34" t="s">
        <v>55</v>
      </c>
      <c r="G986" s="34" t="str">
        <f>VLOOKUP(B986,Dane!$A$1:$G$1001,6,FALSE)</f>
        <v>własność</v>
      </c>
    </row>
    <row r="987" spans="1:7" x14ac:dyDescent="0.3">
      <c r="A987" s="34">
        <v>986</v>
      </c>
      <c r="B987" s="34">
        <v>440</v>
      </c>
      <c r="C987" s="34">
        <v>12</v>
      </c>
      <c r="D987" s="34">
        <v>609</v>
      </c>
      <c r="E987" s="34">
        <v>26</v>
      </c>
      <c r="F987" s="34" t="s">
        <v>57</v>
      </c>
      <c r="G987" s="34" t="str">
        <f>VLOOKUP(B987,Dane!$A$1:$G$1001,6,FALSE)</f>
        <v>własność</v>
      </c>
    </row>
    <row r="988" spans="1:7" x14ac:dyDescent="0.3">
      <c r="A988" s="34">
        <v>987</v>
      </c>
      <c r="B988" s="34">
        <v>201</v>
      </c>
      <c r="C988" s="34">
        <v>9</v>
      </c>
      <c r="D988" s="34">
        <v>936</v>
      </c>
      <c r="E988" s="34">
        <v>52</v>
      </c>
      <c r="F988" s="34" t="s">
        <v>54</v>
      </c>
      <c r="G988" s="34" t="str">
        <f>VLOOKUP(B988,Dane!$A$1:$G$1001,6,FALSE)</f>
        <v>własność</v>
      </c>
    </row>
    <row r="989" spans="1:7" x14ac:dyDescent="0.3">
      <c r="A989" s="34">
        <v>988</v>
      </c>
      <c r="B989" s="34">
        <v>834</v>
      </c>
      <c r="C989" s="34">
        <v>24</v>
      </c>
      <c r="D989" s="34">
        <v>5084</v>
      </c>
      <c r="E989" s="34">
        <v>42</v>
      </c>
      <c r="F989" s="34" t="s">
        <v>56</v>
      </c>
      <c r="G989" s="34" t="str">
        <f>VLOOKUP(B989,Dane!$A$1:$G$1001,6,FALSE)</f>
        <v>własność</v>
      </c>
    </row>
    <row r="990" spans="1:7" x14ac:dyDescent="0.3">
      <c r="A990" s="34">
        <v>989</v>
      </c>
      <c r="B990" s="34">
        <v>65</v>
      </c>
      <c r="C990" s="34">
        <v>24</v>
      </c>
      <c r="D990" s="34">
        <v>3181</v>
      </c>
      <c r="E990" s="34">
        <v>26</v>
      </c>
      <c r="F990" s="34" t="s">
        <v>56</v>
      </c>
      <c r="G990" s="34" t="str">
        <f>VLOOKUP(B990,Dane!$A$1:$G$1001,6,FALSE)</f>
        <v>własność</v>
      </c>
    </row>
    <row r="991" spans="1:7" x14ac:dyDescent="0.3">
      <c r="A991" s="34">
        <v>990</v>
      </c>
      <c r="B991" s="34">
        <v>477</v>
      </c>
      <c r="C991" s="34">
        <v>39</v>
      </c>
      <c r="D991" s="34">
        <v>2569</v>
      </c>
      <c r="E991" s="34">
        <v>24</v>
      </c>
      <c r="F991" s="34" t="s">
        <v>54</v>
      </c>
      <c r="G991" s="34" t="str">
        <f>VLOOKUP(B991,Dane!$A$1:$G$1001,6,FALSE)</f>
        <v>własność</v>
      </c>
    </row>
    <row r="992" spans="1:7" x14ac:dyDescent="0.3">
      <c r="A992" s="34">
        <v>991</v>
      </c>
      <c r="B992" s="34">
        <v>249</v>
      </c>
      <c r="C992" s="34">
        <v>24</v>
      </c>
      <c r="D992" s="34">
        <v>1925</v>
      </c>
      <c r="E992" s="34">
        <v>26</v>
      </c>
      <c r="F992" s="34" t="s">
        <v>54</v>
      </c>
      <c r="G992" s="34" t="str">
        <f>VLOOKUP(B992,Dane!$A$1:$G$1001,6,FALSE)</f>
        <v>własność</v>
      </c>
    </row>
    <row r="993" spans="1:7" x14ac:dyDescent="0.3">
      <c r="A993" s="34">
        <v>992</v>
      </c>
      <c r="B993" s="34">
        <v>187</v>
      </c>
      <c r="C993" s="34">
        <v>9</v>
      </c>
      <c r="D993" s="34">
        <v>5129</v>
      </c>
      <c r="E993" s="34">
        <v>74</v>
      </c>
      <c r="F993" s="34" t="s">
        <v>57</v>
      </c>
      <c r="G993" s="34" t="str">
        <f>VLOOKUP(B993,Dane!$A$1:$G$1001,6,FALSE)</f>
        <v>za darmo</v>
      </c>
    </row>
    <row r="994" spans="1:7" x14ac:dyDescent="0.3">
      <c r="A994" s="34">
        <v>993</v>
      </c>
      <c r="B994" s="34">
        <v>838</v>
      </c>
      <c r="C994" s="34">
        <v>4</v>
      </c>
      <c r="D994" s="34">
        <v>601</v>
      </c>
      <c r="E994" s="34">
        <v>23</v>
      </c>
      <c r="F994" s="34" t="s">
        <v>56</v>
      </c>
      <c r="G994" s="34" t="str">
        <f>VLOOKUP(B994,Dane!$A$1:$G$1001,6,FALSE)</f>
        <v>wynajem</v>
      </c>
    </row>
    <row r="995" spans="1:7" x14ac:dyDescent="0.3">
      <c r="A995" s="34">
        <v>994</v>
      </c>
      <c r="B995" s="34">
        <v>572</v>
      </c>
      <c r="C995" s="34">
        <v>30</v>
      </c>
      <c r="D995" s="34">
        <v>5954</v>
      </c>
      <c r="E995" s="34">
        <v>38</v>
      </c>
      <c r="F995" s="34" t="s">
        <v>54</v>
      </c>
      <c r="G995" s="34" t="str">
        <f>VLOOKUP(B995,Dane!$A$1:$G$1001,6,FALSE)</f>
        <v>własność</v>
      </c>
    </row>
    <row r="996" spans="1:7" x14ac:dyDescent="0.3">
      <c r="A996" s="34">
        <v>995</v>
      </c>
      <c r="B996" s="34">
        <v>308</v>
      </c>
      <c r="C996" s="34">
        <v>12</v>
      </c>
      <c r="D996" s="34">
        <v>727</v>
      </c>
      <c r="E996" s="34">
        <v>33</v>
      </c>
      <c r="F996" s="34" t="s">
        <v>55</v>
      </c>
      <c r="G996" s="34" t="str">
        <f>VLOOKUP(B996,Dane!$A$1:$G$1001,6,FALSE)</f>
        <v>własność</v>
      </c>
    </row>
    <row r="997" spans="1:7" x14ac:dyDescent="0.3">
      <c r="A997" s="34">
        <v>996</v>
      </c>
      <c r="B997" s="34">
        <v>178</v>
      </c>
      <c r="C997" s="34">
        <v>6</v>
      </c>
      <c r="D997" s="34">
        <v>338</v>
      </c>
      <c r="E997" s="34">
        <v>52</v>
      </c>
      <c r="F997" s="34" t="s">
        <v>54</v>
      </c>
      <c r="G997" s="34" t="str">
        <f>VLOOKUP(B997,Dane!$A$1:$G$1001,6,FALSE)</f>
        <v>własność</v>
      </c>
    </row>
    <row r="998" spans="1:7" x14ac:dyDescent="0.3">
      <c r="A998" s="34">
        <v>997</v>
      </c>
      <c r="B998" s="34">
        <v>246</v>
      </c>
      <c r="C998" s="34">
        <v>24</v>
      </c>
      <c r="D998" s="34">
        <v>1258</v>
      </c>
      <c r="E998" s="34">
        <v>25</v>
      </c>
      <c r="F998" s="34" t="s">
        <v>54</v>
      </c>
      <c r="G998" s="34" t="str">
        <f>VLOOKUP(B998,Dane!$A$1:$G$1001,6,FALSE)</f>
        <v>własność</v>
      </c>
    </row>
    <row r="999" spans="1:7" x14ac:dyDescent="0.3">
      <c r="A999" s="34">
        <v>998</v>
      </c>
      <c r="B999" s="34">
        <v>144</v>
      </c>
      <c r="C999" s="34">
        <v>18</v>
      </c>
      <c r="D999" s="34">
        <v>2462</v>
      </c>
      <c r="E999" s="34">
        <v>22</v>
      </c>
      <c r="F999" s="34" t="s">
        <v>55</v>
      </c>
      <c r="G999" s="34" t="str">
        <f>VLOOKUP(B999,Dane!$A$1:$G$1001,6,FALSE)</f>
        <v>własność</v>
      </c>
    </row>
    <row r="1000" spans="1:7" x14ac:dyDescent="0.3">
      <c r="A1000" s="34">
        <v>999</v>
      </c>
      <c r="B1000" s="34">
        <v>233</v>
      </c>
      <c r="C1000" s="34">
        <v>12</v>
      </c>
      <c r="D1000" s="34">
        <v>2141</v>
      </c>
      <c r="E1000" s="34">
        <v>35</v>
      </c>
      <c r="F1000" s="34" t="s">
        <v>54</v>
      </c>
      <c r="G1000" s="34" t="str">
        <f>VLOOKUP(B1000,Dane!$A$1:$G$1001,6,FALSE)</f>
        <v>własność</v>
      </c>
    </row>
    <row r="1001" spans="1:7" x14ac:dyDescent="0.3">
      <c r="A1001" s="35">
        <v>1000</v>
      </c>
      <c r="B1001" s="35">
        <v>99</v>
      </c>
      <c r="C1001" s="35">
        <v>36</v>
      </c>
      <c r="D1001" s="35">
        <v>2337</v>
      </c>
      <c r="E1001" s="35">
        <v>36</v>
      </c>
      <c r="F1001" s="34" t="s">
        <v>54</v>
      </c>
      <c r="G1001" s="35" t="str">
        <f>VLOOKUP(B1001,Dane!$A$1:$G$1001,6,FALSE)</f>
        <v>własność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7F184-309B-46DD-9779-EEB8720B6218}">
  <sheetPr>
    <tabColor theme="4" tint="0.59999389629810485"/>
  </sheetPr>
  <dimension ref="A1:M309"/>
  <sheetViews>
    <sheetView topLeftCell="A17" zoomScale="145" zoomScaleNormal="145" workbookViewId="0">
      <selection activeCell="B3" sqref="B3:L6"/>
    </sheetView>
  </sheetViews>
  <sheetFormatPr defaultRowHeight="14.4" x14ac:dyDescent="0.3"/>
  <cols>
    <col min="2" max="2" width="10.109375" customWidth="1"/>
    <col min="3" max="3" width="12.109375" customWidth="1"/>
    <col min="4" max="4" width="11.6640625" customWidth="1"/>
    <col min="5" max="5" width="16.109375" customWidth="1"/>
    <col min="10" max="10" width="10.33203125" customWidth="1"/>
    <col min="13" max="13" width="10.33203125" customWidth="1"/>
  </cols>
  <sheetData>
    <row r="1" spans="1:13" ht="15" thickBot="1" x14ac:dyDescent="0.35"/>
    <row r="2" spans="1:13" ht="15" thickBot="1" x14ac:dyDescent="0.35">
      <c r="B2" s="342" t="s">
        <v>179</v>
      </c>
      <c r="C2" s="343"/>
      <c r="D2" s="343"/>
      <c r="E2" s="343"/>
      <c r="F2" s="343"/>
      <c r="G2" s="343"/>
      <c r="H2" s="343"/>
      <c r="I2" s="343"/>
      <c r="J2" s="343"/>
      <c r="K2" s="343"/>
      <c r="L2" s="344"/>
    </row>
    <row r="3" spans="1:13" ht="15" customHeight="1" x14ac:dyDescent="0.3">
      <c r="B3" s="351" t="s">
        <v>271</v>
      </c>
      <c r="C3" s="352"/>
      <c r="D3" s="352"/>
      <c r="E3" s="352"/>
      <c r="F3" s="352"/>
      <c r="G3" s="352"/>
      <c r="H3" s="352"/>
      <c r="I3" s="352"/>
      <c r="J3" s="352"/>
      <c r="K3" s="352"/>
      <c r="L3" s="353"/>
    </row>
    <row r="4" spans="1:13" x14ac:dyDescent="0.3">
      <c r="B4" s="345"/>
      <c r="C4" s="346"/>
      <c r="D4" s="346"/>
      <c r="E4" s="346"/>
      <c r="F4" s="346"/>
      <c r="G4" s="346"/>
      <c r="H4" s="346"/>
      <c r="I4" s="346"/>
      <c r="J4" s="346"/>
      <c r="K4" s="346"/>
      <c r="L4" s="347"/>
    </row>
    <row r="5" spans="1:13" x14ac:dyDescent="0.3">
      <c r="B5" s="345"/>
      <c r="C5" s="346"/>
      <c r="D5" s="346"/>
      <c r="E5" s="346"/>
      <c r="F5" s="346"/>
      <c r="G5" s="346"/>
      <c r="H5" s="346"/>
      <c r="I5" s="346"/>
      <c r="J5" s="346"/>
      <c r="K5" s="346"/>
      <c r="L5" s="347"/>
    </row>
    <row r="6" spans="1:13" ht="15" thickBot="1" x14ac:dyDescent="0.35">
      <c r="B6" s="348"/>
      <c r="C6" s="349"/>
      <c r="D6" s="349"/>
      <c r="E6" s="349"/>
      <c r="F6" s="349"/>
      <c r="G6" s="349"/>
      <c r="H6" s="349"/>
      <c r="I6" s="349"/>
      <c r="J6" s="349"/>
      <c r="K6" s="349"/>
      <c r="L6" s="350"/>
    </row>
    <row r="7" spans="1:13" x14ac:dyDescent="0.3">
      <c r="B7" s="88"/>
      <c r="C7" s="88"/>
      <c r="D7" s="88"/>
      <c r="E7" s="88"/>
      <c r="F7" s="88"/>
      <c r="G7" s="88"/>
    </row>
    <row r="8" spans="1:13" x14ac:dyDescent="0.3">
      <c r="C8" s="33" t="s">
        <v>23</v>
      </c>
      <c r="D8" s="33" t="s">
        <v>74</v>
      </c>
    </row>
    <row r="9" spans="1:13" ht="33.75" customHeight="1" x14ac:dyDescent="0.3">
      <c r="A9" s="204" t="s">
        <v>13</v>
      </c>
      <c r="B9" s="204" t="s">
        <v>12</v>
      </c>
      <c r="C9" s="257" t="s">
        <v>63</v>
      </c>
      <c r="D9" s="204" t="s">
        <v>42</v>
      </c>
      <c r="E9" s="258" t="s">
        <v>114</v>
      </c>
      <c r="F9" s="259" t="s">
        <v>234</v>
      </c>
      <c r="G9" s="204" t="s">
        <v>235</v>
      </c>
    </row>
    <row r="10" spans="1:13" x14ac:dyDescent="0.3">
      <c r="A10" s="38">
        <v>1</v>
      </c>
      <c r="B10" s="96">
        <v>608</v>
      </c>
      <c r="C10" s="38" t="s">
        <v>113</v>
      </c>
      <c r="D10" s="39" t="s">
        <v>57</v>
      </c>
      <c r="E10" s="38">
        <v>0</v>
      </c>
      <c r="F10" s="38">
        <f t="shared" ref="F10:F73" si="0">$J$13</f>
        <v>3.3333333333333335</v>
      </c>
      <c r="G10" s="219">
        <f t="shared" ref="G10:G41" si="1">VLOOKUP(D10,$I$21:$M$24,5,FALSE)</f>
        <v>3.870967741935484</v>
      </c>
      <c r="I10" s="25" t="s">
        <v>14</v>
      </c>
      <c r="J10" s="4">
        <v>1000</v>
      </c>
    </row>
    <row r="11" spans="1:13" x14ac:dyDescent="0.3">
      <c r="A11" s="34">
        <v>2</v>
      </c>
      <c r="B11" s="97">
        <v>388</v>
      </c>
      <c r="C11" s="34" t="s">
        <v>113</v>
      </c>
      <c r="D11" s="39" t="s">
        <v>54</v>
      </c>
      <c r="E11" s="34">
        <v>0</v>
      </c>
      <c r="F11" s="34">
        <f t="shared" si="0"/>
        <v>3.3333333333333335</v>
      </c>
      <c r="G11" s="220">
        <f t="shared" si="1"/>
        <v>4.1025641025641031</v>
      </c>
      <c r="I11" s="25" t="s">
        <v>15</v>
      </c>
      <c r="J11" s="4">
        <v>300</v>
      </c>
    </row>
    <row r="12" spans="1:13" ht="15.6" x14ac:dyDescent="0.35">
      <c r="A12" s="34">
        <v>3</v>
      </c>
      <c r="B12" s="97">
        <v>385</v>
      </c>
      <c r="C12" s="34" t="s">
        <v>113</v>
      </c>
      <c r="D12" s="39" t="s">
        <v>54</v>
      </c>
      <c r="E12" s="34">
        <v>0</v>
      </c>
      <c r="F12" s="34">
        <f t="shared" si="0"/>
        <v>3.3333333333333335</v>
      </c>
      <c r="G12" s="220">
        <f t="shared" si="1"/>
        <v>4.1025641025641031</v>
      </c>
      <c r="I12" s="25" t="s">
        <v>115</v>
      </c>
      <c r="J12" s="4">
        <v>250</v>
      </c>
    </row>
    <row r="13" spans="1:13" ht="15.6" x14ac:dyDescent="0.35">
      <c r="A13" s="34">
        <v>4</v>
      </c>
      <c r="B13" s="97">
        <v>453</v>
      </c>
      <c r="C13" s="34" t="s">
        <v>113</v>
      </c>
      <c r="D13" s="39" t="s">
        <v>54</v>
      </c>
      <c r="E13" s="34">
        <v>0</v>
      </c>
      <c r="F13" s="34">
        <f t="shared" si="0"/>
        <v>3.3333333333333335</v>
      </c>
      <c r="G13" s="220">
        <f t="shared" si="1"/>
        <v>4.1025641025641031</v>
      </c>
      <c r="I13" s="25" t="s">
        <v>116</v>
      </c>
      <c r="J13" s="216">
        <f>J10/J11</f>
        <v>3.3333333333333335</v>
      </c>
      <c r="K13" t="s">
        <v>180</v>
      </c>
    </row>
    <row r="14" spans="1:13" x14ac:dyDescent="0.3">
      <c r="A14" s="34">
        <v>5</v>
      </c>
      <c r="B14" s="97">
        <v>169</v>
      </c>
      <c r="C14" s="34" t="s">
        <v>113</v>
      </c>
      <c r="D14" s="39" t="s">
        <v>56</v>
      </c>
      <c r="E14" s="34">
        <v>0</v>
      </c>
      <c r="F14" s="34">
        <f t="shared" si="0"/>
        <v>3.3333333333333335</v>
      </c>
      <c r="G14" s="220">
        <f t="shared" si="1"/>
        <v>3.9393939393939394</v>
      </c>
    </row>
    <row r="15" spans="1:13" x14ac:dyDescent="0.3">
      <c r="A15" s="34">
        <v>6</v>
      </c>
      <c r="B15" s="97">
        <v>811</v>
      </c>
      <c r="C15" s="34" t="s">
        <v>113</v>
      </c>
      <c r="D15" s="39" t="s">
        <v>54</v>
      </c>
      <c r="E15" s="34">
        <v>0</v>
      </c>
      <c r="F15" s="34">
        <f t="shared" si="0"/>
        <v>3.3333333333333335</v>
      </c>
      <c r="G15" s="220">
        <f t="shared" si="1"/>
        <v>4.1025641025641031</v>
      </c>
      <c r="I15" s="177" t="s">
        <v>182</v>
      </c>
      <c r="K15" s="178"/>
      <c r="L15" s="178"/>
      <c r="M15" s="178"/>
    </row>
    <row r="16" spans="1:13" x14ac:dyDescent="0.3">
      <c r="A16" s="34">
        <v>7</v>
      </c>
      <c r="B16" s="97">
        <v>564</v>
      </c>
      <c r="C16" s="34" t="s">
        <v>113</v>
      </c>
      <c r="D16" s="39" t="s">
        <v>55</v>
      </c>
      <c r="E16" s="34">
        <v>0</v>
      </c>
      <c r="F16" s="34">
        <f t="shared" si="0"/>
        <v>3.3333333333333335</v>
      </c>
      <c r="G16" s="220">
        <f t="shared" si="1"/>
        <v>3.9007092198581566</v>
      </c>
      <c r="I16" s="29" t="s">
        <v>117</v>
      </c>
      <c r="J16" s="217">
        <f>SUMPRODUCT($F$10:$F$309,$C$10:$C$309)</f>
        <v>17493.333333333336</v>
      </c>
      <c r="K16" s="178" t="s">
        <v>118</v>
      </c>
      <c r="L16" s="178"/>
      <c r="M16" s="178"/>
    </row>
    <row r="17" spans="1:13" x14ac:dyDescent="0.3">
      <c r="A17" s="34">
        <v>8</v>
      </c>
      <c r="B17" s="97">
        <v>802</v>
      </c>
      <c r="C17" s="34" t="s">
        <v>113</v>
      </c>
      <c r="D17" s="39" t="s">
        <v>56</v>
      </c>
      <c r="E17" s="34">
        <v>0</v>
      </c>
      <c r="F17" s="34">
        <f t="shared" si="0"/>
        <v>3.3333333333333335</v>
      </c>
      <c r="G17" s="220">
        <f t="shared" si="1"/>
        <v>3.9393939393939394</v>
      </c>
      <c r="I17" s="29" t="s">
        <v>117</v>
      </c>
      <c r="J17" s="91">
        <f>J16*J11/J12</f>
        <v>20992.000000000004</v>
      </c>
      <c r="K17" s="178" t="s">
        <v>119</v>
      </c>
      <c r="L17" s="178"/>
      <c r="M17" s="178"/>
    </row>
    <row r="18" spans="1:13" x14ac:dyDescent="0.3">
      <c r="A18" s="34">
        <v>9</v>
      </c>
      <c r="B18" s="97">
        <v>136</v>
      </c>
      <c r="C18" s="34" t="s">
        <v>113</v>
      </c>
      <c r="D18" s="39" t="s">
        <v>56</v>
      </c>
      <c r="E18" s="34">
        <v>0</v>
      </c>
      <c r="F18" s="34">
        <f t="shared" si="0"/>
        <v>3.3333333333333335</v>
      </c>
      <c r="G18" s="220">
        <f t="shared" si="1"/>
        <v>3.9393939393939394</v>
      </c>
      <c r="J18" s="178"/>
      <c r="K18" s="178"/>
      <c r="L18" s="178"/>
      <c r="M18" s="178"/>
    </row>
    <row r="19" spans="1:13" x14ac:dyDescent="0.3">
      <c r="A19" s="34">
        <v>10</v>
      </c>
      <c r="B19" s="97">
        <v>597</v>
      </c>
      <c r="C19" s="34" t="s">
        <v>113</v>
      </c>
      <c r="D19" s="39" t="s">
        <v>57</v>
      </c>
      <c r="E19" s="34">
        <v>0</v>
      </c>
      <c r="F19" s="34">
        <f t="shared" si="0"/>
        <v>3.3333333333333335</v>
      </c>
      <c r="G19" s="220">
        <f t="shared" si="1"/>
        <v>3.870967741935484</v>
      </c>
      <c r="I19" s="177" t="s">
        <v>120</v>
      </c>
      <c r="J19" s="178"/>
      <c r="K19" s="178"/>
      <c r="L19" s="178"/>
      <c r="M19" s="178" t="s">
        <v>181</v>
      </c>
    </row>
    <row r="20" spans="1:13" ht="15.6" x14ac:dyDescent="0.35">
      <c r="A20" s="34">
        <v>11</v>
      </c>
      <c r="B20" s="97">
        <v>256</v>
      </c>
      <c r="C20" s="34" t="s">
        <v>113</v>
      </c>
      <c r="D20" s="39" t="s">
        <v>54</v>
      </c>
      <c r="E20" s="34">
        <v>0</v>
      </c>
      <c r="F20" s="34">
        <f t="shared" si="0"/>
        <v>3.3333333333333335</v>
      </c>
      <c r="G20" s="220">
        <f t="shared" si="1"/>
        <v>4.1025641025641031</v>
      </c>
      <c r="I20" s="25" t="s">
        <v>121</v>
      </c>
      <c r="J20" s="179" t="s">
        <v>122</v>
      </c>
      <c r="K20" s="180" t="s">
        <v>123</v>
      </c>
      <c r="L20" s="179" t="s">
        <v>124</v>
      </c>
      <c r="M20" s="181" t="s">
        <v>125</v>
      </c>
    </row>
    <row r="21" spans="1:13" x14ac:dyDescent="0.3">
      <c r="A21" s="34">
        <v>12</v>
      </c>
      <c r="B21" s="97">
        <v>255</v>
      </c>
      <c r="C21" s="34" t="s">
        <v>113</v>
      </c>
      <c r="D21" s="39" t="s">
        <v>54</v>
      </c>
      <c r="E21" s="34">
        <v>0</v>
      </c>
      <c r="F21" s="34">
        <f t="shared" si="0"/>
        <v>3.3333333333333335</v>
      </c>
      <c r="G21" s="220">
        <f t="shared" si="1"/>
        <v>4.1025641025641031</v>
      </c>
      <c r="I21" s="218" t="s">
        <v>54</v>
      </c>
      <c r="J21" s="182">
        <f>COUNTIF($D$10:$D$309,I21)</f>
        <v>144</v>
      </c>
      <c r="K21" s="182">
        <f>SUMIF($D$10:$D$309,I21,$E$10:$E$309)</f>
        <v>117</v>
      </c>
      <c r="L21" s="183">
        <f>K21/J21</f>
        <v>0.8125</v>
      </c>
      <c r="M21" s="184">
        <f>$J$13/L21</f>
        <v>4.1025641025641031</v>
      </c>
    </row>
    <row r="22" spans="1:13" x14ac:dyDescent="0.3">
      <c r="A22" s="34">
        <v>13</v>
      </c>
      <c r="B22" s="97">
        <v>421</v>
      </c>
      <c r="C22" s="34" t="s">
        <v>113</v>
      </c>
      <c r="D22" s="39" t="s">
        <v>56</v>
      </c>
      <c r="E22" s="34">
        <v>0</v>
      </c>
      <c r="F22" s="34">
        <f t="shared" si="0"/>
        <v>3.3333333333333335</v>
      </c>
      <c r="G22" s="220">
        <f t="shared" si="1"/>
        <v>3.9393939393939394</v>
      </c>
      <c r="I22" s="218" t="s">
        <v>55</v>
      </c>
      <c r="J22" s="182">
        <f t="shared" ref="J22:J24" si="2">COUNTIF($D$10:$D$309,I22)</f>
        <v>55</v>
      </c>
      <c r="K22" s="182">
        <f>SUMIF($D$10:$D$309,I22,$E$10:$E$309)</f>
        <v>47</v>
      </c>
      <c r="L22" s="183">
        <f>K22/J22</f>
        <v>0.8545454545454545</v>
      </c>
      <c r="M22" s="184">
        <f>$J$13/L22</f>
        <v>3.9007092198581566</v>
      </c>
    </row>
    <row r="23" spans="1:13" x14ac:dyDescent="0.3">
      <c r="A23" s="34">
        <v>14</v>
      </c>
      <c r="B23" s="97">
        <v>573</v>
      </c>
      <c r="C23" s="34" t="s">
        <v>113</v>
      </c>
      <c r="D23" s="39" t="s">
        <v>56</v>
      </c>
      <c r="E23" s="34">
        <v>0</v>
      </c>
      <c r="F23" s="34">
        <f t="shared" si="0"/>
        <v>3.3333333333333335</v>
      </c>
      <c r="G23" s="220">
        <f t="shared" si="1"/>
        <v>3.9393939393939394</v>
      </c>
      <c r="I23" s="218" t="s">
        <v>56</v>
      </c>
      <c r="J23" s="182">
        <f t="shared" si="2"/>
        <v>65</v>
      </c>
      <c r="K23" s="182">
        <f>SUMIF($D$10:$D$309,I23,$E$10:$E$309)</f>
        <v>55</v>
      </c>
      <c r="L23" s="183">
        <f>K23/J23</f>
        <v>0.84615384615384615</v>
      </c>
      <c r="M23" s="184">
        <f>$J$13/L23</f>
        <v>3.9393939393939394</v>
      </c>
    </row>
    <row r="24" spans="1:13" x14ac:dyDescent="0.3">
      <c r="A24" s="34">
        <v>15</v>
      </c>
      <c r="B24" s="97">
        <v>294</v>
      </c>
      <c r="C24" s="34" t="s">
        <v>113</v>
      </c>
      <c r="D24" s="39" t="s">
        <v>54</v>
      </c>
      <c r="E24" s="34">
        <v>0</v>
      </c>
      <c r="F24" s="34">
        <f t="shared" si="0"/>
        <v>3.3333333333333335</v>
      </c>
      <c r="G24" s="220">
        <f t="shared" si="1"/>
        <v>4.1025641025641031</v>
      </c>
      <c r="I24" s="218" t="s">
        <v>57</v>
      </c>
      <c r="J24" s="182">
        <f t="shared" si="2"/>
        <v>36</v>
      </c>
      <c r="K24" s="182">
        <f>SUMIF($D$10:$D$309,I24,$E$10:$E$309)</f>
        <v>31</v>
      </c>
      <c r="L24" s="183">
        <f>K24/J24</f>
        <v>0.86111111111111116</v>
      </c>
      <c r="M24" s="184">
        <f>$J$13/L24</f>
        <v>3.870967741935484</v>
      </c>
    </row>
    <row r="25" spans="1:13" x14ac:dyDescent="0.3">
      <c r="A25" s="34">
        <v>16</v>
      </c>
      <c r="B25" s="97">
        <v>17</v>
      </c>
      <c r="C25" s="34" t="s">
        <v>113</v>
      </c>
      <c r="D25" s="39" t="s">
        <v>54</v>
      </c>
      <c r="E25" s="34">
        <v>0</v>
      </c>
      <c r="F25" s="34">
        <f t="shared" si="0"/>
        <v>3.3333333333333335</v>
      </c>
      <c r="G25" s="220">
        <f t="shared" si="1"/>
        <v>4.1025641025641031</v>
      </c>
      <c r="I25" s="25" t="s">
        <v>53</v>
      </c>
      <c r="J25" s="185">
        <f>SUM(J21:J24)</f>
        <v>300</v>
      </c>
      <c r="K25" s="185">
        <f>SUM(K21:K24)</f>
        <v>250</v>
      </c>
      <c r="L25" s="185"/>
      <c r="M25" s="186"/>
    </row>
    <row r="26" spans="1:13" x14ac:dyDescent="0.3">
      <c r="A26" s="34">
        <v>17</v>
      </c>
      <c r="B26" s="97">
        <v>899</v>
      </c>
      <c r="C26" s="34" t="s">
        <v>113</v>
      </c>
      <c r="D26" s="39" t="s">
        <v>56</v>
      </c>
      <c r="E26" s="34">
        <v>0</v>
      </c>
      <c r="F26" s="34">
        <f t="shared" si="0"/>
        <v>3.3333333333333335</v>
      </c>
      <c r="G26" s="220">
        <f t="shared" si="1"/>
        <v>3.9393939393939394</v>
      </c>
      <c r="J26" s="178"/>
      <c r="K26" s="178"/>
      <c r="L26" s="178"/>
      <c r="M26" s="178"/>
    </row>
    <row r="27" spans="1:13" x14ac:dyDescent="0.3">
      <c r="A27" s="34">
        <v>18</v>
      </c>
      <c r="B27" s="97">
        <v>232</v>
      </c>
      <c r="C27" s="34" t="s">
        <v>113</v>
      </c>
      <c r="D27" s="39" t="s">
        <v>54</v>
      </c>
      <c r="E27" s="34">
        <v>0</v>
      </c>
      <c r="F27" s="34">
        <f t="shared" si="0"/>
        <v>3.3333333333333335</v>
      </c>
      <c r="G27" s="220">
        <f t="shared" si="1"/>
        <v>4.1025641025641031</v>
      </c>
      <c r="I27" s="177" t="s">
        <v>184</v>
      </c>
      <c r="J27" s="178"/>
      <c r="K27" s="178"/>
      <c r="L27" s="178"/>
      <c r="M27" s="178"/>
    </row>
    <row r="28" spans="1:13" x14ac:dyDescent="0.3">
      <c r="A28" s="34">
        <v>19</v>
      </c>
      <c r="B28" s="97">
        <v>948</v>
      </c>
      <c r="C28" s="34" t="s">
        <v>113</v>
      </c>
      <c r="D28" s="39" t="s">
        <v>54</v>
      </c>
      <c r="E28" s="34">
        <v>0</v>
      </c>
      <c r="F28" s="34">
        <f t="shared" si="0"/>
        <v>3.3333333333333335</v>
      </c>
      <c r="G28" s="220">
        <f t="shared" si="1"/>
        <v>4.1025641025641031</v>
      </c>
      <c r="I28" s="215" t="s">
        <v>117</v>
      </c>
      <c r="J28" s="187">
        <f>SUMPRODUCT(G10:G309,C10:C309)</f>
        <v>20948.861776521353</v>
      </c>
      <c r="K28" s="178"/>
      <c r="L28" s="178"/>
      <c r="M28" s="178"/>
    </row>
    <row r="29" spans="1:13" x14ac:dyDescent="0.3">
      <c r="A29" s="34">
        <v>20</v>
      </c>
      <c r="B29" s="97">
        <v>744</v>
      </c>
      <c r="C29" s="34" t="s">
        <v>113</v>
      </c>
      <c r="D29" s="39" t="s">
        <v>54</v>
      </c>
      <c r="E29" s="34">
        <v>0</v>
      </c>
      <c r="F29" s="34">
        <f t="shared" si="0"/>
        <v>3.3333333333333335</v>
      </c>
      <c r="G29" s="220">
        <f t="shared" si="1"/>
        <v>4.1025641025641031</v>
      </c>
    </row>
    <row r="30" spans="1:13" x14ac:dyDescent="0.3">
      <c r="A30" s="34">
        <v>21</v>
      </c>
      <c r="B30" s="97">
        <v>671</v>
      </c>
      <c r="C30" s="34" t="s">
        <v>113</v>
      </c>
      <c r="D30" s="39" t="s">
        <v>54</v>
      </c>
      <c r="E30" s="34">
        <v>0</v>
      </c>
      <c r="F30" s="34">
        <f t="shared" si="0"/>
        <v>3.3333333333333335</v>
      </c>
      <c r="G30" s="220">
        <f t="shared" si="1"/>
        <v>4.1025641025641031</v>
      </c>
      <c r="I30" t="s">
        <v>268</v>
      </c>
    </row>
    <row r="31" spans="1:13" x14ac:dyDescent="0.3">
      <c r="A31" s="34">
        <v>22</v>
      </c>
      <c r="B31" s="97">
        <v>204</v>
      </c>
      <c r="C31" s="34" t="s">
        <v>113</v>
      </c>
      <c r="D31" s="39" t="s">
        <v>55</v>
      </c>
      <c r="E31" s="34">
        <v>0</v>
      </c>
      <c r="F31" s="34">
        <f t="shared" si="0"/>
        <v>3.3333333333333335</v>
      </c>
      <c r="G31" s="220">
        <f t="shared" si="1"/>
        <v>3.9007092198581566</v>
      </c>
      <c r="I31" t="s">
        <v>183</v>
      </c>
    </row>
    <row r="32" spans="1:13" x14ac:dyDescent="0.3">
      <c r="A32" s="34">
        <v>23</v>
      </c>
      <c r="B32" s="97">
        <v>718</v>
      </c>
      <c r="C32" s="34" t="s">
        <v>113</v>
      </c>
      <c r="D32" s="39" t="s">
        <v>54</v>
      </c>
      <c r="E32" s="34">
        <v>0</v>
      </c>
      <c r="F32" s="34">
        <f t="shared" si="0"/>
        <v>3.3333333333333335</v>
      </c>
      <c r="G32" s="220">
        <f t="shared" si="1"/>
        <v>4.1025641025641031</v>
      </c>
      <c r="I32" t="s">
        <v>228</v>
      </c>
    </row>
    <row r="33" spans="1:7" x14ac:dyDescent="0.3">
      <c r="A33" s="34">
        <v>24</v>
      </c>
      <c r="B33" s="97">
        <v>472</v>
      </c>
      <c r="C33" s="34" t="s">
        <v>113</v>
      </c>
      <c r="D33" s="39" t="s">
        <v>57</v>
      </c>
      <c r="E33" s="34">
        <v>0</v>
      </c>
      <c r="F33" s="34">
        <f t="shared" si="0"/>
        <v>3.3333333333333335</v>
      </c>
      <c r="G33" s="220">
        <f t="shared" si="1"/>
        <v>3.870967741935484</v>
      </c>
    </row>
    <row r="34" spans="1:7" x14ac:dyDescent="0.3">
      <c r="A34" s="34">
        <v>25</v>
      </c>
      <c r="B34" s="97">
        <v>940</v>
      </c>
      <c r="C34" s="34" t="s">
        <v>113</v>
      </c>
      <c r="D34" s="39" t="s">
        <v>54</v>
      </c>
      <c r="E34" s="34">
        <v>0</v>
      </c>
      <c r="F34" s="34">
        <f t="shared" si="0"/>
        <v>3.3333333333333335</v>
      </c>
      <c r="G34" s="220">
        <f t="shared" si="1"/>
        <v>4.1025641025641031</v>
      </c>
    </row>
    <row r="35" spans="1:7" x14ac:dyDescent="0.3">
      <c r="A35" s="34">
        <v>26</v>
      </c>
      <c r="B35" s="97">
        <v>577</v>
      </c>
      <c r="C35" s="34" t="s">
        <v>113</v>
      </c>
      <c r="D35" s="39" t="s">
        <v>56</v>
      </c>
      <c r="E35" s="34">
        <v>0</v>
      </c>
      <c r="F35" s="34">
        <f t="shared" si="0"/>
        <v>3.3333333333333335</v>
      </c>
      <c r="G35" s="220">
        <f t="shared" si="1"/>
        <v>3.9393939393939394</v>
      </c>
    </row>
    <row r="36" spans="1:7" x14ac:dyDescent="0.3">
      <c r="A36" s="34">
        <v>27</v>
      </c>
      <c r="B36" s="97">
        <v>786</v>
      </c>
      <c r="C36" s="34" t="s">
        <v>113</v>
      </c>
      <c r="D36" s="39" t="s">
        <v>54</v>
      </c>
      <c r="E36" s="34">
        <v>0</v>
      </c>
      <c r="F36" s="34">
        <f t="shared" si="0"/>
        <v>3.3333333333333335</v>
      </c>
      <c r="G36" s="220">
        <f t="shared" si="1"/>
        <v>4.1025641025641031</v>
      </c>
    </row>
    <row r="37" spans="1:7" x14ac:dyDescent="0.3">
      <c r="A37" s="34">
        <v>28</v>
      </c>
      <c r="B37" s="97">
        <v>274</v>
      </c>
      <c r="C37" s="34" t="s">
        <v>113</v>
      </c>
      <c r="D37" s="39" t="s">
        <v>55</v>
      </c>
      <c r="E37" s="34">
        <v>0</v>
      </c>
      <c r="F37" s="34">
        <f t="shared" si="0"/>
        <v>3.3333333333333335</v>
      </c>
      <c r="G37" s="220">
        <f t="shared" si="1"/>
        <v>3.9007092198581566</v>
      </c>
    </row>
    <row r="38" spans="1:7" x14ac:dyDescent="0.3">
      <c r="A38" s="34">
        <v>29</v>
      </c>
      <c r="B38" s="97">
        <v>703</v>
      </c>
      <c r="C38" s="34" t="s">
        <v>113</v>
      </c>
      <c r="D38" s="39" t="s">
        <v>56</v>
      </c>
      <c r="E38" s="34">
        <v>0</v>
      </c>
      <c r="F38" s="34">
        <f t="shared" si="0"/>
        <v>3.3333333333333335</v>
      </c>
      <c r="G38" s="220">
        <f t="shared" si="1"/>
        <v>3.9393939393939394</v>
      </c>
    </row>
    <row r="39" spans="1:7" x14ac:dyDescent="0.3">
      <c r="A39" s="34">
        <v>30</v>
      </c>
      <c r="B39" s="97">
        <v>340</v>
      </c>
      <c r="C39" s="34" t="s">
        <v>113</v>
      </c>
      <c r="D39" s="39" t="s">
        <v>54</v>
      </c>
      <c r="E39" s="34">
        <v>0</v>
      </c>
      <c r="F39" s="34">
        <f t="shared" si="0"/>
        <v>3.3333333333333335</v>
      </c>
      <c r="G39" s="220">
        <f t="shared" si="1"/>
        <v>4.1025641025641031</v>
      </c>
    </row>
    <row r="40" spans="1:7" x14ac:dyDescent="0.3">
      <c r="A40" s="34">
        <v>31</v>
      </c>
      <c r="B40" s="97">
        <v>322</v>
      </c>
      <c r="C40" s="34" t="s">
        <v>113</v>
      </c>
      <c r="D40" s="39" t="s">
        <v>55</v>
      </c>
      <c r="E40" s="34">
        <v>0</v>
      </c>
      <c r="F40" s="34">
        <f t="shared" si="0"/>
        <v>3.3333333333333335</v>
      </c>
      <c r="G40" s="220">
        <f t="shared" si="1"/>
        <v>3.9007092198581566</v>
      </c>
    </row>
    <row r="41" spans="1:7" x14ac:dyDescent="0.3">
      <c r="A41" s="34">
        <v>32</v>
      </c>
      <c r="B41" s="97">
        <v>960</v>
      </c>
      <c r="C41" s="34" t="s">
        <v>113</v>
      </c>
      <c r="D41" s="39" t="s">
        <v>54</v>
      </c>
      <c r="E41" s="34">
        <v>0</v>
      </c>
      <c r="F41" s="34">
        <f t="shared" si="0"/>
        <v>3.3333333333333335</v>
      </c>
      <c r="G41" s="220">
        <f t="shared" si="1"/>
        <v>4.1025641025641031</v>
      </c>
    </row>
    <row r="42" spans="1:7" x14ac:dyDescent="0.3">
      <c r="A42" s="34">
        <v>33</v>
      </c>
      <c r="B42" s="97">
        <v>176</v>
      </c>
      <c r="C42" s="34" t="s">
        <v>113</v>
      </c>
      <c r="D42" s="39" t="s">
        <v>57</v>
      </c>
      <c r="E42" s="34">
        <v>0</v>
      </c>
      <c r="F42" s="34">
        <f t="shared" si="0"/>
        <v>3.3333333333333335</v>
      </c>
      <c r="G42" s="220">
        <f t="shared" ref="G42:G74" si="3">VLOOKUP(D42,$I$21:$M$24,5,FALSE)</f>
        <v>3.870967741935484</v>
      </c>
    </row>
    <row r="43" spans="1:7" x14ac:dyDescent="0.3">
      <c r="A43" s="34">
        <v>34</v>
      </c>
      <c r="B43" s="97">
        <v>360</v>
      </c>
      <c r="C43" s="34" t="s">
        <v>113</v>
      </c>
      <c r="D43" s="39" t="s">
        <v>57</v>
      </c>
      <c r="E43" s="34">
        <v>0</v>
      </c>
      <c r="F43" s="34">
        <f t="shared" si="0"/>
        <v>3.3333333333333335</v>
      </c>
      <c r="G43" s="220">
        <f t="shared" si="3"/>
        <v>3.870967741935484</v>
      </c>
    </row>
    <row r="44" spans="1:7" x14ac:dyDescent="0.3">
      <c r="A44" s="34">
        <v>35</v>
      </c>
      <c r="B44" s="97">
        <v>944</v>
      </c>
      <c r="C44" s="34" t="s">
        <v>113</v>
      </c>
      <c r="D44" s="39" t="s">
        <v>54</v>
      </c>
      <c r="E44" s="34">
        <v>0</v>
      </c>
      <c r="F44" s="34">
        <f t="shared" si="0"/>
        <v>3.3333333333333335</v>
      </c>
      <c r="G44" s="220">
        <f t="shared" si="3"/>
        <v>4.1025641025641031</v>
      </c>
    </row>
    <row r="45" spans="1:7" x14ac:dyDescent="0.3">
      <c r="A45" s="34">
        <v>36</v>
      </c>
      <c r="B45" s="97">
        <v>743</v>
      </c>
      <c r="C45" s="34" t="s">
        <v>113</v>
      </c>
      <c r="D45" s="39" t="s">
        <v>54</v>
      </c>
      <c r="E45" s="34">
        <v>0</v>
      </c>
      <c r="F45" s="34">
        <f t="shared" si="0"/>
        <v>3.3333333333333335</v>
      </c>
      <c r="G45" s="220">
        <f t="shared" si="3"/>
        <v>4.1025641025641031</v>
      </c>
    </row>
    <row r="46" spans="1:7" x14ac:dyDescent="0.3">
      <c r="A46" s="34">
        <v>37</v>
      </c>
      <c r="B46" s="97">
        <v>412</v>
      </c>
      <c r="C46" s="34" t="s">
        <v>113</v>
      </c>
      <c r="D46" s="39" t="s">
        <v>54</v>
      </c>
      <c r="E46" s="34">
        <v>0</v>
      </c>
      <c r="F46" s="34">
        <f t="shared" si="0"/>
        <v>3.3333333333333335</v>
      </c>
      <c r="G46" s="220">
        <f t="shared" si="3"/>
        <v>4.1025641025641031</v>
      </c>
    </row>
    <row r="47" spans="1:7" x14ac:dyDescent="0.3">
      <c r="A47" s="34">
        <v>38</v>
      </c>
      <c r="B47" s="97">
        <v>224</v>
      </c>
      <c r="C47" s="34" t="s">
        <v>113</v>
      </c>
      <c r="D47" s="39" t="s">
        <v>54</v>
      </c>
      <c r="E47" s="34">
        <v>0</v>
      </c>
      <c r="F47" s="34">
        <f t="shared" si="0"/>
        <v>3.3333333333333335</v>
      </c>
      <c r="G47" s="220">
        <f t="shared" si="3"/>
        <v>4.1025641025641031</v>
      </c>
    </row>
    <row r="48" spans="1:7" x14ac:dyDescent="0.3">
      <c r="A48" s="34">
        <v>39</v>
      </c>
      <c r="B48" s="97">
        <v>803</v>
      </c>
      <c r="C48" s="34" t="s">
        <v>113</v>
      </c>
      <c r="D48" s="39" t="s">
        <v>56</v>
      </c>
      <c r="E48" s="34">
        <v>0</v>
      </c>
      <c r="F48" s="34">
        <f t="shared" si="0"/>
        <v>3.3333333333333335</v>
      </c>
      <c r="G48" s="220">
        <f t="shared" si="3"/>
        <v>3.9393939393939394</v>
      </c>
    </row>
    <row r="49" spans="1:7" x14ac:dyDescent="0.3">
      <c r="A49" s="34">
        <v>40</v>
      </c>
      <c r="B49" s="97">
        <v>962</v>
      </c>
      <c r="C49" s="34" t="s">
        <v>113</v>
      </c>
      <c r="D49" s="39" t="s">
        <v>54</v>
      </c>
      <c r="E49" s="34">
        <v>0</v>
      </c>
      <c r="F49" s="34">
        <f t="shared" si="0"/>
        <v>3.3333333333333335</v>
      </c>
      <c r="G49" s="220">
        <f t="shared" si="3"/>
        <v>4.1025641025641031</v>
      </c>
    </row>
    <row r="50" spans="1:7" x14ac:dyDescent="0.3">
      <c r="A50" s="34">
        <v>41</v>
      </c>
      <c r="B50" s="97">
        <v>654</v>
      </c>
      <c r="C50" s="34" t="s">
        <v>113</v>
      </c>
      <c r="D50" s="39" t="s">
        <v>55</v>
      </c>
      <c r="E50" s="34">
        <v>0</v>
      </c>
      <c r="F50" s="34">
        <f t="shared" si="0"/>
        <v>3.3333333333333335</v>
      </c>
      <c r="G50" s="220">
        <f t="shared" si="3"/>
        <v>3.9007092198581566</v>
      </c>
    </row>
    <row r="51" spans="1:7" x14ac:dyDescent="0.3">
      <c r="A51" s="34">
        <v>42</v>
      </c>
      <c r="B51" s="97">
        <v>559</v>
      </c>
      <c r="C51" s="34" t="s">
        <v>113</v>
      </c>
      <c r="D51" s="39" t="s">
        <v>55</v>
      </c>
      <c r="E51" s="34">
        <v>0</v>
      </c>
      <c r="F51" s="34">
        <f t="shared" si="0"/>
        <v>3.3333333333333335</v>
      </c>
      <c r="G51" s="220">
        <f t="shared" si="3"/>
        <v>3.9007092198581566</v>
      </c>
    </row>
    <row r="52" spans="1:7" x14ac:dyDescent="0.3">
      <c r="A52" s="34">
        <v>43</v>
      </c>
      <c r="B52" s="97">
        <v>747</v>
      </c>
      <c r="C52" s="34" t="s">
        <v>113</v>
      </c>
      <c r="D52" s="39" t="s">
        <v>56</v>
      </c>
      <c r="E52" s="34">
        <v>0</v>
      </c>
      <c r="F52" s="34">
        <f t="shared" si="0"/>
        <v>3.3333333333333335</v>
      </c>
      <c r="G52" s="220">
        <f t="shared" si="3"/>
        <v>3.9393939393939394</v>
      </c>
    </row>
    <row r="53" spans="1:7" x14ac:dyDescent="0.3">
      <c r="A53" s="34">
        <v>44</v>
      </c>
      <c r="B53" s="97">
        <v>789</v>
      </c>
      <c r="C53" s="34" t="s">
        <v>113</v>
      </c>
      <c r="D53" s="39" t="s">
        <v>55</v>
      </c>
      <c r="E53" s="34">
        <v>0</v>
      </c>
      <c r="F53" s="34">
        <f t="shared" si="0"/>
        <v>3.3333333333333335</v>
      </c>
      <c r="G53" s="220">
        <f t="shared" si="3"/>
        <v>3.9007092198581566</v>
      </c>
    </row>
    <row r="54" spans="1:7" x14ac:dyDescent="0.3">
      <c r="A54" s="34">
        <v>45</v>
      </c>
      <c r="B54" s="97">
        <v>793</v>
      </c>
      <c r="C54" s="34" t="s">
        <v>113</v>
      </c>
      <c r="D54" s="39" t="s">
        <v>54</v>
      </c>
      <c r="E54" s="34">
        <v>0</v>
      </c>
      <c r="F54" s="34">
        <f t="shared" si="0"/>
        <v>3.3333333333333335</v>
      </c>
      <c r="G54" s="220">
        <f t="shared" si="3"/>
        <v>4.1025641025641031</v>
      </c>
    </row>
    <row r="55" spans="1:7" x14ac:dyDescent="0.3">
      <c r="A55" s="34">
        <v>46</v>
      </c>
      <c r="B55" s="97">
        <v>846</v>
      </c>
      <c r="C55" s="34" t="s">
        <v>113</v>
      </c>
      <c r="D55" s="39" t="s">
        <v>54</v>
      </c>
      <c r="E55" s="34">
        <v>0</v>
      </c>
      <c r="F55" s="34">
        <f t="shared" si="0"/>
        <v>3.3333333333333335</v>
      </c>
      <c r="G55" s="220">
        <f t="shared" si="3"/>
        <v>4.1025641025641031</v>
      </c>
    </row>
    <row r="56" spans="1:7" x14ac:dyDescent="0.3">
      <c r="A56" s="34">
        <v>47</v>
      </c>
      <c r="B56" s="97">
        <v>749</v>
      </c>
      <c r="C56" s="34" t="s">
        <v>113</v>
      </c>
      <c r="D56" s="39" t="s">
        <v>54</v>
      </c>
      <c r="E56" s="34">
        <v>0</v>
      </c>
      <c r="F56" s="34">
        <f t="shared" si="0"/>
        <v>3.3333333333333335</v>
      </c>
      <c r="G56" s="220">
        <f t="shared" si="3"/>
        <v>4.1025641025641031</v>
      </c>
    </row>
    <row r="57" spans="1:7" x14ac:dyDescent="0.3">
      <c r="A57" s="34">
        <v>48</v>
      </c>
      <c r="B57" s="97">
        <v>315</v>
      </c>
      <c r="C57" s="34" t="s">
        <v>113</v>
      </c>
      <c r="D57" s="39" t="s">
        <v>54</v>
      </c>
      <c r="E57" s="34">
        <v>0</v>
      </c>
      <c r="F57" s="34">
        <f t="shared" si="0"/>
        <v>3.3333333333333335</v>
      </c>
      <c r="G57" s="220">
        <f t="shared" si="3"/>
        <v>4.1025641025641031</v>
      </c>
    </row>
    <row r="58" spans="1:7" x14ac:dyDescent="0.3">
      <c r="A58" s="34">
        <v>49</v>
      </c>
      <c r="B58" s="97">
        <v>650</v>
      </c>
      <c r="C58" s="34" t="s">
        <v>113</v>
      </c>
      <c r="D58" s="39" t="s">
        <v>55</v>
      </c>
      <c r="E58" s="34">
        <v>0</v>
      </c>
      <c r="F58" s="34">
        <f t="shared" si="0"/>
        <v>3.3333333333333335</v>
      </c>
      <c r="G58" s="220">
        <f t="shared" si="3"/>
        <v>3.9007092198581566</v>
      </c>
    </row>
    <row r="59" spans="1:7" x14ac:dyDescent="0.3">
      <c r="A59" s="34">
        <v>50</v>
      </c>
      <c r="B59" s="97">
        <v>371</v>
      </c>
      <c r="C59" s="34" t="s">
        <v>113</v>
      </c>
      <c r="D59" s="39" t="s">
        <v>54</v>
      </c>
      <c r="E59" s="34">
        <v>0</v>
      </c>
      <c r="F59" s="34">
        <f t="shared" si="0"/>
        <v>3.3333333333333335</v>
      </c>
      <c r="G59" s="220">
        <f t="shared" si="3"/>
        <v>4.1025641025641031</v>
      </c>
    </row>
    <row r="60" spans="1:7" x14ac:dyDescent="0.3">
      <c r="A60" s="34">
        <v>51</v>
      </c>
      <c r="B60" s="97">
        <v>277</v>
      </c>
      <c r="C60" s="34">
        <v>18</v>
      </c>
      <c r="D60" s="39" t="s">
        <v>56</v>
      </c>
      <c r="E60" s="34">
        <v>1</v>
      </c>
      <c r="F60" s="34">
        <f t="shared" si="0"/>
        <v>3.3333333333333335</v>
      </c>
      <c r="G60" s="220">
        <f t="shared" si="3"/>
        <v>3.9393939393939394</v>
      </c>
    </row>
    <row r="61" spans="1:7" x14ac:dyDescent="0.3">
      <c r="A61" s="34">
        <v>52</v>
      </c>
      <c r="B61" s="97">
        <v>275</v>
      </c>
      <c r="C61" s="34">
        <v>30</v>
      </c>
      <c r="D61" s="39" t="s">
        <v>55</v>
      </c>
      <c r="E61" s="34">
        <v>1</v>
      </c>
      <c r="F61" s="34">
        <f t="shared" si="0"/>
        <v>3.3333333333333335</v>
      </c>
      <c r="G61" s="220">
        <f t="shared" si="3"/>
        <v>3.9007092198581566</v>
      </c>
    </row>
    <row r="62" spans="1:7" x14ac:dyDescent="0.3">
      <c r="A62" s="34">
        <v>53</v>
      </c>
      <c r="B62" s="97">
        <v>898</v>
      </c>
      <c r="C62" s="34">
        <v>12</v>
      </c>
      <c r="D62" s="39" t="s">
        <v>56</v>
      </c>
      <c r="E62" s="34">
        <v>1</v>
      </c>
      <c r="F62" s="34">
        <f t="shared" si="0"/>
        <v>3.3333333333333335</v>
      </c>
      <c r="G62" s="220">
        <f t="shared" si="3"/>
        <v>3.9393939393939394</v>
      </c>
    </row>
    <row r="63" spans="1:7" x14ac:dyDescent="0.3">
      <c r="A63" s="34">
        <v>54</v>
      </c>
      <c r="B63" s="97">
        <v>934</v>
      </c>
      <c r="C63" s="34">
        <v>12</v>
      </c>
      <c r="D63" s="39" t="s">
        <v>54</v>
      </c>
      <c r="E63" s="34">
        <v>1</v>
      </c>
      <c r="F63" s="34">
        <f t="shared" si="0"/>
        <v>3.3333333333333335</v>
      </c>
      <c r="G63" s="220">
        <f t="shared" si="3"/>
        <v>4.1025641025641031</v>
      </c>
    </row>
    <row r="64" spans="1:7" x14ac:dyDescent="0.3">
      <c r="A64" s="34">
        <v>55</v>
      </c>
      <c r="B64" s="97">
        <v>762</v>
      </c>
      <c r="C64" s="34">
        <v>18</v>
      </c>
      <c r="D64" s="39" t="s">
        <v>57</v>
      </c>
      <c r="E64" s="34">
        <v>1</v>
      </c>
      <c r="F64" s="34">
        <f t="shared" si="0"/>
        <v>3.3333333333333335</v>
      </c>
      <c r="G64" s="220">
        <f t="shared" si="3"/>
        <v>3.870967741935484</v>
      </c>
    </row>
    <row r="65" spans="1:7" x14ac:dyDescent="0.3">
      <c r="A65" s="34">
        <v>56</v>
      </c>
      <c r="B65" s="97">
        <v>278</v>
      </c>
      <c r="C65" s="34">
        <v>12</v>
      </c>
      <c r="D65" s="39" t="s">
        <v>54</v>
      </c>
      <c r="E65" s="34">
        <v>1</v>
      </c>
      <c r="F65" s="34">
        <f t="shared" si="0"/>
        <v>3.3333333333333335</v>
      </c>
      <c r="G65" s="220">
        <f t="shared" si="3"/>
        <v>4.1025641025641031</v>
      </c>
    </row>
    <row r="66" spans="1:7" x14ac:dyDescent="0.3">
      <c r="A66" s="34">
        <v>57</v>
      </c>
      <c r="B66" s="97">
        <v>27</v>
      </c>
      <c r="C66" s="34">
        <v>6</v>
      </c>
      <c r="D66" s="39" t="s">
        <v>54</v>
      </c>
      <c r="E66" s="34">
        <v>1</v>
      </c>
      <c r="F66" s="34">
        <f t="shared" si="0"/>
        <v>3.3333333333333335</v>
      </c>
      <c r="G66" s="220">
        <f t="shared" si="3"/>
        <v>4.1025641025641031</v>
      </c>
    </row>
    <row r="67" spans="1:7" x14ac:dyDescent="0.3">
      <c r="A67" s="34">
        <v>58</v>
      </c>
      <c r="B67" s="97">
        <v>327</v>
      </c>
      <c r="C67" s="34">
        <v>12</v>
      </c>
      <c r="D67" s="39" t="s">
        <v>54</v>
      </c>
      <c r="E67" s="34">
        <v>1</v>
      </c>
      <c r="F67" s="34">
        <f t="shared" si="0"/>
        <v>3.3333333333333335</v>
      </c>
      <c r="G67" s="220">
        <f t="shared" si="3"/>
        <v>4.1025641025641031</v>
      </c>
    </row>
    <row r="68" spans="1:7" x14ac:dyDescent="0.3">
      <c r="A68" s="34">
        <v>59</v>
      </c>
      <c r="B68" s="97">
        <v>961</v>
      </c>
      <c r="C68" s="34">
        <v>6</v>
      </c>
      <c r="D68" s="39" t="s">
        <v>54</v>
      </c>
      <c r="E68" s="34">
        <v>1</v>
      </c>
      <c r="F68" s="34">
        <f t="shared" si="0"/>
        <v>3.3333333333333335</v>
      </c>
      <c r="G68" s="220">
        <f t="shared" si="3"/>
        <v>4.1025641025641031</v>
      </c>
    </row>
    <row r="69" spans="1:7" x14ac:dyDescent="0.3">
      <c r="A69" s="34">
        <v>60</v>
      </c>
      <c r="B69" s="97">
        <v>118</v>
      </c>
      <c r="C69" s="34">
        <v>10</v>
      </c>
      <c r="D69" s="39" t="s">
        <v>56</v>
      </c>
      <c r="E69" s="34">
        <v>1</v>
      </c>
      <c r="F69" s="34">
        <f t="shared" si="0"/>
        <v>3.3333333333333335</v>
      </c>
      <c r="G69" s="220">
        <f t="shared" si="3"/>
        <v>3.9393939393939394</v>
      </c>
    </row>
    <row r="70" spans="1:7" x14ac:dyDescent="0.3">
      <c r="A70" s="34">
        <v>61</v>
      </c>
      <c r="B70" s="97">
        <v>402</v>
      </c>
      <c r="C70" s="34">
        <v>18</v>
      </c>
      <c r="D70" s="39" t="s">
        <v>54</v>
      </c>
      <c r="E70" s="34">
        <v>1</v>
      </c>
      <c r="F70" s="34">
        <f t="shared" si="0"/>
        <v>3.3333333333333335</v>
      </c>
      <c r="G70" s="220">
        <f t="shared" si="3"/>
        <v>4.1025641025641031</v>
      </c>
    </row>
    <row r="71" spans="1:7" x14ac:dyDescent="0.3">
      <c r="A71" s="34">
        <v>62</v>
      </c>
      <c r="B71" s="97">
        <v>391</v>
      </c>
      <c r="C71" s="34">
        <v>18</v>
      </c>
      <c r="D71" s="39" t="s">
        <v>54</v>
      </c>
      <c r="E71" s="34">
        <v>1</v>
      </c>
      <c r="F71" s="34">
        <f t="shared" si="0"/>
        <v>3.3333333333333335</v>
      </c>
      <c r="G71" s="220">
        <f t="shared" si="3"/>
        <v>4.1025641025641031</v>
      </c>
    </row>
    <row r="72" spans="1:7" x14ac:dyDescent="0.3">
      <c r="A72" s="34">
        <v>63</v>
      </c>
      <c r="B72" s="97">
        <v>95</v>
      </c>
      <c r="C72" s="34">
        <v>12</v>
      </c>
      <c r="D72" s="39" t="s">
        <v>54</v>
      </c>
      <c r="E72" s="34">
        <v>1</v>
      </c>
      <c r="F72" s="34">
        <f t="shared" si="0"/>
        <v>3.3333333333333335</v>
      </c>
      <c r="G72" s="220">
        <f t="shared" si="3"/>
        <v>4.1025641025641031</v>
      </c>
    </row>
    <row r="73" spans="1:7" x14ac:dyDescent="0.3">
      <c r="A73" s="34">
        <v>64</v>
      </c>
      <c r="B73" s="97">
        <v>464</v>
      </c>
      <c r="C73" s="34">
        <v>12</v>
      </c>
      <c r="D73" s="39" t="s">
        <v>54</v>
      </c>
      <c r="E73" s="34">
        <v>1</v>
      </c>
      <c r="F73" s="34">
        <f t="shared" si="0"/>
        <v>3.3333333333333335</v>
      </c>
      <c r="G73" s="220">
        <f t="shared" si="3"/>
        <v>4.1025641025641031</v>
      </c>
    </row>
    <row r="74" spans="1:7" x14ac:dyDescent="0.3">
      <c r="A74" s="34">
        <v>65</v>
      </c>
      <c r="B74" s="97">
        <v>856</v>
      </c>
      <c r="C74" s="34">
        <v>24</v>
      </c>
      <c r="D74" s="39" t="s">
        <v>54</v>
      </c>
      <c r="E74" s="34">
        <v>1</v>
      </c>
      <c r="F74" s="34">
        <f t="shared" ref="F74:F137" si="4">$J$13</f>
        <v>3.3333333333333335</v>
      </c>
      <c r="G74" s="220">
        <f t="shared" si="3"/>
        <v>4.1025641025641031</v>
      </c>
    </row>
    <row r="75" spans="1:7" x14ac:dyDescent="0.3">
      <c r="A75" s="34">
        <v>66</v>
      </c>
      <c r="B75" s="97">
        <v>343</v>
      </c>
      <c r="C75" s="34">
        <v>18</v>
      </c>
      <c r="D75" s="39" t="s">
        <v>54</v>
      </c>
      <c r="E75" s="34">
        <v>1</v>
      </c>
      <c r="F75" s="34">
        <f t="shared" si="4"/>
        <v>3.3333333333333335</v>
      </c>
      <c r="G75" s="220">
        <f t="shared" ref="G75:G138" si="5">VLOOKUP(D75,$I$21:$M$24,5,FALSE)</f>
        <v>4.1025641025641031</v>
      </c>
    </row>
    <row r="76" spans="1:7" x14ac:dyDescent="0.3">
      <c r="A76" s="34">
        <v>67</v>
      </c>
      <c r="B76" s="97">
        <v>364</v>
      </c>
      <c r="C76" s="34">
        <v>6</v>
      </c>
      <c r="D76" s="39" t="s">
        <v>54</v>
      </c>
      <c r="E76" s="34">
        <v>1</v>
      </c>
      <c r="F76" s="34">
        <f t="shared" si="4"/>
        <v>3.3333333333333335</v>
      </c>
      <c r="G76" s="220">
        <f t="shared" si="5"/>
        <v>4.1025641025641031</v>
      </c>
    </row>
    <row r="77" spans="1:7" x14ac:dyDescent="0.3">
      <c r="A77" s="34">
        <v>68</v>
      </c>
      <c r="B77" s="97">
        <v>463</v>
      </c>
      <c r="C77" s="34">
        <v>12</v>
      </c>
      <c r="D77" s="39" t="s">
        <v>56</v>
      </c>
      <c r="E77" s="34">
        <v>1</v>
      </c>
      <c r="F77" s="34">
        <f t="shared" si="4"/>
        <v>3.3333333333333335</v>
      </c>
      <c r="G77" s="220">
        <f t="shared" si="5"/>
        <v>3.9393939393939394</v>
      </c>
    </row>
    <row r="78" spans="1:7" x14ac:dyDescent="0.3">
      <c r="A78" s="34">
        <v>69</v>
      </c>
      <c r="B78" s="97">
        <v>790</v>
      </c>
      <c r="C78" s="34">
        <v>40</v>
      </c>
      <c r="D78" s="39" t="s">
        <v>55</v>
      </c>
      <c r="E78" s="34">
        <v>1</v>
      </c>
      <c r="F78" s="34">
        <f t="shared" si="4"/>
        <v>3.3333333333333335</v>
      </c>
      <c r="G78" s="220">
        <f t="shared" si="5"/>
        <v>3.9007092198581566</v>
      </c>
    </row>
    <row r="79" spans="1:7" x14ac:dyDescent="0.3">
      <c r="A79" s="34">
        <v>70</v>
      </c>
      <c r="B79" s="97">
        <v>81</v>
      </c>
      <c r="C79" s="34">
        <v>24</v>
      </c>
      <c r="D79" s="39" t="s">
        <v>57</v>
      </c>
      <c r="E79" s="34">
        <v>1</v>
      </c>
      <c r="F79" s="34">
        <f t="shared" si="4"/>
        <v>3.3333333333333335</v>
      </c>
      <c r="G79" s="220">
        <f t="shared" si="5"/>
        <v>3.870967741935484</v>
      </c>
    </row>
    <row r="80" spans="1:7" x14ac:dyDescent="0.3">
      <c r="A80" s="34">
        <v>71</v>
      </c>
      <c r="B80" s="97">
        <v>735</v>
      </c>
      <c r="C80" s="34">
        <v>4</v>
      </c>
      <c r="D80" s="39" t="s">
        <v>56</v>
      </c>
      <c r="E80" s="34">
        <v>1</v>
      </c>
      <c r="F80" s="34">
        <f t="shared" si="4"/>
        <v>3.3333333333333335</v>
      </c>
      <c r="G80" s="220">
        <f t="shared" si="5"/>
        <v>3.9393939393939394</v>
      </c>
    </row>
    <row r="81" spans="1:7" x14ac:dyDescent="0.3">
      <c r="A81" s="34">
        <v>72</v>
      </c>
      <c r="B81" s="97">
        <v>857</v>
      </c>
      <c r="C81" s="34">
        <v>10</v>
      </c>
      <c r="D81" s="39" t="s">
        <v>56</v>
      </c>
      <c r="E81" s="34">
        <v>1</v>
      </c>
      <c r="F81" s="34">
        <f t="shared" si="4"/>
        <v>3.3333333333333335</v>
      </c>
      <c r="G81" s="220">
        <f t="shared" si="5"/>
        <v>3.9393939393939394</v>
      </c>
    </row>
    <row r="82" spans="1:7" x14ac:dyDescent="0.3">
      <c r="A82" s="34">
        <v>73</v>
      </c>
      <c r="B82" s="97">
        <v>855</v>
      </c>
      <c r="C82" s="34">
        <v>36</v>
      </c>
      <c r="D82" s="39" t="s">
        <v>54</v>
      </c>
      <c r="E82" s="34">
        <v>1</v>
      </c>
      <c r="F82" s="34">
        <f t="shared" si="4"/>
        <v>3.3333333333333335</v>
      </c>
      <c r="G82" s="220">
        <f t="shared" si="5"/>
        <v>4.1025641025641031</v>
      </c>
    </row>
    <row r="83" spans="1:7" x14ac:dyDescent="0.3">
      <c r="A83" s="34">
        <v>74</v>
      </c>
      <c r="B83" s="97">
        <v>609</v>
      </c>
      <c r="C83" s="34">
        <v>18</v>
      </c>
      <c r="D83" s="39" t="s">
        <v>54</v>
      </c>
      <c r="E83" s="34">
        <v>1</v>
      </c>
      <c r="F83" s="34">
        <f t="shared" si="4"/>
        <v>3.3333333333333335</v>
      </c>
      <c r="G83" s="220">
        <f t="shared" si="5"/>
        <v>4.1025641025641031</v>
      </c>
    </row>
    <row r="84" spans="1:7" x14ac:dyDescent="0.3">
      <c r="A84" s="34">
        <v>75</v>
      </c>
      <c r="B84" s="97">
        <v>435</v>
      </c>
      <c r="C84" s="34">
        <v>9</v>
      </c>
      <c r="D84" s="39" t="s">
        <v>54</v>
      </c>
      <c r="E84" s="34">
        <v>1</v>
      </c>
      <c r="F84" s="34">
        <f t="shared" si="4"/>
        <v>3.3333333333333335</v>
      </c>
      <c r="G84" s="220">
        <f t="shared" si="5"/>
        <v>4.1025641025641031</v>
      </c>
    </row>
    <row r="85" spans="1:7" x14ac:dyDescent="0.3">
      <c r="A85" s="34">
        <v>76</v>
      </c>
      <c r="B85" s="97">
        <v>742</v>
      </c>
      <c r="C85" s="34">
        <v>10</v>
      </c>
      <c r="D85" s="39" t="s">
        <v>54</v>
      </c>
      <c r="E85" s="34">
        <v>1</v>
      </c>
      <c r="F85" s="34">
        <f t="shared" si="4"/>
        <v>3.3333333333333335</v>
      </c>
      <c r="G85" s="220">
        <f t="shared" si="5"/>
        <v>4.1025641025641031</v>
      </c>
    </row>
    <row r="86" spans="1:7" x14ac:dyDescent="0.3">
      <c r="A86" s="34">
        <v>77</v>
      </c>
      <c r="B86" s="97">
        <v>980</v>
      </c>
      <c r="C86" s="34">
        <v>15</v>
      </c>
      <c r="D86" s="39" t="s">
        <v>55</v>
      </c>
      <c r="E86" s="34">
        <v>1</v>
      </c>
      <c r="F86" s="34">
        <f t="shared" si="4"/>
        <v>3.3333333333333335</v>
      </c>
      <c r="G86" s="220">
        <f t="shared" si="5"/>
        <v>3.9007092198581566</v>
      </c>
    </row>
    <row r="87" spans="1:7" x14ac:dyDescent="0.3">
      <c r="A87" s="34">
        <v>78</v>
      </c>
      <c r="B87" s="97">
        <v>139</v>
      </c>
      <c r="C87" s="34">
        <v>15</v>
      </c>
      <c r="D87" s="39" t="s">
        <v>54</v>
      </c>
      <c r="E87" s="34">
        <v>1</v>
      </c>
      <c r="F87" s="34">
        <f t="shared" si="4"/>
        <v>3.3333333333333335</v>
      </c>
      <c r="G87" s="220">
        <f t="shared" si="5"/>
        <v>4.1025641025641031</v>
      </c>
    </row>
    <row r="88" spans="1:7" x14ac:dyDescent="0.3">
      <c r="A88" s="34">
        <v>79</v>
      </c>
      <c r="B88" s="97">
        <v>2</v>
      </c>
      <c r="C88" s="34">
        <v>48</v>
      </c>
      <c r="D88" s="39" t="s">
        <v>57</v>
      </c>
      <c r="E88" s="34">
        <v>1</v>
      </c>
      <c r="F88" s="34">
        <f t="shared" si="4"/>
        <v>3.3333333333333335</v>
      </c>
      <c r="G88" s="220">
        <f t="shared" si="5"/>
        <v>3.870967741935484</v>
      </c>
    </row>
    <row r="89" spans="1:7" x14ac:dyDescent="0.3">
      <c r="A89" s="34">
        <v>80</v>
      </c>
      <c r="B89" s="97">
        <v>384</v>
      </c>
      <c r="C89" s="34">
        <v>12</v>
      </c>
      <c r="D89" s="39" t="s">
        <v>54</v>
      </c>
      <c r="E89" s="34">
        <v>1</v>
      </c>
      <c r="F89" s="34">
        <f t="shared" si="4"/>
        <v>3.3333333333333335</v>
      </c>
      <c r="G89" s="220">
        <f t="shared" si="5"/>
        <v>4.1025641025641031</v>
      </c>
    </row>
    <row r="90" spans="1:7" x14ac:dyDescent="0.3">
      <c r="A90" s="34">
        <v>81</v>
      </c>
      <c r="B90" s="97">
        <v>741</v>
      </c>
      <c r="C90" s="34">
        <v>24</v>
      </c>
      <c r="D90" s="39" t="s">
        <v>54</v>
      </c>
      <c r="E90" s="34">
        <v>1</v>
      </c>
      <c r="F90" s="34">
        <f t="shared" si="4"/>
        <v>3.3333333333333335</v>
      </c>
      <c r="G90" s="220">
        <f t="shared" si="5"/>
        <v>4.1025641025641031</v>
      </c>
    </row>
    <row r="91" spans="1:7" x14ac:dyDescent="0.3">
      <c r="A91" s="34">
        <v>82</v>
      </c>
      <c r="B91" s="97">
        <v>451</v>
      </c>
      <c r="C91" s="34">
        <v>36</v>
      </c>
      <c r="D91" s="39" t="s">
        <v>54</v>
      </c>
      <c r="E91" s="34">
        <v>1</v>
      </c>
      <c r="F91" s="34">
        <f t="shared" si="4"/>
        <v>3.3333333333333335</v>
      </c>
      <c r="G91" s="220">
        <f t="shared" si="5"/>
        <v>4.1025641025641031</v>
      </c>
    </row>
    <row r="92" spans="1:7" x14ac:dyDescent="0.3">
      <c r="A92" s="34">
        <v>83</v>
      </c>
      <c r="B92" s="97">
        <v>681</v>
      </c>
      <c r="C92" s="34">
        <v>6</v>
      </c>
      <c r="D92" s="39" t="s">
        <v>56</v>
      </c>
      <c r="E92" s="34">
        <v>1</v>
      </c>
      <c r="F92" s="34">
        <f t="shared" si="4"/>
        <v>3.3333333333333335</v>
      </c>
      <c r="G92" s="220">
        <f t="shared" si="5"/>
        <v>3.9393939393939394</v>
      </c>
    </row>
    <row r="93" spans="1:7" x14ac:dyDescent="0.3">
      <c r="A93" s="34">
        <v>84</v>
      </c>
      <c r="B93" s="97">
        <v>13</v>
      </c>
      <c r="C93" s="34">
        <v>12</v>
      </c>
      <c r="D93" s="39" t="s">
        <v>56</v>
      </c>
      <c r="E93" s="34">
        <v>1</v>
      </c>
      <c r="F93" s="34">
        <f t="shared" si="4"/>
        <v>3.3333333333333335</v>
      </c>
      <c r="G93" s="220">
        <f t="shared" si="5"/>
        <v>3.9393939393939394</v>
      </c>
    </row>
    <row r="94" spans="1:7" x14ac:dyDescent="0.3">
      <c r="A94" s="34">
        <v>85</v>
      </c>
      <c r="B94" s="97">
        <v>221</v>
      </c>
      <c r="C94" s="34">
        <v>12</v>
      </c>
      <c r="D94" s="39" t="s">
        <v>54</v>
      </c>
      <c r="E94" s="34">
        <v>1</v>
      </c>
      <c r="F94" s="34">
        <f t="shared" si="4"/>
        <v>3.3333333333333335</v>
      </c>
      <c r="G94" s="220">
        <f t="shared" si="5"/>
        <v>4.1025641025641031</v>
      </c>
    </row>
    <row r="95" spans="1:7" x14ac:dyDescent="0.3">
      <c r="A95" s="34">
        <v>86</v>
      </c>
      <c r="B95" s="97">
        <v>946</v>
      </c>
      <c r="C95" s="34">
        <v>48</v>
      </c>
      <c r="D95" s="39" t="s">
        <v>56</v>
      </c>
      <c r="E95" s="34">
        <v>1</v>
      </c>
      <c r="F95" s="34">
        <f t="shared" si="4"/>
        <v>3.3333333333333335</v>
      </c>
      <c r="G95" s="220">
        <f t="shared" si="5"/>
        <v>3.9393939393939394</v>
      </c>
    </row>
    <row r="96" spans="1:7" x14ac:dyDescent="0.3">
      <c r="A96" s="34">
        <v>87</v>
      </c>
      <c r="B96" s="97">
        <v>206</v>
      </c>
      <c r="C96" s="34">
        <v>30</v>
      </c>
      <c r="D96" s="39" t="s">
        <v>54</v>
      </c>
      <c r="E96" s="34">
        <v>1</v>
      </c>
      <c r="F96" s="34">
        <f t="shared" si="4"/>
        <v>3.3333333333333335</v>
      </c>
      <c r="G96" s="220">
        <f t="shared" si="5"/>
        <v>4.1025641025641031</v>
      </c>
    </row>
    <row r="97" spans="1:7" x14ac:dyDescent="0.3">
      <c r="A97" s="34">
        <v>88</v>
      </c>
      <c r="B97" s="97">
        <v>684</v>
      </c>
      <c r="C97" s="34">
        <v>24</v>
      </c>
      <c r="D97" s="39" t="s">
        <v>54</v>
      </c>
      <c r="E97" s="34">
        <v>1</v>
      </c>
      <c r="F97" s="34">
        <f t="shared" si="4"/>
        <v>3.3333333333333335</v>
      </c>
      <c r="G97" s="220">
        <f t="shared" si="5"/>
        <v>4.1025641025641031</v>
      </c>
    </row>
    <row r="98" spans="1:7" x14ac:dyDescent="0.3">
      <c r="A98" s="34">
        <v>89</v>
      </c>
      <c r="B98" s="97">
        <v>629</v>
      </c>
      <c r="C98" s="34">
        <v>42</v>
      </c>
      <c r="D98" s="39" t="s">
        <v>54</v>
      </c>
      <c r="E98" s="34">
        <v>1</v>
      </c>
      <c r="F98" s="34">
        <f t="shared" si="4"/>
        <v>3.3333333333333335</v>
      </c>
      <c r="G98" s="220">
        <f t="shared" si="5"/>
        <v>4.1025641025641031</v>
      </c>
    </row>
    <row r="99" spans="1:7" x14ac:dyDescent="0.3">
      <c r="A99" s="34">
        <v>90</v>
      </c>
      <c r="B99" s="97">
        <v>906</v>
      </c>
      <c r="C99" s="34">
        <v>12</v>
      </c>
      <c r="D99" s="39" t="s">
        <v>54</v>
      </c>
      <c r="E99" s="34">
        <v>1</v>
      </c>
      <c r="F99" s="34">
        <f t="shared" si="4"/>
        <v>3.3333333333333335</v>
      </c>
      <c r="G99" s="220">
        <f t="shared" si="5"/>
        <v>4.1025641025641031</v>
      </c>
    </row>
    <row r="100" spans="1:7" x14ac:dyDescent="0.3">
      <c r="A100" s="34">
        <v>91</v>
      </c>
      <c r="B100" s="97">
        <v>776</v>
      </c>
      <c r="C100" s="34">
        <v>24</v>
      </c>
      <c r="D100" s="39" t="s">
        <v>57</v>
      </c>
      <c r="E100" s="34">
        <v>1</v>
      </c>
      <c r="F100" s="34">
        <f t="shared" si="4"/>
        <v>3.3333333333333335</v>
      </c>
      <c r="G100" s="220">
        <f t="shared" si="5"/>
        <v>3.870967741935484</v>
      </c>
    </row>
    <row r="101" spans="1:7" x14ac:dyDescent="0.3">
      <c r="A101" s="34">
        <v>92</v>
      </c>
      <c r="B101" s="97">
        <v>154</v>
      </c>
      <c r="C101" s="34">
        <v>24</v>
      </c>
      <c r="D101" s="39" t="s">
        <v>56</v>
      </c>
      <c r="E101" s="34">
        <v>1</v>
      </c>
      <c r="F101" s="34">
        <f t="shared" si="4"/>
        <v>3.3333333333333335</v>
      </c>
      <c r="G101" s="220">
        <f t="shared" si="5"/>
        <v>3.9393939393939394</v>
      </c>
    </row>
    <row r="102" spans="1:7" x14ac:dyDescent="0.3">
      <c r="A102" s="34">
        <v>93</v>
      </c>
      <c r="B102" s="97">
        <v>465</v>
      </c>
      <c r="C102" s="34">
        <v>18</v>
      </c>
      <c r="D102" s="39" t="s">
        <v>54</v>
      </c>
      <c r="E102" s="34">
        <v>1</v>
      </c>
      <c r="F102" s="34">
        <f t="shared" si="4"/>
        <v>3.3333333333333335</v>
      </c>
      <c r="G102" s="220">
        <f t="shared" si="5"/>
        <v>4.1025641025641031</v>
      </c>
    </row>
    <row r="103" spans="1:7" x14ac:dyDescent="0.3">
      <c r="A103" s="34">
        <v>94</v>
      </c>
      <c r="B103" s="97">
        <v>501</v>
      </c>
      <c r="C103" s="34">
        <v>24</v>
      </c>
      <c r="D103" s="39" t="s">
        <v>57</v>
      </c>
      <c r="E103" s="34">
        <v>1</v>
      </c>
      <c r="F103" s="34">
        <f t="shared" si="4"/>
        <v>3.3333333333333335</v>
      </c>
      <c r="G103" s="220">
        <f t="shared" si="5"/>
        <v>3.870967741935484</v>
      </c>
    </row>
    <row r="104" spans="1:7" x14ac:dyDescent="0.3">
      <c r="A104" s="34">
        <v>95</v>
      </c>
      <c r="B104" s="97">
        <v>813</v>
      </c>
      <c r="C104" s="34">
        <v>36</v>
      </c>
      <c r="D104" s="39" t="s">
        <v>55</v>
      </c>
      <c r="E104" s="34">
        <v>1</v>
      </c>
      <c r="F104" s="34">
        <f t="shared" si="4"/>
        <v>3.3333333333333335</v>
      </c>
      <c r="G104" s="220">
        <f t="shared" si="5"/>
        <v>3.9007092198581566</v>
      </c>
    </row>
    <row r="105" spans="1:7" x14ac:dyDescent="0.3">
      <c r="A105" s="34">
        <v>96</v>
      </c>
      <c r="B105" s="97">
        <v>30</v>
      </c>
      <c r="C105" s="34">
        <v>60</v>
      </c>
      <c r="D105" s="39" t="s">
        <v>55</v>
      </c>
      <c r="E105" s="34">
        <v>1</v>
      </c>
      <c r="F105" s="34">
        <f t="shared" si="4"/>
        <v>3.3333333333333335</v>
      </c>
      <c r="G105" s="220">
        <f t="shared" si="5"/>
        <v>3.9007092198581566</v>
      </c>
    </row>
    <row r="106" spans="1:7" x14ac:dyDescent="0.3">
      <c r="A106" s="34">
        <v>97</v>
      </c>
      <c r="B106" s="97">
        <v>120</v>
      </c>
      <c r="C106" s="34">
        <v>12</v>
      </c>
      <c r="D106" s="39" t="s">
        <v>54</v>
      </c>
      <c r="E106" s="34">
        <v>1</v>
      </c>
      <c r="F106" s="34">
        <f t="shared" si="4"/>
        <v>3.3333333333333335</v>
      </c>
      <c r="G106" s="220">
        <f t="shared" si="5"/>
        <v>4.1025641025641031</v>
      </c>
    </row>
    <row r="107" spans="1:7" x14ac:dyDescent="0.3">
      <c r="A107" s="34">
        <v>98</v>
      </c>
      <c r="B107" s="97">
        <v>272</v>
      </c>
      <c r="C107" s="34">
        <v>12</v>
      </c>
      <c r="D107" s="39" t="s">
        <v>56</v>
      </c>
      <c r="E107" s="34">
        <v>1</v>
      </c>
      <c r="F107" s="34">
        <f t="shared" si="4"/>
        <v>3.3333333333333335</v>
      </c>
      <c r="G107" s="220">
        <f t="shared" si="5"/>
        <v>3.9393939393939394</v>
      </c>
    </row>
    <row r="108" spans="1:7" x14ac:dyDescent="0.3">
      <c r="A108" s="34">
        <v>99</v>
      </c>
      <c r="B108" s="97">
        <v>768</v>
      </c>
      <c r="C108" s="34">
        <v>10</v>
      </c>
      <c r="D108" s="39" t="s">
        <v>56</v>
      </c>
      <c r="E108" s="34">
        <v>1</v>
      </c>
      <c r="F108" s="34">
        <f t="shared" si="4"/>
        <v>3.3333333333333335</v>
      </c>
      <c r="G108" s="220">
        <f t="shared" si="5"/>
        <v>3.9393939393939394</v>
      </c>
    </row>
    <row r="109" spans="1:7" x14ac:dyDescent="0.3">
      <c r="A109" s="34">
        <v>100</v>
      </c>
      <c r="B109" s="97">
        <v>205</v>
      </c>
      <c r="C109" s="34">
        <v>12</v>
      </c>
      <c r="D109" s="39" t="s">
        <v>54</v>
      </c>
      <c r="E109" s="34">
        <v>1</v>
      </c>
      <c r="F109" s="34">
        <f t="shared" si="4"/>
        <v>3.3333333333333335</v>
      </c>
      <c r="G109" s="220">
        <f t="shared" si="5"/>
        <v>4.1025641025641031</v>
      </c>
    </row>
    <row r="110" spans="1:7" x14ac:dyDescent="0.3">
      <c r="A110" s="34">
        <v>101</v>
      </c>
      <c r="B110" s="97">
        <v>260</v>
      </c>
      <c r="C110" s="34">
        <v>11</v>
      </c>
      <c r="D110" s="39" t="s">
        <v>56</v>
      </c>
      <c r="E110" s="34">
        <v>1</v>
      </c>
      <c r="F110" s="34">
        <f t="shared" si="4"/>
        <v>3.3333333333333335</v>
      </c>
      <c r="G110" s="220">
        <f t="shared" si="5"/>
        <v>3.9393939393939394</v>
      </c>
    </row>
    <row r="111" spans="1:7" x14ac:dyDescent="0.3">
      <c r="A111" s="34">
        <v>102</v>
      </c>
      <c r="B111" s="97">
        <v>375</v>
      </c>
      <c r="C111" s="34">
        <v>60</v>
      </c>
      <c r="D111" s="39" t="s">
        <v>57</v>
      </c>
      <c r="E111" s="34">
        <v>1</v>
      </c>
      <c r="F111" s="34">
        <f t="shared" si="4"/>
        <v>3.3333333333333335</v>
      </c>
      <c r="G111" s="220">
        <f t="shared" si="5"/>
        <v>3.870967741935484</v>
      </c>
    </row>
    <row r="112" spans="1:7" x14ac:dyDescent="0.3">
      <c r="A112" s="34">
        <v>103</v>
      </c>
      <c r="B112" s="97">
        <v>640</v>
      </c>
      <c r="C112" s="34">
        <v>42</v>
      </c>
      <c r="D112" s="39" t="s">
        <v>55</v>
      </c>
      <c r="E112" s="34">
        <v>1</v>
      </c>
      <c r="F112" s="34">
        <f t="shared" si="4"/>
        <v>3.3333333333333335</v>
      </c>
      <c r="G112" s="220">
        <f t="shared" si="5"/>
        <v>3.9007092198581566</v>
      </c>
    </row>
    <row r="113" spans="1:7" x14ac:dyDescent="0.3">
      <c r="A113" s="34">
        <v>104</v>
      </c>
      <c r="B113" s="97">
        <v>508</v>
      </c>
      <c r="C113" s="34">
        <v>15</v>
      </c>
      <c r="D113" s="39" t="s">
        <v>55</v>
      </c>
      <c r="E113" s="34">
        <v>1</v>
      </c>
      <c r="F113" s="34">
        <f t="shared" si="4"/>
        <v>3.3333333333333335</v>
      </c>
      <c r="G113" s="220">
        <f t="shared" si="5"/>
        <v>3.9007092198581566</v>
      </c>
    </row>
    <row r="114" spans="1:7" x14ac:dyDescent="0.3">
      <c r="A114" s="34">
        <v>105</v>
      </c>
      <c r="B114" s="97">
        <v>117</v>
      </c>
      <c r="C114" s="34">
        <v>42</v>
      </c>
      <c r="D114" s="39" t="s">
        <v>57</v>
      </c>
      <c r="E114" s="34">
        <v>1</v>
      </c>
      <c r="F114" s="34">
        <f t="shared" si="4"/>
        <v>3.3333333333333335</v>
      </c>
      <c r="G114" s="220">
        <f t="shared" si="5"/>
        <v>3.870967741935484</v>
      </c>
    </row>
    <row r="115" spans="1:7" x14ac:dyDescent="0.3">
      <c r="A115" s="34">
        <v>106</v>
      </c>
      <c r="B115" s="97">
        <v>935</v>
      </c>
      <c r="C115" s="34">
        <v>12</v>
      </c>
      <c r="D115" s="39" t="s">
        <v>56</v>
      </c>
      <c r="E115" s="34">
        <v>1</v>
      </c>
      <c r="F115" s="34">
        <f t="shared" si="4"/>
        <v>3.3333333333333335</v>
      </c>
      <c r="G115" s="220">
        <f t="shared" si="5"/>
        <v>3.9393939393939394</v>
      </c>
    </row>
    <row r="116" spans="1:7" x14ac:dyDescent="0.3">
      <c r="A116" s="34">
        <v>107</v>
      </c>
      <c r="B116" s="97">
        <v>976</v>
      </c>
      <c r="C116" s="34">
        <v>24</v>
      </c>
      <c r="D116" s="39" t="s">
        <v>56</v>
      </c>
      <c r="E116" s="34">
        <v>1</v>
      </c>
      <c r="F116" s="34">
        <f t="shared" si="4"/>
        <v>3.3333333333333335</v>
      </c>
      <c r="G116" s="220">
        <f t="shared" si="5"/>
        <v>3.9393939393939394</v>
      </c>
    </row>
    <row r="117" spans="1:7" x14ac:dyDescent="0.3">
      <c r="A117" s="34">
        <v>108</v>
      </c>
      <c r="B117" s="97">
        <v>258</v>
      </c>
      <c r="C117" s="34">
        <v>12</v>
      </c>
      <c r="D117" s="39" t="s">
        <v>55</v>
      </c>
      <c r="E117" s="34">
        <v>1</v>
      </c>
      <c r="F117" s="34">
        <f t="shared" si="4"/>
        <v>3.3333333333333335</v>
      </c>
      <c r="G117" s="220">
        <f t="shared" si="5"/>
        <v>3.9007092198581566</v>
      </c>
    </row>
    <row r="118" spans="1:7" x14ac:dyDescent="0.3">
      <c r="A118" s="34">
        <v>109</v>
      </c>
      <c r="B118" s="97">
        <v>452</v>
      </c>
      <c r="C118" s="34">
        <v>6</v>
      </c>
      <c r="D118" s="39" t="s">
        <v>56</v>
      </c>
      <c r="E118" s="34">
        <v>1</v>
      </c>
      <c r="F118" s="34">
        <f t="shared" si="4"/>
        <v>3.3333333333333335</v>
      </c>
      <c r="G118" s="220">
        <f t="shared" si="5"/>
        <v>3.9393939393939394</v>
      </c>
    </row>
    <row r="119" spans="1:7" x14ac:dyDescent="0.3">
      <c r="A119" s="34">
        <v>110</v>
      </c>
      <c r="B119" s="97">
        <v>47</v>
      </c>
      <c r="C119" s="34">
        <v>36</v>
      </c>
      <c r="D119" s="39" t="s">
        <v>54</v>
      </c>
      <c r="E119" s="34">
        <v>1</v>
      </c>
      <c r="F119" s="34">
        <f t="shared" si="4"/>
        <v>3.3333333333333335</v>
      </c>
      <c r="G119" s="220">
        <f t="shared" si="5"/>
        <v>4.1025641025641031</v>
      </c>
    </row>
    <row r="120" spans="1:7" x14ac:dyDescent="0.3">
      <c r="A120" s="34">
        <v>111</v>
      </c>
      <c r="B120" s="97">
        <v>920</v>
      </c>
      <c r="C120" s="34">
        <v>24</v>
      </c>
      <c r="D120" s="39" t="s">
        <v>55</v>
      </c>
      <c r="E120" s="34">
        <v>1</v>
      </c>
      <c r="F120" s="34">
        <f t="shared" si="4"/>
        <v>3.3333333333333335</v>
      </c>
      <c r="G120" s="220">
        <f t="shared" si="5"/>
        <v>3.9007092198581566</v>
      </c>
    </row>
    <row r="121" spans="1:7" x14ac:dyDescent="0.3">
      <c r="A121" s="34">
        <v>112</v>
      </c>
      <c r="B121" s="97">
        <v>972</v>
      </c>
      <c r="C121" s="34">
        <v>24</v>
      </c>
      <c r="D121" s="39" t="s">
        <v>54</v>
      </c>
      <c r="E121" s="34">
        <v>1</v>
      </c>
      <c r="F121" s="34">
        <f t="shared" si="4"/>
        <v>3.3333333333333335</v>
      </c>
      <c r="G121" s="220">
        <f t="shared" si="5"/>
        <v>4.1025641025641031</v>
      </c>
    </row>
    <row r="122" spans="1:7" x14ac:dyDescent="0.3">
      <c r="A122" s="34">
        <v>113</v>
      </c>
      <c r="B122" s="97">
        <v>74</v>
      </c>
      <c r="C122" s="34">
        <v>42</v>
      </c>
      <c r="D122" s="39" t="s">
        <v>56</v>
      </c>
      <c r="E122" s="34">
        <v>1</v>
      </c>
      <c r="F122" s="34">
        <f t="shared" si="4"/>
        <v>3.3333333333333335</v>
      </c>
      <c r="G122" s="220">
        <f t="shared" si="5"/>
        <v>3.9393939393939394</v>
      </c>
    </row>
    <row r="123" spans="1:7" x14ac:dyDescent="0.3">
      <c r="A123" s="34">
        <v>114</v>
      </c>
      <c r="B123" s="97">
        <v>862</v>
      </c>
      <c r="C123" s="34">
        <v>18</v>
      </c>
      <c r="D123" s="39" t="s">
        <v>55</v>
      </c>
      <c r="E123" s="34">
        <v>1</v>
      </c>
      <c r="F123" s="34">
        <f t="shared" si="4"/>
        <v>3.3333333333333335</v>
      </c>
      <c r="G123" s="220">
        <f t="shared" si="5"/>
        <v>3.9007092198581566</v>
      </c>
    </row>
    <row r="124" spans="1:7" x14ac:dyDescent="0.3">
      <c r="A124" s="34">
        <v>115</v>
      </c>
      <c r="B124" s="97">
        <v>675</v>
      </c>
      <c r="C124" s="34">
        <v>21</v>
      </c>
      <c r="D124" s="39" t="s">
        <v>55</v>
      </c>
      <c r="E124" s="34">
        <v>1</v>
      </c>
      <c r="F124" s="34">
        <f t="shared" si="4"/>
        <v>3.3333333333333335</v>
      </c>
      <c r="G124" s="220">
        <f t="shared" si="5"/>
        <v>3.9007092198581566</v>
      </c>
    </row>
    <row r="125" spans="1:7" x14ac:dyDescent="0.3">
      <c r="A125" s="34">
        <v>116</v>
      </c>
      <c r="B125" s="97">
        <v>325</v>
      </c>
      <c r="C125" s="34">
        <v>18</v>
      </c>
      <c r="D125" s="39" t="s">
        <v>56</v>
      </c>
      <c r="E125" s="34">
        <v>1</v>
      </c>
      <c r="F125" s="34">
        <f t="shared" si="4"/>
        <v>3.3333333333333335</v>
      </c>
      <c r="G125" s="220">
        <f t="shared" si="5"/>
        <v>3.9393939393939394</v>
      </c>
    </row>
    <row r="126" spans="1:7" x14ac:dyDescent="0.3">
      <c r="A126" s="34">
        <v>117</v>
      </c>
      <c r="B126" s="97">
        <v>595</v>
      </c>
      <c r="C126" s="34">
        <v>24</v>
      </c>
      <c r="D126" s="39" t="s">
        <v>55</v>
      </c>
      <c r="E126" s="34">
        <v>1</v>
      </c>
      <c r="F126" s="34">
        <f t="shared" si="4"/>
        <v>3.3333333333333335</v>
      </c>
      <c r="G126" s="220">
        <f t="shared" si="5"/>
        <v>3.9007092198581566</v>
      </c>
    </row>
    <row r="127" spans="1:7" x14ac:dyDescent="0.3">
      <c r="A127" s="34">
        <v>118</v>
      </c>
      <c r="B127" s="97">
        <v>162</v>
      </c>
      <c r="C127" s="34">
        <v>18</v>
      </c>
      <c r="D127" s="39" t="s">
        <v>56</v>
      </c>
      <c r="E127" s="34">
        <v>1</v>
      </c>
      <c r="F127" s="34">
        <f t="shared" si="4"/>
        <v>3.3333333333333335</v>
      </c>
      <c r="G127" s="220">
        <f t="shared" si="5"/>
        <v>3.9393939393939394</v>
      </c>
    </row>
    <row r="128" spans="1:7" x14ac:dyDescent="0.3">
      <c r="A128" s="34">
        <v>119</v>
      </c>
      <c r="B128" s="97">
        <v>424</v>
      </c>
      <c r="C128" s="34">
        <v>21</v>
      </c>
      <c r="D128" s="39" t="s">
        <v>54</v>
      </c>
      <c r="E128" s="34">
        <v>1</v>
      </c>
      <c r="F128" s="34">
        <f t="shared" si="4"/>
        <v>3.3333333333333335</v>
      </c>
      <c r="G128" s="220">
        <f t="shared" si="5"/>
        <v>4.1025641025641031</v>
      </c>
    </row>
    <row r="129" spans="1:7" x14ac:dyDescent="0.3">
      <c r="A129" s="34">
        <v>120</v>
      </c>
      <c r="B129" s="97">
        <v>506</v>
      </c>
      <c r="C129" s="34">
        <v>10</v>
      </c>
      <c r="D129" s="39" t="s">
        <v>55</v>
      </c>
      <c r="E129" s="34">
        <v>1</v>
      </c>
      <c r="F129" s="34">
        <f t="shared" si="4"/>
        <v>3.3333333333333335</v>
      </c>
      <c r="G129" s="220">
        <f t="shared" si="5"/>
        <v>3.9007092198581566</v>
      </c>
    </row>
    <row r="130" spans="1:7" x14ac:dyDescent="0.3">
      <c r="A130" s="34">
        <v>121</v>
      </c>
      <c r="B130" s="97">
        <v>119</v>
      </c>
      <c r="C130" s="34">
        <v>33</v>
      </c>
      <c r="D130" s="39" t="s">
        <v>57</v>
      </c>
      <c r="E130" s="34">
        <v>1</v>
      </c>
      <c r="F130" s="34">
        <f t="shared" si="4"/>
        <v>3.3333333333333335</v>
      </c>
      <c r="G130" s="220">
        <f t="shared" si="5"/>
        <v>3.870967741935484</v>
      </c>
    </row>
    <row r="131" spans="1:7" x14ac:dyDescent="0.3">
      <c r="A131" s="34">
        <v>122</v>
      </c>
      <c r="B131" s="97">
        <v>760</v>
      </c>
      <c r="C131" s="34">
        <v>12</v>
      </c>
      <c r="D131" s="39" t="s">
        <v>55</v>
      </c>
      <c r="E131" s="34">
        <v>1</v>
      </c>
      <c r="F131" s="34">
        <f t="shared" si="4"/>
        <v>3.3333333333333335</v>
      </c>
      <c r="G131" s="220">
        <f t="shared" si="5"/>
        <v>3.9007092198581566</v>
      </c>
    </row>
    <row r="132" spans="1:7" x14ac:dyDescent="0.3">
      <c r="A132" s="34">
        <v>123</v>
      </c>
      <c r="B132" s="97">
        <v>226</v>
      </c>
      <c r="C132" s="34">
        <v>36</v>
      </c>
      <c r="D132" s="39" t="s">
        <v>54</v>
      </c>
      <c r="E132" s="34">
        <v>1</v>
      </c>
      <c r="F132" s="34">
        <f t="shared" si="4"/>
        <v>3.3333333333333335</v>
      </c>
      <c r="G132" s="220">
        <f t="shared" si="5"/>
        <v>4.1025641025641031</v>
      </c>
    </row>
    <row r="133" spans="1:7" x14ac:dyDescent="0.3">
      <c r="A133" s="34">
        <v>124</v>
      </c>
      <c r="B133" s="97">
        <v>493</v>
      </c>
      <c r="C133" s="34">
        <v>6</v>
      </c>
      <c r="D133" s="39" t="s">
        <v>56</v>
      </c>
      <c r="E133" s="34">
        <v>1</v>
      </c>
      <c r="F133" s="34">
        <f t="shared" si="4"/>
        <v>3.3333333333333335</v>
      </c>
      <c r="G133" s="220">
        <f t="shared" si="5"/>
        <v>3.9393939393939394</v>
      </c>
    </row>
    <row r="134" spans="1:7" x14ac:dyDescent="0.3">
      <c r="A134" s="34">
        <v>125</v>
      </c>
      <c r="B134" s="97">
        <v>819</v>
      </c>
      <c r="C134" s="34">
        <v>36</v>
      </c>
      <c r="D134" s="39" t="s">
        <v>54</v>
      </c>
      <c r="E134" s="34">
        <v>1</v>
      </c>
      <c r="F134" s="34">
        <f t="shared" si="4"/>
        <v>3.3333333333333335</v>
      </c>
      <c r="G134" s="220">
        <f t="shared" si="5"/>
        <v>4.1025641025641031</v>
      </c>
    </row>
    <row r="135" spans="1:7" x14ac:dyDescent="0.3">
      <c r="A135" s="34">
        <v>126</v>
      </c>
      <c r="B135" s="97">
        <v>619</v>
      </c>
      <c r="C135" s="34">
        <v>30</v>
      </c>
      <c r="D135" s="39" t="s">
        <v>57</v>
      </c>
      <c r="E135" s="34">
        <v>1</v>
      </c>
      <c r="F135" s="34">
        <f t="shared" si="4"/>
        <v>3.3333333333333335</v>
      </c>
      <c r="G135" s="220">
        <f t="shared" si="5"/>
        <v>3.870967741935484</v>
      </c>
    </row>
    <row r="136" spans="1:7" x14ac:dyDescent="0.3">
      <c r="A136" s="34">
        <v>127</v>
      </c>
      <c r="B136" s="97">
        <v>34</v>
      </c>
      <c r="C136" s="34">
        <v>12</v>
      </c>
      <c r="D136" s="39" t="s">
        <v>54</v>
      </c>
      <c r="E136" s="34">
        <v>1</v>
      </c>
      <c r="F136" s="34">
        <f t="shared" si="4"/>
        <v>3.3333333333333335</v>
      </c>
      <c r="G136" s="220">
        <f t="shared" si="5"/>
        <v>4.1025641025641031</v>
      </c>
    </row>
    <row r="137" spans="1:7" x14ac:dyDescent="0.3">
      <c r="A137" s="34">
        <v>128</v>
      </c>
      <c r="B137" s="97">
        <v>227</v>
      </c>
      <c r="C137" s="34">
        <v>48</v>
      </c>
      <c r="D137" s="39" t="s">
        <v>55</v>
      </c>
      <c r="E137" s="34">
        <v>1</v>
      </c>
      <c r="F137" s="34">
        <f t="shared" si="4"/>
        <v>3.3333333333333335</v>
      </c>
      <c r="G137" s="220">
        <f t="shared" si="5"/>
        <v>3.9007092198581566</v>
      </c>
    </row>
    <row r="138" spans="1:7" x14ac:dyDescent="0.3">
      <c r="A138" s="34">
        <v>129</v>
      </c>
      <c r="B138" s="97">
        <v>319</v>
      </c>
      <c r="C138" s="34">
        <v>12</v>
      </c>
      <c r="D138" s="39" t="s">
        <v>54</v>
      </c>
      <c r="E138" s="34">
        <v>1</v>
      </c>
      <c r="F138" s="34">
        <f t="shared" ref="F138:F201" si="6">$J$13</f>
        <v>3.3333333333333335</v>
      </c>
      <c r="G138" s="220">
        <f t="shared" si="5"/>
        <v>4.1025641025641031</v>
      </c>
    </row>
    <row r="139" spans="1:7" x14ac:dyDescent="0.3">
      <c r="A139" s="34">
        <v>130</v>
      </c>
      <c r="B139" s="97">
        <v>155</v>
      </c>
      <c r="C139" s="34">
        <v>24</v>
      </c>
      <c r="D139" s="39" t="s">
        <v>54</v>
      </c>
      <c r="E139" s="34">
        <v>1</v>
      </c>
      <c r="F139" s="34">
        <f t="shared" si="6"/>
        <v>3.3333333333333335</v>
      </c>
      <c r="G139" s="220">
        <f t="shared" ref="G139:G202" si="7">VLOOKUP(D139,$I$21:$M$24,5,FALSE)</f>
        <v>4.1025641025641031</v>
      </c>
    </row>
    <row r="140" spans="1:7" x14ac:dyDescent="0.3">
      <c r="A140" s="34">
        <v>131</v>
      </c>
      <c r="B140" s="97">
        <v>673</v>
      </c>
      <c r="C140" s="34">
        <v>60</v>
      </c>
      <c r="D140" s="39" t="s">
        <v>54</v>
      </c>
      <c r="E140" s="34">
        <v>1</v>
      </c>
      <c r="F140" s="34">
        <f t="shared" si="6"/>
        <v>3.3333333333333335</v>
      </c>
      <c r="G140" s="220">
        <f t="shared" si="7"/>
        <v>4.1025641025641031</v>
      </c>
    </row>
    <row r="141" spans="1:7" x14ac:dyDescent="0.3">
      <c r="A141" s="34">
        <v>132</v>
      </c>
      <c r="B141" s="97">
        <v>194</v>
      </c>
      <c r="C141" s="34">
        <v>6</v>
      </c>
      <c r="D141" s="39" t="s">
        <v>54</v>
      </c>
      <c r="E141" s="34">
        <v>1</v>
      </c>
      <c r="F141" s="34">
        <f t="shared" si="6"/>
        <v>3.3333333333333335</v>
      </c>
      <c r="G141" s="220">
        <f t="shared" si="7"/>
        <v>4.1025641025641031</v>
      </c>
    </row>
    <row r="142" spans="1:7" x14ac:dyDescent="0.3">
      <c r="A142" s="34">
        <v>133</v>
      </c>
      <c r="B142" s="97">
        <v>436</v>
      </c>
      <c r="C142" s="34">
        <v>12</v>
      </c>
      <c r="D142" s="39" t="s">
        <v>55</v>
      </c>
      <c r="E142" s="34">
        <v>1</v>
      </c>
      <c r="F142" s="34">
        <f t="shared" si="6"/>
        <v>3.3333333333333335</v>
      </c>
      <c r="G142" s="220">
        <f t="shared" si="7"/>
        <v>3.9007092198581566</v>
      </c>
    </row>
    <row r="143" spans="1:7" x14ac:dyDescent="0.3">
      <c r="A143" s="34">
        <v>134</v>
      </c>
      <c r="B143" s="97">
        <v>304</v>
      </c>
      <c r="C143" s="34">
        <v>10</v>
      </c>
      <c r="D143" s="39" t="s">
        <v>54</v>
      </c>
      <c r="E143" s="34">
        <v>1</v>
      </c>
      <c r="F143" s="34">
        <f t="shared" si="6"/>
        <v>3.3333333333333335</v>
      </c>
      <c r="G143" s="220">
        <f t="shared" si="7"/>
        <v>4.1025641025641031</v>
      </c>
    </row>
    <row r="144" spans="1:7" x14ac:dyDescent="0.3">
      <c r="A144" s="34">
        <v>135</v>
      </c>
      <c r="B144" s="97">
        <v>439</v>
      </c>
      <c r="C144" s="34">
        <v>42</v>
      </c>
      <c r="D144" s="39" t="s">
        <v>54</v>
      </c>
      <c r="E144" s="34">
        <v>1</v>
      </c>
      <c r="F144" s="34">
        <f t="shared" si="6"/>
        <v>3.3333333333333335</v>
      </c>
      <c r="G144" s="220">
        <f t="shared" si="7"/>
        <v>4.1025641025641031</v>
      </c>
    </row>
    <row r="145" spans="1:7" x14ac:dyDescent="0.3">
      <c r="A145" s="34">
        <v>136</v>
      </c>
      <c r="B145" s="97">
        <v>499</v>
      </c>
      <c r="C145" s="34">
        <v>18</v>
      </c>
      <c r="D145" s="39" t="s">
        <v>54</v>
      </c>
      <c r="E145" s="34">
        <v>1</v>
      </c>
      <c r="F145" s="34">
        <f t="shared" si="6"/>
        <v>3.3333333333333335</v>
      </c>
      <c r="G145" s="220">
        <f t="shared" si="7"/>
        <v>4.1025641025641031</v>
      </c>
    </row>
    <row r="146" spans="1:7" x14ac:dyDescent="0.3">
      <c r="A146" s="34">
        <v>137</v>
      </c>
      <c r="B146" s="97">
        <v>708</v>
      </c>
      <c r="C146" s="34">
        <v>12</v>
      </c>
      <c r="D146" s="39" t="s">
        <v>57</v>
      </c>
      <c r="E146" s="34">
        <v>1</v>
      </c>
      <c r="F146" s="34">
        <f t="shared" si="6"/>
        <v>3.3333333333333335</v>
      </c>
      <c r="G146" s="220">
        <f t="shared" si="7"/>
        <v>3.870967741935484</v>
      </c>
    </row>
    <row r="147" spans="1:7" x14ac:dyDescent="0.3">
      <c r="A147" s="34">
        <v>138</v>
      </c>
      <c r="B147" s="97">
        <v>778</v>
      </c>
      <c r="C147" s="34">
        <v>18</v>
      </c>
      <c r="D147" s="39" t="s">
        <v>56</v>
      </c>
      <c r="E147" s="34">
        <v>1</v>
      </c>
      <c r="F147" s="34">
        <f t="shared" si="6"/>
        <v>3.3333333333333335</v>
      </c>
      <c r="G147" s="220">
        <f t="shared" si="7"/>
        <v>3.9393939393939394</v>
      </c>
    </row>
    <row r="148" spans="1:7" x14ac:dyDescent="0.3">
      <c r="A148" s="34">
        <v>139</v>
      </c>
      <c r="B148" s="97">
        <v>914</v>
      </c>
      <c r="C148" s="34">
        <v>11</v>
      </c>
      <c r="D148" s="39" t="s">
        <v>54</v>
      </c>
      <c r="E148" s="34">
        <v>1</v>
      </c>
      <c r="F148" s="34">
        <f t="shared" si="6"/>
        <v>3.3333333333333335</v>
      </c>
      <c r="G148" s="220">
        <f t="shared" si="7"/>
        <v>4.1025641025641031</v>
      </c>
    </row>
    <row r="149" spans="1:7" x14ac:dyDescent="0.3">
      <c r="A149" s="34">
        <v>140</v>
      </c>
      <c r="B149" s="97">
        <v>585</v>
      </c>
      <c r="C149" s="34">
        <v>12</v>
      </c>
      <c r="D149" s="39" t="s">
        <v>56</v>
      </c>
      <c r="E149" s="34">
        <v>1</v>
      </c>
      <c r="F149" s="34">
        <f t="shared" si="6"/>
        <v>3.3333333333333335</v>
      </c>
      <c r="G149" s="220">
        <f t="shared" si="7"/>
        <v>3.9393939393939394</v>
      </c>
    </row>
    <row r="150" spans="1:7" x14ac:dyDescent="0.3">
      <c r="A150" s="34">
        <v>141</v>
      </c>
      <c r="B150" s="97">
        <v>565</v>
      </c>
      <c r="C150" s="34">
        <v>24</v>
      </c>
      <c r="D150" s="39" t="s">
        <v>54</v>
      </c>
      <c r="E150" s="34">
        <v>1</v>
      </c>
      <c r="F150" s="34">
        <f t="shared" si="6"/>
        <v>3.3333333333333335</v>
      </c>
      <c r="G150" s="220">
        <f t="shared" si="7"/>
        <v>4.1025641025641031</v>
      </c>
    </row>
    <row r="151" spans="1:7" x14ac:dyDescent="0.3">
      <c r="A151" s="34">
        <v>142</v>
      </c>
      <c r="B151" s="97">
        <v>8</v>
      </c>
      <c r="C151" s="34">
        <v>36</v>
      </c>
      <c r="D151" s="39" t="s">
        <v>54</v>
      </c>
      <c r="E151" s="34">
        <v>1</v>
      </c>
      <c r="F151" s="34">
        <f t="shared" si="6"/>
        <v>3.3333333333333335</v>
      </c>
      <c r="G151" s="220">
        <f t="shared" si="7"/>
        <v>4.1025641025641031</v>
      </c>
    </row>
    <row r="152" spans="1:7" x14ac:dyDescent="0.3">
      <c r="A152" s="34">
        <v>143</v>
      </c>
      <c r="B152" s="97">
        <v>832</v>
      </c>
      <c r="C152" s="34">
        <v>18</v>
      </c>
      <c r="D152" s="39" t="s">
        <v>57</v>
      </c>
      <c r="E152" s="34">
        <v>1</v>
      </c>
      <c r="F152" s="34">
        <f t="shared" si="6"/>
        <v>3.3333333333333335</v>
      </c>
      <c r="G152" s="220">
        <f t="shared" si="7"/>
        <v>3.870967741935484</v>
      </c>
    </row>
    <row r="153" spans="1:7" x14ac:dyDescent="0.3">
      <c r="A153" s="34">
        <v>144</v>
      </c>
      <c r="B153" s="97">
        <v>584</v>
      </c>
      <c r="C153" s="34">
        <v>36</v>
      </c>
      <c r="D153" s="39" t="s">
        <v>55</v>
      </c>
      <c r="E153" s="34">
        <v>1</v>
      </c>
      <c r="F153" s="34">
        <f t="shared" si="6"/>
        <v>3.3333333333333335</v>
      </c>
      <c r="G153" s="220">
        <f t="shared" si="7"/>
        <v>3.9007092198581566</v>
      </c>
    </row>
    <row r="154" spans="1:7" x14ac:dyDescent="0.3">
      <c r="A154" s="34">
        <v>145</v>
      </c>
      <c r="B154" s="97">
        <v>689</v>
      </c>
      <c r="C154" s="34">
        <v>9</v>
      </c>
      <c r="D154" s="39" t="s">
        <v>54</v>
      </c>
      <c r="E154" s="34">
        <v>1</v>
      </c>
      <c r="F154" s="34">
        <f t="shared" si="6"/>
        <v>3.3333333333333335</v>
      </c>
      <c r="G154" s="220">
        <f t="shared" si="7"/>
        <v>4.1025641025641031</v>
      </c>
    </row>
    <row r="155" spans="1:7" x14ac:dyDescent="0.3">
      <c r="A155" s="34">
        <v>146</v>
      </c>
      <c r="B155" s="97">
        <v>909</v>
      </c>
      <c r="C155" s="34">
        <v>15</v>
      </c>
      <c r="D155" s="39" t="s">
        <v>56</v>
      </c>
      <c r="E155" s="34">
        <v>1</v>
      </c>
      <c r="F155" s="34">
        <f t="shared" si="6"/>
        <v>3.3333333333333335</v>
      </c>
      <c r="G155" s="220">
        <f t="shared" si="7"/>
        <v>3.9393939393939394</v>
      </c>
    </row>
    <row r="156" spans="1:7" x14ac:dyDescent="0.3">
      <c r="A156" s="34">
        <v>147</v>
      </c>
      <c r="B156" s="97">
        <v>31</v>
      </c>
      <c r="C156" s="34">
        <v>18</v>
      </c>
      <c r="D156" s="39" t="s">
        <v>54</v>
      </c>
      <c r="E156" s="34">
        <v>1</v>
      </c>
      <c r="F156" s="34">
        <f t="shared" si="6"/>
        <v>3.3333333333333335</v>
      </c>
      <c r="G156" s="220">
        <f t="shared" si="7"/>
        <v>4.1025641025641031</v>
      </c>
    </row>
    <row r="157" spans="1:7" x14ac:dyDescent="0.3">
      <c r="A157" s="34">
        <v>148</v>
      </c>
      <c r="B157" s="97">
        <v>590</v>
      </c>
      <c r="C157" s="34">
        <v>12</v>
      </c>
      <c r="D157" s="39" t="s">
        <v>55</v>
      </c>
      <c r="E157" s="34">
        <v>1</v>
      </c>
      <c r="F157" s="34">
        <f t="shared" si="6"/>
        <v>3.3333333333333335</v>
      </c>
      <c r="G157" s="220">
        <f t="shared" si="7"/>
        <v>3.9007092198581566</v>
      </c>
    </row>
    <row r="158" spans="1:7" x14ac:dyDescent="0.3">
      <c r="A158" s="34">
        <v>149</v>
      </c>
      <c r="B158" s="97">
        <v>848</v>
      </c>
      <c r="C158" s="34">
        <v>24</v>
      </c>
      <c r="D158" s="39" t="s">
        <v>54</v>
      </c>
      <c r="E158" s="34">
        <v>1</v>
      </c>
      <c r="F158" s="34">
        <f t="shared" si="6"/>
        <v>3.3333333333333335</v>
      </c>
      <c r="G158" s="220">
        <f t="shared" si="7"/>
        <v>4.1025641025641031</v>
      </c>
    </row>
    <row r="159" spans="1:7" x14ac:dyDescent="0.3">
      <c r="A159" s="34">
        <v>150</v>
      </c>
      <c r="B159" s="97">
        <v>137</v>
      </c>
      <c r="C159" s="34">
        <v>27</v>
      </c>
      <c r="D159" s="39" t="s">
        <v>54</v>
      </c>
      <c r="E159" s="34">
        <v>1</v>
      </c>
      <c r="F159" s="34">
        <f t="shared" si="6"/>
        <v>3.3333333333333335</v>
      </c>
      <c r="G159" s="220">
        <f t="shared" si="7"/>
        <v>4.1025641025641031</v>
      </c>
    </row>
    <row r="160" spans="1:7" x14ac:dyDescent="0.3">
      <c r="A160" s="34">
        <v>151</v>
      </c>
      <c r="B160" s="97">
        <v>106</v>
      </c>
      <c r="C160" s="34">
        <v>24</v>
      </c>
      <c r="D160" s="39" t="s">
        <v>55</v>
      </c>
      <c r="E160" s="34">
        <v>1</v>
      </c>
      <c r="F160" s="34">
        <f t="shared" si="6"/>
        <v>3.3333333333333335</v>
      </c>
      <c r="G160" s="220">
        <f t="shared" si="7"/>
        <v>3.9007092198581566</v>
      </c>
    </row>
    <row r="161" spans="1:7" x14ac:dyDescent="0.3">
      <c r="A161" s="34">
        <v>152</v>
      </c>
      <c r="B161" s="97">
        <v>248</v>
      </c>
      <c r="C161" s="34">
        <v>6</v>
      </c>
      <c r="D161" s="39" t="s">
        <v>54</v>
      </c>
      <c r="E161" s="34">
        <v>1</v>
      </c>
      <c r="F161" s="34">
        <f t="shared" si="6"/>
        <v>3.3333333333333335</v>
      </c>
      <c r="G161" s="220">
        <f t="shared" si="7"/>
        <v>4.1025641025641031</v>
      </c>
    </row>
    <row r="162" spans="1:7" x14ac:dyDescent="0.3">
      <c r="A162" s="34">
        <v>153</v>
      </c>
      <c r="B162" s="97">
        <v>276</v>
      </c>
      <c r="C162" s="34">
        <v>9</v>
      </c>
      <c r="D162" s="39" t="s">
        <v>54</v>
      </c>
      <c r="E162" s="34">
        <v>1</v>
      </c>
      <c r="F162" s="34">
        <f t="shared" si="6"/>
        <v>3.3333333333333335</v>
      </c>
      <c r="G162" s="220">
        <f t="shared" si="7"/>
        <v>4.1025641025641031</v>
      </c>
    </row>
    <row r="163" spans="1:7" x14ac:dyDescent="0.3">
      <c r="A163" s="34">
        <v>154</v>
      </c>
      <c r="B163" s="97">
        <v>664</v>
      </c>
      <c r="C163" s="34">
        <v>6</v>
      </c>
      <c r="D163" s="39" t="s">
        <v>54</v>
      </c>
      <c r="E163" s="34">
        <v>1</v>
      </c>
      <c r="F163" s="34">
        <f t="shared" si="6"/>
        <v>3.3333333333333335</v>
      </c>
      <c r="G163" s="220">
        <f t="shared" si="7"/>
        <v>4.1025641025641031</v>
      </c>
    </row>
    <row r="164" spans="1:7" x14ac:dyDescent="0.3">
      <c r="A164" s="34">
        <v>155</v>
      </c>
      <c r="B164" s="97">
        <v>850</v>
      </c>
      <c r="C164" s="34">
        <v>12</v>
      </c>
      <c r="D164" s="39" t="s">
        <v>55</v>
      </c>
      <c r="E164" s="34">
        <v>1</v>
      </c>
      <c r="F164" s="34">
        <f t="shared" si="6"/>
        <v>3.3333333333333335</v>
      </c>
      <c r="G164" s="220">
        <f t="shared" si="7"/>
        <v>3.9007092198581566</v>
      </c>
    </row>
    <row r="165" spans="1:7" x14ac:dyDescent="0.3">
      <c r="A165" s="34">
        <v>156</v>
      </c>
      <c r="B165" s="97">
        <v>644</v>
      </c>
      <c r="C165" s="34">
        <v>24</v>
      </c>
      <c r="D165" s="39" t="s">
        <v>54</v>
      </c>
      <c r="E165" s="34">
        <v>1</v>
      </c>
      <c r="F165" s="34">
        <f t="shared" si="6"/>
        <v>3.3333333333333335</v>
      </c>
      <c r="G165" s="220">
        <f t="shared" si="7"/>
        <v>4.1025641025641031</v>
      </c>
    </row>
    <row r="166" spans="1:7" x14ac:dyDescent="0.3">
      <c r="A166" s="34">
        <v>157</v>
      </c>
      <c r="B166" s="97">
        <v>40</v>
      </c>
      <c r="C166" s="34">
        <v>9</v>
      </c>
      <c r="D166" s="39" t="s">
        <v>54</v>
      </c>
      <c r="E166" s="34">
        <v>1</v>
      </c>
      <c r="F166" s="34">
        <f t="shared" si="6"/>
        <v>3.3333333333333335</v>
      </c>
      <c r="G166" s="220">
        <f t="shared" si="7"/>
        <v>4.1025641025641031</v>
      </c>
    </row>
    <row r="167" spans="1:7" x14ac:dyDescent="0.3">
      <c r="A167" s="34">
        <v>158</v>
      </c>
      <c r="B167" s="97">
        <v>46</v>
      </c>
      <c r="C167" s="34">
        <v>11</v>
      </c>
      <c r="D167" s="39" t="s">
        <v>56</v>
      </c>
      <c r="E167" s="34">
        <v>1</v>
      </c>
      <c r="F167" s="34">
        <f t="shared" si="6"/>
        <v>3.3333333333333335</v>
      </c>
      <c r="G167" s="220">
        <f t="shared" si="7"/>
        <v>3.9393939393939394</v>
      </c>
    </row>
    <row r="168" spans="1:7" x14ac:dyDescent="0.3">
      <c r="A168" s="34">
        <v>159</v>
      </c>
      <c r="B168" s="97">
        <v>76</v>
      </c>
      <c r="C168" s="34">
        <v>12</v>
      </c>
      <c r="D168" s="39" t="s">
        <v>54</v>
      </c>
      <c r="E168" s="34">
        <v>1</v>
      </c>
      <c r="F168" s="34">
        <f t="shared" si="6"/>
        <v>3.3333333333333335</v>
      </c>
      <c r="G168" s="220">
        <f t="shared" si="7"/>
        <v>4.1025641025641031</v>
      </c>
    </row>
    <row r="169" spans="1:7" x14ac:dyDescent="0.3">
      <c r="A169" s="34">
        <v>160</v>
      </c>
      <c r="B169" s="97">
        <v>889</v>
      </c>
      <c r="C169" s="34">
        <v>36</v>
      </c>
      <c r="D169" s="39" t="s">
        <v>54</v>
      </c>
      <c r="E169" s="34">
        <v>1</v>
      </c>
      <c r="F169" s="34">
        <f t="shared" si="6"/>
        <v>3.3333333333333335</v>
      </c>
      <c r="G169" s="220">
        <f t="shared" si="7"/>
        <v>4.1025641025641031</v>
      </c>
    </row>
    <row r="170" spans="1:7" x14ac:dyDescent="0.3">
      <c r="A170" s="34">
        <v>161</v>
      </c>
      <c r="B170" s="97">
        <v>523</v>
      </c>
      <c r="C170" s="34">
        <v>48</v>
      </c>
      <c r="D170" s="39" t="s">
        <v>55</v>
      </c>
      <c r="E170" s="34">
        <v>1</v>
      </c>
      <c r="F170" s="34">
        <f t="shared" si="6"/>
        <v>3.3333333333333335</v>
      </c>
      <c r="G170" s="220">
        <f t="shared" si="7"/>
        <v>3.9007092198581566</v>
      </c>
    </row>
    <row r="171" spans="1:7" x14ac:dyDescent="0.3">
      <c r="A171" s="34">
        <v>162</v>
      </c>
      <c r="B171" s="97">
        <v>730</v>
      </c>
      <c r="C171" s="34">
        <v>24</v>
      </c>
      <c r="D171" s="39" t="s">
        <v>54</v>
      </c>
      <c r="E171" s="34">
        <v>1</v>
      </c>
      <c r="F171" s="34">
        <f t="shared" si="6"/>
        <v>3.3333333333333335</v>
      </c>
      <c r="G171" s="220">
        <f t="shared" si="7"/>
        <v>4.1025641025641031</v>
      </c>
    </row>
    <row r="172" spans="1:7" x14ac:dyDescent="0.3">
      <c r="A172" s="34">
        <v>163</v>
      </c>
      <c r="B172" s="97">
        <v>303</v>
      </c>
      <c r="C172" s="34">
        <v>24</v>
      </c>
      <c r="D172" s="39" t="s">
        <v>55</v>
      </c>
      <c r="E172" s="34">
        <v>1</v>
      </c>
      <c r="F172" s="34">
        <f t="shared" si="6"/>
        <v>3.3333333333333335</v>
      </c>
      <c r="G172" s="220">
        <f t="shared" si="7"/>
        <v>3.9007092198581566</v>
      </c>
    </row>
    <row r="173" spans="1:7" x14ac:dyDescent="0.3">
      <c r="A173" s="34">
        <v>164</v>
      </c>
      <c r="B173" s="97">
        <v>696</v>
      </c>
      <c r="C173" s="34">
        <v>6</v>
      </c>
      <c r="D173" s="39" t="s">
        <v>54</v>
      </c>
      <c r="E173" s="34">
        <v>1</v>
      </c>
      <c r="F173" s="34">
        <f t="shared" si="6"/>
        <v>3.3333333333333335</v>
      </c>
      <c r="G173" s="220">
        <f t="shared" si="7"/>
        <v>4.1025641025641031</v>
      </c>
    </row>
    <row r="174" spans="1:7" x14ac:dyDescent="0.3">
      <c r="A174" s="34">
        <v>165</v>
      </c>
      <c r="B174" s="97">
        <v>26</v>
      </c>
      <c r="C174" s="34">
        <v>6</v>
      </c>
      <c r="D174" s="39" t="s">
        <v>54</v>
      </c>
      <c r="E174" s="34">
        <v>1</v>
      </c>
      <c r="F174" s="34">
        <f t="shared" si="6"/>
        <v>3.3333333333333335</v>
      </c>
      <c r="G174" s="220">
        <f t="shared" si="7"/>
        <v>4.1025641025641031</v>
      </c>
    </row>
    <row r="175" spans="1:7" x14ac:dyDescent="0.3">
      <c r="A175" s="34">
        <v>166</v>
      </c>
      <c r="B175" s="97">
        <v>659</v>
      </c>
      <c r="C175" s="34">
        <v>30</v>
      </c>
      <c r="D175" s="39" t="s">
        <v>56</v>
      </c>
      <c r="E175" s="34">
        <v>1</v>
      </c>
      <c r="F175" s="34">
        <f t="shared" si="6"/>
        <v>3.3333333333333335</v>
      </c>
      <c r="G175" s="220">
        <f t="shared" si="7"/>
        <v>3.9393939393939394</v>
      </c>
    </row>
    <row r="176" spans="1:7" x14ac:dyDescent="0.3">
      <c r="A176" s="34">
        <v>167</v>
      </c>
      <c r="B176" s="97">
        <v>170</v>
      </c>
      <c r="C176" s="34">
        <v>24</v>
      </c>
      <c r="D176" s="39" t="s">
        <v>55</v>
      </c>
      <c r="E176" s="34">
        <v>1</v>
      </c>
      <c r="F176" s="34">
        <f t="shared" si="6"/>
        <v>3.3333333333333335</v>
      </c>
      <c r="G176" s="220">
        <f t="shared" si="7"/>
        <v>3.9007092198581566</v>
      </c>
    </row>
    <row r="177" spans="1:7" x14ac:dyDescent="0.3">
      <c r="A177" s="34">
        <v>168</v>
      </c>
      <c r="B177" s="97">
        <v>872</v>
      </c>
      <c r="C177" s="34">
        <v>6</v>
      </c>
      <c r="D177" s="39" t="s">
        <v>54</v>
      </c>
      <c r="E177" s="34">
        <v>1</v>
      </c>
      <c r="F177" s="34">
        <f t="shared" si="6"/>
        <v>3.3333333333333335</v>
      </c>
      <c r="G177" s="220">
        <f t="shared" si="7"/>
        <v>4.1025641025641031</v>
      </c>
    </row>
    <row r="178" spans="1:7" x14ac:dyDescent="0.3">
      <c r="A178" s="34">
        <v>169</v>
      </c>
      <c r="B178" s="97">
        <v>347</v>
      </c>
      <c r="C178" s="34">
        <v>13</v>
      </c>
      <c r="D178" s="39" t="s">
        <v>54</v>
      </c>
      <c r="E178" s="34">
        <v>1</v>
      </c>
      <c r="F178" s="34">
        <f t="shared" si="6"/>
        <v>3.3333333333333335</v>
      </c>
      <c r="G178" s="220">
        <f t="shared" si="7"/>
        <v>4.1025641025641031</v>
      </c>
    </row>
    <row r="179" spans="1:7" x14ac:dyDescent="0.3">
      <c r="A179" s="34">
        <v>170</v>
      </c>
      <c r="B179" s="97">
        <v>928</v>
      </c>
      <c r="C179" s="34">
        <v>48</v>
      </c>
      <c r="D179" s="39" t="s">
        <v>55</v>
      </c>
      <c r="E179" s="34">
        <v>1</v>
      </c>
      <c r="F179" s="34">
        <f t="shared" si="6"/>
        <v>3.3333333333333335</v>
      </c>
      <c r="G179" s="220">
        <f t="shared" si="7"/>
        <v>3.9007092198581566</v>
      </c>
    </row>
    <row r="180" spans="1:7" x14ac:dyDescent="0.3">
      <c r="A180" s="34">
        <v>171</v>
      </c>
      <c r="B180" s="97">
        <v>403</v>
      </c>
      <c r="C180" s="34">
        <v>24</v>
      </c>
      <c r="D180" s="39" t="s">
        <v>55</v>
      </c>
      <c r="E180" s="34">
        <v>1</v>
      </c>
      <c r="F180" s="34">
        <f t="shared" si="6"/>
        <v>3.3333333333333335</v>
      </c>
      <c r="G180" s="220">
        <f t="shared" si="7"/>
        <v>3.9007092198581566</v>
      </c>
    </row>
    <row r="181" spans="1:7" x14ac:dyDescent="0.3">
      <c r="A181" s="34">
        <v>172</v>
      </c>
      <c r="B181" s="97">
        <v>368</v>
      </c>
      <c r="C181" s="34">
        <v>18</v>
      </c>
      <c r="D181" s="39" t="s">
        <v>56</v>
      </c>
      <c r="E181" s="34">
        <v>1</v>
      </c>
      <c r="F181" s="34">
        <f t="shared" si="6"/>
        <v>3.3333333333333335</v>
      </c>
      <c r="G181" s="220">
        <f t="shared" si="7"/>
        <v>3.9393939393939394</v>
      </c>
    </row>
    <row r="182" spans="1:7" x14ac:dyDescent="0.3">
      <c r="A182" s="34">
        <v>173</v>
      </c>
      <c r="B182" s="97">
        <v>172</v>
      </c>
      <c r="C182" s="34">
        <v>12</v>
      </c>
      <c r="D182" s="39" t="s">
        <v>56</v>
      </c>
      <c r="E182" s="34">
        <v>1</v>
      </c>
      <c r="F182" s="34">
        <f t="shared" si="6"/>
        <v>3.3333333333333335</v>
      </c>
      <c r="G182" s="220">
        <f t="shared" si="7"/>
        <v>3.9393939393939394</v>
      </c>
    </row>
    <row r="183" spans="1:7" x14ac:dyDescent="0.3">
      <c r="A183" s="34">
        <v>174</v>
      </c>
      <c r="B183" s="97">
        <v>300</v>
      </c>
      <c r="C183" s="34">
        <v>21</v>
      </c>
      <c r="D183" s="39" t="s">
        <v>54</v>
      </c>
      <c r="E183" s="34">
        <v>1</v>
      </c>
      <c r="F183" s="34">
        <f t="shared" si="6"/>
        <v>3.3333333333333335</v>
      </c>
      <c r="G183" s="220">
        <f t="shared" si="7"/>
        <v>4.1025641025641031</v>
      </c>
    </row>
    <row r="184" spans="1:7" x14ac:dyDescent="0.3">
      <c r="A184" s="34">
        <v>175</v>
      </c>
      <c r="B184" s="97">
        <v>882</v>
      </c>
      <c r="C184" s="34">
        <v>24</v>
      </c>
      <c r="D184" s="39" t="s">
        <v>54</v>
      </c>
      <c r="E184" s="34">
        <v>1</v>
      </c>
      <c r="F184" s="34">
        <f t="shared" si="6"/>
        <v>3.3333333333333335</v>
      </c>
      <c r="G184" s="220">
        <f t="shared" si="7"/>
        <v>4.1025641025641031</v>
      </c>
    </row>
    <row r="185" spans="1:7" x14ac:dyDescent="0.3">
      <c r="A185" s="34">
        <v>176</v>
      </c>
      <c r="B185" s="97">
        <v>396</v>
      </c>
      <c r="C185" s="34">
        <v>39</v>
      </c>
      <c r="D185" s="39" t="s">
        <v>54</v>
      </c>
      <c r="E185" s="34">
        <v>1</v>
      </c>
      <c r="F185" s="34">
        <f t="shared" si="6"/>
        <v>3.3333333333333335</v>
      </c>
      <c r="G185" s="220">
        <f t="shared" si="7"/>
        <v>4.1025641025641031</v>
      </c>
    </row>
    <row r="186" spans="1:7" x14ac:dyDescent="0.3">
      <c r="A186" s="34">
        <v>177</v>
      </c>
      <c r="B186" s="97">
        <v>171</v>
      </c>
      <c r="C186" s="34">
        <v>15</v>
      </c>
      <c r="D186" s="39" t="s">
        <v>55</v>
      </c>
      <c r="E186" s="34">
        <v>1</v>
      </c>
      <c r="F186" s="34">
        <f t="shared" si="6"/>
        <v>3.3333333333333335</v>
      </c>
      <c r="G186" s="220">
        <f t="shared" si="7"/>
        <v>3.9007092198581566</v>
      </c>
    </row>
    <row r="187" spans="1:7" x14ac:dyDescent="0.3">
      <c r="A187" s="34">
        <v>178</v>
      </c>
      <c r="B187" s="97">
        <v>841</v>
      </c>
      <c r="C187" s="34">
        <v>36</v>
      </c>
      <c r="D187" s="39" t="s">
        <v>55</v>
      </c>
      <c r="E187" s="34">
        <v>1</v>
      </c>
      <c r="F187" s="34">
        <f t="shared" si="6"/>
        <v>3.3333333333333335</v>
      </c>
      <c r="G187" s="220">
        <f t="shared" si="7"/>
        <v>3.9007092198581566</v>
      </c>
    </row>
    <row r="188" spans="1:7" x14ac:dyDescent="0.3">
      <c r="A188" s="34">
        <v>179</v>
      </c>
      <c r="B188" s="97">
        <v>330</v>
      </c>
      <c r="C188" s="34">
        <v>6</v>
      </c>
      <c r="D188" s="39" t="s">
        <v>54</v>
      </c>
      <c r="E188" s="34">
        <v>1</v>
      </c>
      <c r="F188" s="34">
        <f t="shared" si="6"/>
        <v>3.3333333333333335</v>
      </c>
      <c r="G188" s="220">
        <f t="shared" si="7"/>
        <v>4.1025641025641031</v>
      </c>
    </row>
    <row r="189" spans="1:7" x14ac:dyDescent="0.3">
      <c r="A189" s="34">
        <v>180</v>
      </c>
      <c r="B189" s="97">
        <v>704</v>
      </c>
      <c r="C189" s="34">
        <v>30</v>
      </c>
      <c r="D189" s="39" t="s">
        <v>54</v>
      </c>
      <c r="E189" s="34">
        <v>1</v>
      </c>
      <c r="F189" s="34">
        <f t="shared" si="6"/>
        <v>3.3333333333333335</v>
      </c>
      <c r="G189" s="220">
        <f t="shared" si="7"/>
        <v>4.1025641025641031</v>
      </c>
    </row>
    <row r="190" spans="1:7" x14ac:dyDescent="0.3">
      <c r="A190" s="34">
        <v>181</v>
      </c>
      <c r="B190" s="97">
        <v>627</v>
      </c>
      <c r="C190" s="34">
        <v>6</v>
      </c>
      <c r="D190" s="39" t="s">
        <v>54</v>
      </c>
      <c r="E190" s="34">
        <v>1</v>
      </c>
      <c r="F190" s="34">
        <f t="shared" si="6"/>
        <v>3.3333333333333335</v>
      </c>
      <c r="G190" s="220">
        <f t="shared" si="7"/>
        <v>4.1025641025641031</v>
      </c>
    </row>
    <row r="191" spans="1:7" x14ac:dyDescent="0.3">
      <c r="A191" s="34">
        <v>182</v>
      </c>
      <c r="B191" s="97">
        <v>428</v>
      </c>
      <c r="C191" s="34">
        <v>18</v>
      </c>
      <c r="D191" s="39" t="s">
        <v>54</v>
      </c>
      <c r="E191" s="34">
        <v>1</v>
      </c>
      <c r="F191" s="34">
        <f t="shared" si="6"/>
        <v>3.3333333333333335</v>
      </c>
      <c r="G191" s="220">
        <f t="shared" si="7"/>
        <v>4.1025641025641031</v>
      </c>
    </row>
    <row r="192" spans="1:7" x14ac:dyDescent="0.3">
      <c r="A192" s="34">
        <v>183</v>
      </c>
      <c r="B192" s="97">
        <v>874</v>
      </c>
      <c r="C192" s="34">
        <v>15</v>
      </c>
      <c r="D192" s="39" t="s">
        <v>56</v>
      </c>
      <c r="E192" s="34">
        <v>1</v>
      </c>
      <c r="F192" s="34">
        <f t="shared" si="6"/>
        <v>3.3333333333333335</v>
      </c>
      <c r="G192" s="220">
        <f t="shared" si="7"/>
        <v>3.9393939393939394</v>
      </c>
    </row>
    <row r="193" spans="1:7" x14ac:dyDescent="0.3">
      <c r="A193" s="34">
        <v>184</v>
      </c>
      <c r="B193" s="97">
        <v>145</v>
      </c>
      <c r="C193" s="34">
        <v>21</v>
      </c>
      <c r="D193" s="39" t="s">
        <v>56</v>
      </c>
      <c r="E193" s="34">
        <v>1</v>
      </c>
      <c r="F193" s="34">
        <f t="shared" si="6"/>
        <v>3.3333333333333335</v>
      </c>
      <c r="G193" s="220">
        <f t="shared" si="7"/>
        <v>3.9393939393939394</v>
      </c>
    </row>
    <row r="194" spans="1:7" x14ac:dyDescent="0.3">
      <c r="A194" s="34">
        <v>185</v>
      </c>
      <c r="B194" s="97">
        <v>519</v>
      </c>
      <c r="C194" s="34">
        <v>6</v>
      </c>
      <c r="D194" s="39" t="s">
        <v>54</v>
      </c>
      <c r="E194" s="34">
        <v>1</v>
      </c>
      <c r="F194" s="34">
        <f t="shared" si="6"/>
        <v>3.3333333333333335</v>
      </c>
      <c r="G194" s="220">
        <f t="shared" si="7"/>
        <v>4.1025641025641031</v>
      </c>
    </row>
    <row r="195" spans="1:7" x14ac:dyDescent="0.3">
      <c r="A195" s="34">
        <v>186</v>
      </c>
      <c r="B195" s="97">
        <v>531</v>
      </c>
      <c r="C195" s="34">
        <v>36</v>
      </c>
      <c r="D195" s="39" t="s">
        <v>54</v>
      </c>
      <c r="E195" s="34">
        <v>1</v>
      </c>
      <c r="F195" s="34">
        <f t="shared" si="6"/>
        <v>3.3333333333333335</v>
      </c>
      <c r="G195" s="220">
        <f t="shared" si="7"/>
        <v>4.1025641025641031</v>
      </c>
    </row>
    <row r="196" spans="1:7" x14ac:dyDescent="0.3">
      <c r="A196" s="34">
        <v>187</v>
      </c>
      <c r="B196" s="97">
        <v>579</v>
      </c>
      <c r="C196" s="34">
        <v>36</v>
      </c>
      <c r="D196" s="39" t="s">
        <v>55</v>
      </c>
      <c r="E196" s="34">
        <v>1</v>
      </c>
      <c r="F196" s="34">
        <f t="shared" si="6"/>
        <v>3.3333333333333335</v>
      </c>
      <c r="G196" s="220">
        <f t="shared" si="7"/>
        <v>3.9007092198581566</v>
      </c>
    </row>
    <row r="197" spans="1:7" x14ac:dyDescent="0.3">
      <c r="A197" s="34">
        <v>188</v>
      </c>
      <c r="B197" s="97">
        <v>932</v>
      </c>
      <c r="C197" s="34">
        <v>9</v>
      </c>
      <c r="D197" s="39" t="s">
        <v>57</v>
      </c>
      <c r="E197" s="34">
        <v>1</v>
      </c>
      <c r="F197" s="34">
        <f t="shared" si="6"/>
        <v>3.3333333333333335</v>
      </c>
      <c r="G197" s="220">
        <f t="shared" si="7"/>
        <v>3.870967741935484</v>
      </c>
    </row>
    <row r="198" spans="1:7" x14ac:dyDescent="0.3">
      <c r="A198" s="34">
        <v>189</v>
      </c>
      <c r="B198" s="97">
        <v>861</v>
      </c>
      <c r="C198" s="34">
        <v>24</v>
      </c>
      <c r="D198" s="39" t="s">
        <v>54</v>
      </c>
      <c r="E198" s="34">
        <v>1</v>
      </c>
      <c r="F198" s="34">
        <f t="shared" si="6"/>
        <v>3.3333333333333335</v>
      </c>
      <c r="G198" s="220">
        <f t="shared" si="7"/>
        <v>4.1025641025641031</v>
      </c>
    </row>
    <row r="199" spans="1:7" x14ac:dyDescent="0.3">
      <c r="A199" s="34">
        <v>190</v>
      </c>
      <c r="B199" s="97">
        <v>604</v>
      </c>
      <c r="C199" s="34">
        <v>36</v>
      </c>
      <c r="D199" s="39" t="s">
        <v>57</v>
      </c>
      <c r="E199" s="34">
        <v>1</v>
      </c>
      <c r="F199" s="34">
        <f t="shared" si="6"/>
        <v>3.3333333333333335</v>
      </c>
      <c r="G199" s="220">
        <f t="shared" si="7"/>
        <v>3.870967741935484</v>
      </c>
    </row>
    <row r="200" spans="1:7" x14ac:dyDescent="0.3">
      <c r="A200" s="34">
        <v>191</v>
      </c>
      <c r="B200" s="97">
        <v>80</v>
      </c>
      <c r="C200" s="34">
        <v>30</v>
      </c>
      <c r="D200" s="39" t="s">
        <v>54</v>
      </c>
      <c r="E200" s="34">
        <v>1</v>
      </c>
      <c r="F200" s="34">
        <f t="shared" si="6"/>
        <v>3.3333333333333335</v>
      </c>
      <c r="G200" s="220">
        <f t="shared" si="7"/>
        <v>4.1025641025641031</v>
      </c>
    </row>
    <row r="201" spans="1:7" x14ac:dyDescent="0.3">
      <c r="A201" s="34">
        <v>192</v>
      </c>
      <c r="B201" s="97">
        <v>676</v>
      </c>
      <c r="C201" s="34">
        <v>30</v>
      </c>
      <c r="D201" s="39" t="s">
        <v>56</v>
      </c>
      <c r="E201" s="34">
        <v>1</v>
      </c>
      <c r="F201" s="34">
        <f t="shared" si="6"/>
        <v>3.3333333333333335</v>
      </c>
      <c r="G201" s="220">
        <f t="shared" si="7"/>
        <v>3.9393939393939394</v>
      </c>
    </row>
    <row r="202" spans="1:7" x14ac:dyDescent="0.3">
      <c r="A202" s="34">
        <v>193</v>
      </c>
      <c r="B202" s="97">
        <v>864</v>
      </c>
      <c r="C202" s="34">
        <v>27</v>
      </c>
      <c r="D202" s="39" t="s">
        <v>54</v>
      </c>
      <c r="E202" s="34">
        <v>1</v>
      </c>
      <c r="F202" s="34">
        <f t="shared" ref="F202:F265" si="8">$J$13</f>
        <v>3.3333333333333335</v>
      </c>
      <c r="G202" s="220">
        <f t="shared" si="7"/>
        <v>4.1025641025641031</v>
      </c>
    </row>
    <row r="203" spans="1:7" x14ac:dyDescent="0.3">
      <c r="A203" s="34">
        <v>194</v>
      </c>
      <c r="B203" s="97">
        <v>758</v>
      </c>
      <c r="C203" s="34">
        <v>15</v>
      </c>
      <c r="D203" s="39" t="s">
        <v>55</v>
      </c>
      <c r="E203" s="34">
        <v>1</v>
      </c>
      <c r="F203" s="34">
        <f t="shared" si="8"/>
        <v>3.3333333333333335</v>
      </c>
      <c r="G203" s="220">
        <f t="shared" ref="G203:G266" si="9">VLOOKUP(D203,$I$21:$M$24,5,FALSE)</f>
        <v>3.9007092198581566</v>
      </c>
    </row>
    <row r="204" spans="1:7" x14ac:dyDescent="0.3">
      <c r="A204" s="34">
        <v>195</v>
      </c>
      <c r="B204" s="97">
        <v>369</v>
      </c>
      <c r="C204" s="34">
        <v>36</v>
      </c>
      <c r="D204" s="39" t="s">
        <v>55</v>
      </c>
      <c r="E204" s="34">
        <v>1</v>
      </c>
      <c r="F204" s="34">
        <f t="shared" si="8"/>
        <v>3.3333333333333335</v>
      </c>
      <c r="G204" s="220">
        <f t="shared" si="9"/>
        <v>3.9007092198581566</v>
      </c>
    </row>
    <row r="205" spans="1:7" x14ac:dyDescent="0.3">
      <c r="A205" s="34">
        <v>196</v>
      </c>
      <c r="B205" s="97">
        <v>200</v>
      </c>
      <c r="C205" s="34">
        <v>18</v>
      </c>
      <c r="D205" s="39" t="s">
        <v>55</v>
      </c>
      <c r="E205" s="34">
        <v>1</v>
      </c>
      <c r="F205" s="34">
        <f t="shared" si="8"/>
        <v>3.3333333333333335</v>
      </c>
      <c r="G205" s="220">
        <f t="shared" si="9"/>
        <v>3.9007092198581566</v>
      </c>
    </row>
    <row r="206" spans="1:7" x14ac:dyDescent="0.3">
      <c r="A206" s="34">
        <v>197</v>
      </c>
      <c r="B206" s="97">
        <v>240</v>
      </c>
      <c r="C206" s="34">
        <v>30</v>
      </c>
      <c r="D206" s="39" t="s">
        <v>54</v>
      </c>
      <c r="E206" s="34">
        <v>1</v>
      </c>
      <c r="F206" s="34">
        <f t="shared" si="8"/>
        <v>3.3333333333333335</v>
      </c>
      <c r="G206" s="220">
        <f t="shared" si="9"/>
        <v>4.1025641025641031</v>
      </c>
    </row>
    <row r="207" spans="1:7" x14ac:dyDescent="0.3">
      <c r="A207" s="34">
        <v>198</v>
      </c>
      <c r="B207" s="97">
        <v>822</v>
      </c>
      <c r="C207" s="34">
        <v>12</v>
      </c>
      <c r="D207" s="39" t="s">
        <v>54</v>
      </c>
      <c r="E207" s="34">
        <v>1</v>
      </c>
      <c r="F207" s="34">
        <f t="shared" si="8"/>
        <v>3.3333333333333335</v>
      </c>
      <c r="G207" s="220">
        <f t="shared" si="9"/>
        <v>4.1025641025641031</v>
      </c>
    </row>
    <row r="208" spans="1:7" x14ac:dyDescent="0.3">
      <c r="A208" s="34">
        <v>199</v>
      </c>
      <c r="B208" s="97">
        <v>295</v>
      </c>
      <c r="C208" s="34">
        <v>48</v>
      </c>
      <c r="D208" s="39" t="s">
        <v>54</v>
      </c>
      <c r="E208" s="34">
        <v>1</v>
      </c>
      <c r="F208" s="34">
        <f t="shared" si="8"/>
        <v>3.3333333333333335</v>
      </c>
      <c r="G208" s="220">
        <f t="shared" si="9"/>
        <v>4.1025641025641031</v>
      </c>
    </row>
    <row r="209" spans="1:7" x14ac:dyDescent="0.3">
      <c r="A209" s="34">
        <v>200</v>
      </c>
      <c r="B209" s="97">
        <v>751</v>
      </c>
      <c r="C209" s="34">
        <v>6</v>
      </c>
      <c r="D209" s="39" t="s">
        <v>56</v>
      </c>
      <c r="E209" s="34">
        <v>1</v>
      </c>
      <c r="F209" s="34">
        <f t="shared" si="8"/>
        <v>3.3333333333333335</v>
      </c>
      <c r="G209" s="220">
        <f t="shared" si="9"/>
        <v>3.9393939393939394</v>
      </c>
    </row>
    <row r="210" spans="1:7" x14ac:dyDescent="0.3">
      <c r="A210" s="34">
        <v>201</v>
      </c>
      <c r="B210" s="97">
        <v>296</v>
      </c>
      <c r="C210" s="34">
        <v>48</v>
      </c>
      <c r="D210" s="39" t="s">
        <v>57</v>
      </c>
      <c r="E210" s="34">
        <v>1</v>
      </c>
      <c r="F210" s="34">
        <f t="shared" si="8"/>
        <v>3.3333333333333335</v>
      </c>
      <c r="G210" s="220">
        <f t="shared" si="9"/>
        <v>3.870967741935484</v>
      </c>
    </row>
    <row r="211" spans="1:7" x14ac:dyDescent="0.3">
      <c r="A211" s="34">
        <v>202</v>
      </c>
      <c r="B211" s="97">
        <v>728</v>
      </c>
      <c r="C211" s="34">
        <v>18</v>
      </c>
      <c r="D211" s="39" t="s">
        <v>57</v>
      </c>
      <c r="E211" s="34">
        <v>1</v>
      </c>
      <c r="F211" s="34">
        <f t="shared" si="8"/>
        <v>3.3333333333333335</v>
      </c>
      <c r="G211" s="220">
        <f t="shared" si="9"/>
        <v>3.870967741935484</v>
      </c>
    </row>
    <row r="212" spans="1:7" x14ac:dyDescent="0.3">
      <c r="A212" s="34">
        <v>203</v>
      </c>
      <c r="B212" s="97">
        <v>878</v>
      </c>
      <c r="C212" s="34">
        <v>36</v>
      </c>
      <c r="D212" s="39" t="s">
        <v>54</v>
      </c>
      <c r="E212" s="34">
        <v>1</v>
      </c>
      <c r="F212" s="34">
        <f t="shared" si="8"/>
        <v>3.3333333333333335</v>
      </c>
      <c r="G212" s="220">
        <f t="shared" si="9"/>
        <v>4.1025641025641031</v>
      </c>
    </row>
    <row r="213" spans="1:7" x14ac:dyDescent="0.3">
      <c r="A213" s="34">
        <v>204</v>
      </c>
      <c r="B213" s="97">
        <v>804</v>
      </c>
      <c r="C213" s="34">
        <v>12</v>
      </c>
      <c r="D213" s="39" t="s">
        <v>54</v>
      </c>
      <c r="E213" s="34">
        <v>1</v>
      </c>
      <c r="F213" s="34">
        <f t="shared" si="8"/>
        <v>3.3333333333333335</v>
      </c>
      <c r="G213" s="220">
        <f t="shared" si="9"/>
        <v>4.1025641025641031</v>
      </c>
    </row>
    <row r="214" spans="1:7" x14ac:dyDescent="0.3">
      <c r="A214" s="34">
        <v>205</v>
      </c>
      <c r="B214" s="97">
        <v>207</v>
      </c>
      <c r="C214" s="34">
        <v>12</v>
      </c>
      <c r="D214" s="39" t="s">
        <v>54</v>
      </c>
      <c r="E214" s="34">
        <v>1</v>
      </c>
      <c r="F214" s="34">
        <f t="shared" si="8"/>
        <v>3.3333333333333335</v>
      </c>
      <c r="G214" s="220">
        <f t="shared" si="9"/>
        <v>4.1025641025641031</v>
      </c>
    </row>
    <row r="215" spans="1:7" x14ac:dyDescent="0.3">
      <c r="A215" s="34">
        <v>206</v>
      </c>
      <c r="B215" s="97">
        <v>515</v>
      </c>
      <c r="C215" s="34">
        <v>24</v>
      </c>
      <c r="D215" s="39" t="s">
        <v>54</v>
      </c>
      <c r="E215" s="34">
        <v>1</v>
      </c>
      <c r="F215" s="34">
        <f t="shared" si="8"/>
        <v>3.3333333333333335</v>
      </c>
      <c r="G215" s="220">
        <f t="shared" si="9"/>
        <v>4.1025641025641031</v>
      </c>
    </row>
    <row r="216" spans="1:7" x14ac:dyDescent="0.3">
      <c r="A216" s="34">
        <v>207</v>
      </c>
      <c r="B216" s="97">
        <v>599</v>
      </c>
      <c r="C216" s="34">
        <v>18</v>
      </c>
      <c r="D216" s="39" t="s">
        <v>55</v>
      </c>
      <c r="E216" s="34">
        <v>1</v>
      </c>
      <c r="F216" s="34">
        <f t="shared" si="8"/>
        <v>3.3333333333333335</v>
      </c>
      <c r="G216" s="220">
        <f t="shared" si="9"/>
        <v>3.9007092198581566</v>
      </c>
    </row>
    <row r="217" spans="1:7" x14ac:dyDescent="0.3">
      <c r="A217" s="34">
        <v>208</v>
      </c>
      <c r="B217" s="97">
        <v>805</v>
      </c>
      <c r="C217" s="34">
        <v>12</v>
      </c>
      <c r="D217" s="39" t="s">
        <v>56</v>
      </c>
      <c r="E217" s="34">
        <v>1</v>
      </c>
      <c r="F217" s="34">
        <f t="shared" si="8"/>
        <v>3.3333333333333335</v>
      </c>
      <c r="G217" s="220">
        <f t="shared" si="9"/>
        <v>3.9393939393939394</v>
      </c>
    </row>
    <row r="218" spans="1:7" x14ac:dyDescent="0.3">
      <c r="A218" s="34">
        <v>209</v>
      </c>
      <c r="B218" s="97">
        <v>950</v>
      </c>
      <c r="C218" s="34">
        <v>24</v>
      </c>
      <c r="D218" s="39" t="s">
        <v>55</v>
      </c>
      <c r="E218" s="34">
        <v>1</v>
      </c>
      <c r="F218" s="34">
        <f t="shared" si="8"/>
        <v>3.3333333333333335</v>
      </c>
      <c r="G218" s="220">
        <f t="shared" si="9"/>
        <v>3.9007092198581566</v>
      </c>
    </row>
    <row r="219" spans="1:7" x14ac:dyDescent="0.3">
      <c r="A219" s="34">
        <v>210</v>
      </c>
      <c r="B219" s="97">
        <v>22</v>
      </c>
      <c r="C219" s="34">
        <v>6</v>
      </c>
      <c r="D219" s="39" t="s">
        <v>54</v>
      </c>
      <c r="E219" s="34">
        <v>1</v>
      </c>
      <c r="F219" s="34">
        <f t="shared" si="8"/>
        <v>3.3333333333333335</v>
      </c>
      <c r="G219" s="220">
        <f t="shared" si="9"/>
        <v>4.1025641025641031</v>
      </c>
    </row>
    <row r="220" spans="1:7" x14ac:dyDescent="0.3">
      <c r="A220" s="34">
        <v>211</v>
      </c>
      <c r="B220" s="97">
        <v>184</v>
      </c>
      <c r="C220" s="34">
        <v>24</v>
      </c>
      <c r="D220" s="39" t="s">
        <v>54</v>
      </c>
      <c r="E220" s="34">
        <v>1</v>
      </c>
      <c r="F220" s="34">
        <f t="shared" si="8"/>
        <v>3.3333333333333335</v>
      </c>
      <c r="G220" s="220">
        <f t="shared" si="9"/>
        <v>4.1025641025641031</v>
      </c>
    </row>
    <row r="221" spans="1:7" x14ac:dyDescent="0.3">
      <c r="A221" s="34">
        <v>212</v>
      </c>
      <c r="B221" s="97">
        <v>333</v>
      </c>
      <c r="C221" s="34">
        <v>60</v>
      </c>
      <c r="D221" s="39" t="s">
        <v>57</v>
      </c>
      <c r="E221" s="34">
        <v>1</v>
      </c>
      <c r="F221" s="34">
        <f t="shared" si="8"/>
        <v>3.3333333333333335</v>
      </c>
      <c r="G221" s="220">
        <f t="shared" si="9"/>
        <v>3.870967741935484</v>
      </c>
    </row>
    <row r="222" spans="1:7" x14ac:dyDescent="0.3">
      <c r="A222" s="34">
        <v>213</v>
      </c>
      <c r="B222" s="97">
        <v>185</v>
      </c>
      <c r="C222" s="34">
        <v>18</v>
      </c>
      <c r="D222" s="39" t="s">
        <v>55</v>
      </c>
      <c r="E222" s="34">
        <v>1</v>
      </c>
      <c r="F222" s="34">
        <f t="shared" si="8"/>
        <v>3.3333333333333335</v>
      </c>
      <c r="G222" s="220">
        <f t="shared" si="9"/>
        <v>3.9007092198581566</v>
      </c>
    </row>
    <row r="223" spans="1:7" x14ac:dyDescent="0.3">
      <c r="A223" s="34">
        <v>214</v>
      </c>
      <c r="B223" s="97">
        <v>854</v>
      </c>
      <c r="C223" s="34">
        <v>18</v>
      </c>
      <c r="D223" s="39" t="s">
        <v>55</v>
      </c>
      <c r="E223" s="34">
        <v>1</v>
      </c>
      <c r="F223" s="34">
        <f t="shared" si="8"/>
        <v>3.3333333333333335</v>
      </c>
      <c r="G223" s="220">
        <f t="shared" si="9"/>
        <v>3.9007092198581566</v>
      </c>
    </row>
    <row r="224" spans="1:7" x14ac:dyDescent="0.3">
      <c r="A224" s="34">
        <v>215</v>
      </c>
      <c r="B224" s="97">
        <v>945</v>
      </c>
      <c r="C224" s="34">
        <v>15</v>
      </c>
      <c r="D224" s="39" t="s">
        <v>56</v>
      </c>
      <c r="E224" s="34">
        <v>1</v>
      </c>
      <c r="F224" s="34">
        <f t="shared" si="8"/>
        <v>3.3333333333333335</v>
      </c>
      <c r="G224" s="220">
        <f t="shared" si="9"/>
        <v>3.9393939393939394</v>
      </c>
    </row>
    <row r="225" spans="1:7" x14ac:dyDescent="0.3">
      <c r="A225" s="34">
        <v>216</v>
      </c>
      <c r="B225" s="97">
        <v>890</v>
      </c>
      <c r="C225" s="34">
        <v>28</v>
      </c>
      <c r="D225" s="39" t="s">
        <v>54</v>
      </c>
      <c r="E225" s="34">
        <v>1</v>
      </c>
      <c r="F225" s="34">
        <f t="shared" si="8"/>
        <v>3.3333333333333335</v>
      </c>
      <c r="G225" s="220">
        <f t="shared" si="9"/>
        <v>4.1025641025641031</v>
      </c>
    </row>
    <row r="226" spans="1:7" x14ac:dyDescent="0.3">
      <c r="A226" s="34">
        <v>217</v>
      </c>
      <c r="B226" s="97">
        <v>552</v>
      </c>
      <c r="C226" s="34">
        <v>6</v>
      </c>
      <c r="D226" s="39" t="s">
        <v>54</v>
      </c>
      <c r="E226" s="34">
        <v>1</v>
      </c>
      <c r="F226" s="34">
        <f t="shared" si="8"/>
        <v>3.3333333333333335</v>
      </c>
      <c r="G226" s="220">
        <f t="shared" si="9"/>
        <v>4.1025641025641031</v>
      </c>
    </row>
    <row r="227" spans="1:7" x14ac:dyDescent="0.3">
      <c r="A227" s="34">
        <v>218</v>
      </c>
      <c r="B227" s="97">
        <v>520</v>
      </c>
      <c r="C227" s="34">
        <v>6</v>
      </c>
      <c r="D227" s="39" t="s">
        <v>54</v>
      </c>
      <c r="E227" s="34">
        <v>1</v>
      </c>
      <c r="F227" s="34">
        <f t="shared" si="8"/>
        <v>3.3333333333333335</v>
      </c>
      <c r="G227" s="220">
        <f t="shared" si="9"/>
        <v>4.1025641025641031</v>
      </c>
    </row>
    <row r="228" spans="1:7" x14ac:dyDescent="0.3">
      <c r="A228" s="34">
        <v>219</v>
      </c>
      <c r="B228" s="97">
        <v>842</v>
      </c>
      <c r="C228" s="34">
        <v>21</v>
      </c>
      <c r="D228" s="39" t="s">
        <v>54</v>
      </c>
      <c r="E228" s="34">
        <v>1</v>
      </c>
      <c r="F228" s="34">
        <f t="shared" si="8"/>
        <v>3.3333333333333335</v>
      </c>
      <c r="G228" s="220">
        <f t="shared" si="9"/>
        <v>4.1025641025641031</v>
      </c>
    </row>
    <row r="229" spans="1:7" x14ac:dyDescent="0.3">
      <c r="A229" s="34">
        <v>220</v>
      </c>
      <c r="B229" s="97">
        <v>282</v>
      </c>
      <c r="C229" s="34">
        <v>12</v>
      </c>
      <c r="D229" s="39" t="s">
        <v>54</v>
      </c>
      <c r="E229" s="34">
        <v>1</v>
      </c>
      <c r="F229" s="34">
        <f t="shared" si="8"/>
        <v>3.3333333333333335</v>
      </c>
      <c r="G229" s="220">
        <f t="shared" si="9"/>
        <v>4.1025641025641031</v>
      </c>
    </row>
    <row r="230" spans="1:7" x14ac:dyDescent="0.3">
      <c r="A230" s="34">
        <v>221</v>
      </c>
      <c r="B230" s="97">
        <v>680</v>
      </c>
      <c r="C230" s="34">
        <v>18</v>
      </c>
      <c r="D230" s="39" t="s">
        <v>56</v>
      </c>
      <c r="E230" s="34">
        <v>1</v>
      </c>
      <c r="F230" s="34">
        <f t="shared" si="8"/>
        <v>3.3333333333333335</v>
      </c>
      <c r="G230" s="220">
        <f t="shared" si="9"/>
        <v>3.9393939393939394</v>
      </c>
    </row>
    <row r="231" spans="1:7" x14ac:dyDescent="0.3">
      <c r="A231" s="34">
        <v>222</v>
      </c>
      <c r="B231" s="97">
        <v>348</v>
      </c>
      <c r="C231" s="34">
        <v>24</v>
      </c>
      <c r="D231" s="39" t="s">
        <v>56</v>
      </c>
      <c r="E231" s="34">
        <v>1</v>
      </c>
      <c r="F231" s="34">
        <f t="shared" si="8"/>
        <v>3.3333333333333335</v>
      </c>
      <c r="G231" s="220">
        <f t="shared" si="9"/>
        <v>3.9393939393939394</v>
      </c>
    </row>
    <row r="232" spans="1:7" x14ac:dyDescent="0.3">
      <c r="A232" s="34">
        <v>223</v>
      </c>
      <c r="B232" s="97">
        <v>752</v>
      </c>
      <c r="C232" s="34">
        <v>18</v>
      </c>
      <c r="D232" s="39" t="s">
        <v>57</v>
      </c>
      <c r="E232" s="34">
        <v>1</v>
      </c>
      <c r="F232" s="34">
        <f t="shared" si="8"/>
        <v>3.3333333333333335</v>
      </c>
      <c r="G232" s="220">
        <f t="shared" si="9"/>
        <v>3.870967741935484</v>
      </c>
    </row>
    <row r="233" spans="1:7" x14ac:dyDescent="0.3">
      <c r="A233" s="34">
        <v>224</v>
      </c>
      <c r="B233" s="97">
        <v>746</v>
      </c>
      <c r="C233" s="34">
        <v>13</v>
      </c>
      <c r="D233" s="39" t="s">
        <v>54</v>
      </c>
      <c r="E233" s="34">
        <v>1</v>
      </c>
      <c r="F233" s="34">
        <f t="shared" si="8"/>
        <v>3.3333333333333335</v>
      </c>
      <c r="G233" s="220">
        <f t="shared" si="9"/>
        <v>4.1025641025641031</v>
      </c>
    </row>
    <row r="234" spans="1:7" x14ac:dyDescent="0.3">
      <c r="A234" s="34">
        <v>225</v>
      </c>
      <c r="B234" s="97">
        <v>510</v>
      </c>
      <c r="C234" s="34">
        <v>39</v>
      </c>
      <c r="D234" s="39" t="s">
        <v>54</v>
      </c>
      <c r="E234" s="34">
        <v>1</v>
      </c>
      <c r="F234" s="34">
        <f t="shared" si="8"/>
        <v>3.3333333333333335</v>
      </c>
      <c r="G234" s="220">
        <f t="shared" si="9"/>
        <v>4.1025641025641031</v>
      </c>
    </row>
    <row r="235" spans="1:7" x14ac:dyDescent="0.3">
      <c r="A235" s="34">
        <v>226</v>
      </c>
      <c r="B235" s="97">
        <v>658</v>
      </c>
      <c r="C235" s="34">
        <v>48</v>
      </c>
      <c r="D235" s="39" t="s">
        <v>54</v>
      </c>
      <c r="E235" s="34">
        <v>1</v>
      </c>
      <c r="F235" s="34">
        <f t="shared" si="8"/>
        <v>3.3333333333333335</v>
      </c>
      <c r="G235" s="220">
        <f t="shared" si="9"/>
        <v>4.1025641025641031</v>
      </c>
    </row>
    <row r="236" spans="1:7" x14ac:dyDescent="0.3">
      <c r="A236" s="34">
        <v>227</v>
      </c>
      <c r="B236" s="97">
        <v>901</v>
      </c>
      <c r="C236" s="34">
        <v>16</v>
      </c>
      <c r="D236" s="39" t="s">
        <v>55</v>
      </c>
      <c r="E236" s="34">
        <v>1</v>
      </c>
      <c r="F236" s="34">
        <f t="shared" si="8"/>
        <v>3.3333333333333335</v>
      </c>
      <c r="G236" s="220">
        <f t="shared" si="9"/>
        <v>3.9007092198581566</v>
      </c>
    </row>
    <row r="237" spans="1:7" x14ac:dyDescent="0.3">
      <c r="A237" s="34">
        <v>228</v>
      </c>
      <c r="B237" s="97">
        <v>538</v>
      </c>
      <c r="C237" s="34">
        <v>18</v>
      </c>
      <c r="D237" s="39" t="s">
        <v>56</v>
      </c>
      <c r="E237" s="34">
        <v>1</v>
      </c>
      <c r="F237" s="34">
        <f t="shared" si="8"/>
        <v>3.3333333333333335</v>
      </c>
      <c r="G237" s="220">
        <f t="shared" si="9"/>
        <v>3.9393939393939394</v>
      </c>
    </row>
    <row r="238" spans="1:7" x14ac:dyDescent="0.3">
      <c r="A238" s="34">
        <v>229</v>
      </c>
      <c r="B238" s="97">
        <v>86</v>
      </c>
      <c r="C238" s="34">
        <v>12</v>
      </c>
      <c r="D238" s="39" t="s">
        <v>56</v>
      </c>
      <c r="E238" s="34">
        <v>1</v>
      </c>
      <c r="F238" s="34">
        <f t="shared" si="8"/>
        <v>3.3333333333333335</v>
      </c>
      <c r="G238" s="220">
        <f t="shared" si="9"/>
        <v>3.9393939393939394</v>
      </c>
    </row>
    <row r="239" spans="1:7" x14ac:dyDescent="0.3">
      <c r="A239" s="34">
        <v>230</v>
      </c>
      <c r="B239" s="97">
        <v>505</v>
      </c>
      <c r="C239" s="34">
        <v>24</v>
      </c>
      <c r="D239" s="39" t="s">
        <v>57</v>
      </c>
      <c r="E239" s="34">
        <v>1</v>
      </c>
      <c r="F239" s="34">
        <f t="shared" si="8"/>
        <v>3.3333333333333335</v>
      </c>
      <c r="G239" s="220">
        <f t="shared" si="9"/>
        <v>3.870967741935484</v>
      </c>
    </row>
    <row r="240" spans="1:7" x14ac:dyDescent="0.3">
      <c r="A240" s="34">
        <v>231</v>
      </c>
      <c r="B240" s="97">
        <v>468</v>
      </c>
      <c r="C240" s="34">
        <v>48</v>
      </c>
      <c r="D240" s="39" t="s">
        <v>54</v>
      </c>
      <c r="E240" s="34">
        <v>1</v>
      </c>
      <c r="F240" s="34">
        <f t="shared" si="8"/>
        <v>3.3333333333333335</v>
      </c>
      <c r="G240" s="220">
        <f t="shared" si="9"/>
        <v>4.1025641025641031</v>
      </c>
    </row>
    <row r="241" spans="1:7" x14ac:dyDescent="0.3">
      <c r="A241" s="34">
        <v>232</v>
      </c>
      <c r="B241" s="97">
        <v>480</v>
      </c>
      <c r="C241" s="34">
        <v>15</v>
      </c>
      <c r="D241" s="39" t="s">
        <v>54</v>
      </c>
      <c r="E241" s="34">
        <v>1</v>
      </c>
      <c r="F241" s="34">
        <f t="shared" si="8"/>
        <v>3.3333333333333335</v>
      </c>
      <c r="G241" s="220">
        <f t="shared" si="9"/>
        <v>4.1025641025641031</v>
      </c>
    </row>
    <row r="242" spans="1:7" x14ac:dyDescent="0.3">
      <c r="A242" s="34">
        <v>233</v>
      </c>
      <c r="B242" s="97">
        <v>701</v>
      </c>
      <c r="C242" s="34">
        <v>12</v>
      </c>
      <c r="D242" s="39" t="s">
        <v>57</v>
      </c>
      <c r="E242" s="34">
        <v>1</v>
      </c>
      <c r="F242" s="34">
        <f t="shared" si="8"/>
        <v>3.3333333333333335</v>
      </c>
      <c r="G242" s="220">
        <f t="shared" si="9"/>
        <v>3.870967741935484</v>
      </c>
    </row>
    <row r="243" spans="1:7" x14ac:dyDescent="0.3">
      <c r="A243" s="34">
        <v>234</v>
      </c>
      <c r="B243" s="97">
        <v>367</v>
      </c>
      <c r="C243" s="34">
        <v>18</v>
      </c>
      <c r="D243" s="39" t="s">
        <v>54</v>
      </c>
      <c r="E243" s="34">
        <v>1</v>
      </c>
      <c r="F243" s="34">
        <f t="shared" si="8"/>
        <v>3.3333333333333335</v>
      </c>
      <c r="G243" s="220">
        <f t="shared" si="9"/>
        <v>4.1025641025641031</v>
      </c>
    </row>
    <row r="244" spans="1:7" x14ac:dyDescent="0.3">
      <c r="A244" s="34">
        <v>235</v>
      </c>
      <c r="B244" s="97">
        <v>924</v>
      </c>
      <c r="C244" s="34">
        <v>12</v>
      </c>
      <c r="D244" s="39" t="s">
        <v>54</v>
      </c>
      <c r="E244" s="34">
        <v>1</v>
      </c>
      <c r="F244" s="34">
        <f t="shared" si="8"/>
        <v>3.3333333333333335</v>
      </c>
      <c r="G244" s="220">
        <f t="shared" si="9"/>
        <v>4.1025641025641031</v>
      </c>
    </row>
    <row r="245" spans="1:7" x14ac:dyDescent="0.3">
      <c r="A245" s="34">
        <v>236</v>
      </c>
      <c r="B245" s="97">
        <v>241</v>
      </c>
      <c r="C245" s="34">
        <v>24</v>
      </c>
      <c r="D245" s="39" t="s">
        <v>57</v>
      </c>
      <c r="E245" s="34">
        <v>1</v>
      </c>
      <c r="F245" s="34">
        <f t="shared" si="8"/>
        <v>3.3333333333333335</v>
      </c>
      <c r="G245" s="220">
        <f t="shared" si="9"/>
        <v>3.870967741935484</v>
      </c>
    </row>
    <row r="246" spans="1:7" x14ac:dyDescent="0.3">
      <c r="A246" s="34">
        <v>237</v>
      </c>
      <c r="B246" s="97">
        <v>498</v>
      </c>
      <c r="C246" s="34">
        <v>24</v>
      </c>
      <c r="D246" s="39" t="s">
        <v>54</v>
      </c>
      <c r="E246" s="34">
        <v>1</v>
      </c>
      <c r="F246" s="34">
        <f t="shared" si="8"/>
        <v>3.3333333333333335</v>
      </c>
      <c r="G246" s="220">
        <f t="shared" si="9"/>
        <v>4.1025641025641031</v>
      </c>
    </row>
    <row r="247" spans="1:7" x14ac:dyDescent="0.3">
      <c r="A247" s="34">
        <v>238</v>
      </c>
      <c r="B247" s="97">
        <v>578</v>
      </c>
      <c r="C247" s="34">
        <v>24</v>
      </c>
      <c r="D247" s="39" t="s">
        <v>56</v>
      </c>
      <c r="E247" s="34">
        <v>1</v>
      </c>
      <c r="F247" s="34">
        <f t="shared" si="8"/>
        <v>3.3333333333333335</v>
      </c>
      <c r="G247" s="220">
        <f t="shared" si="9"/>
        <v>3.9393939393939394</v>
      </c>
    </row>
    <row r="248" spans="1:7" x14ac:dyDescent="0.3">
      <c r="A248" s="34">
        <v>239</v>
      </c>
      <c r="B248" s="97">
        <v>534</v>
      </c>
      <c r="C248" s="34">
        <v>24</v>
      </c>
      <c r="D248" s="39" t="s">
        <v>54</v>
      </c>
      <c r="E248" s="34">
        <v>1</v>
      </c>
      <c r="F248" s="34">
        <f t="shared" si="8"/>
        <v>3.3333333333333335</v>
      </c>
      <c r="G248" s="220">
        <f t="shared" si="9"/>
        <v>4.1025641025641031</v>
      </c>
    </row>
    <row r="249" spans="1:7" x14ac:dyDescent="0.3">
      <c r="A249" s="34">
        <v>240</v>
      </c>
      <c r="B249" s="97">
        <v>943</v>
      </c>
      <c r="C249" s="34">
        <v>24</v>
      </c>
      <c r="D249" s="39" t="s">
        <v>54</v>
      </c>
      <c r="E249" s="34">
        <v>1</v>
      </c>
      <c r="F249" s="34">
        <f t="shared" si="8"/>
        <v>3.3333333333333335</v>
      </c>
      <c r="G249" s="220">
        <f t="shared" si="9"/>
        <v>4.1025641025641031</v>
      </c>
    </row>
    <row r="250" spans="1:7" x14ac:dyDescent="0.3">
      <c r="A250" s="34">
        <v>241</v>
      </c>
      <c r="B250" s="97">
        <v>635</v>
      </c>
      <c r="C250" s="34">
        <v>24</v>
      </c>
      <c r="D250" s="39" t="s">
        <v>57</v>
      </c>
      <c r="E250" s="34">
        <v>1</v>
      </c>
      <c r="F250" s="34">
        <f t="shared" si="8"/>
        <v>3.3333333333333335</v>
      </c>
      <c r="G250" s="220">
        <f t="shared" si="9"/>
        <v>3.870967741935484</v>
      </c>
    </row>
    <row r="251" spans="1:7" x14ac:dyDescent="0.3">
      <c r="A251" s="34">
        <v>242</v>
      </c>
      <c r="B251" s="97">
        <v>634</v>
      </c>
      <c r="C251" s="34">
        <v>9</v>
      </c>
      <c r="D251" s="39" t="s">
        <v>57</v>
      </c>
      <c r="E251" s="34">
        <v>1</v>
      </c>
      <c r="F251" s="34">
        <f t="shared" si="8"/>
        <v>3.3333333333333335</v>
      </c>
      <c r="G251" s="220">
        <f t="shared" si="9"/>
        <v>3.870967741935484</v>
      </c>
    </row>
    <row r="252" spans="1:7" x14ac:dyDescent="0.3">
      <c r="A252" s="34">
        <v>243</v>
      </c>
      <c r="B252" s="97">
        <v>517</v>
      </c>
      <c r="C252" s="34">
        <v>6</v>
      </c>
      <c r="D252" s="39" t="s">
        <v>54</v>
      </c>
      <c r="E252" s="34">
        <v>1</v>
      </c>
      <c r="F252" s="34">
        <f t="shared" si="8"/>
        <v>3.3333333333333335</v>
      </c>
      <c r="G252" s="220">
        <f t="shared" si="9"/>
        <v>4.1025641025641031</v>
      </c>
    </row>
    <row r="253" spans="1:7" x14ac:dyDescent="0.3">
      <c r="A253" s="34">
        <v>244</v>
      </c>
      <c r="B253" s="97">
        <v>766</v>
      </c>
      <c r="C253" s="34">
        <v>12</v>
      </c>
      <c r="D253" s="39" t="s">
        <v>54</v>
      </c>
      <c r="E253" s="34">
        <v>1</v>
      </c>
      <c r="F253" s="34">
        <f t="shared" si="8"/>
        <v>3.3333333333333335</v>
      </c>
      <c r="G253" s="220">
        <f t="shared" si="9"/>
        <v>4.1025641025641031</v>
      </c>
    </row>
    <row r="254" spans="1:7" x14ac:dyDescent="0.3">
      <c r="A254" s="34">
        <v>245</v>
      </c>
      <c r="B254" s="97">
        <v>712</v>
      </c>
      <c r="C254" s="34">
        <v>6</v>
      </c>
      <c r="D254" s="39" t="s">
        <v>57</v>
      </c>
      <c r="E254" s="34">
        <v>1</v>
      </c>
      <c r="F254" s="34">
        <f t="shared" si="8"/>
        <v>3.3333333333333335</v>
      </c>
      <c r="G254" s="220">
        <f t="shared" si="9"/>
        <v>3.870967741935484</v>
      </c>
    </row>
    <row r="255" spans="1:7" x14ac:dyDescent="0.3">
      <c r="A255" s="34">
        <v>246</v>
      </c>
      <c r="B255" s="97">
        <v>148</v>
      </c>
      <c r="C255" s="34">
        <v>12</v>
      </c>
      <c r="D255" s="39" t="s">
        <v>56</v>
      </c>
      <c r="E255" s="34">
        <v>1</v>
      </c>
      <c r="F255" s="34">
        <f t="shared" si="8"/>
        <v>3.3333333333333335</v>
      </c>
      <c r="G255" s="220">
        <f t="shared" si="9"/>
        <v>3.9393939393939394</v>
      </c>
    </row>
    <row r="256" spans="1:7" x14ac:dyDescent="0.3">
      <c r="A256" s="34">
        <v>247</v>
      </c>
      <c r="B256" s="97">
        <v>374</v>
      </c>
      <c r="C256" s="34">
        <v>60</v>
      </c>
      <c r="D256" s="39" t="s">
        <v>54</v>
      </c>
      <c r="E256" s="34">
        <v>1</v>
      </c>
      <c r="F256" s="34">
        <f t="shared" si="8"/>
        <v>3.3333333333333335</v>
      </c>
      <c r="G256" s="220">
        <f t="shared" si="9"/>
        <v>4.1025641025641031</v>
      </c>
    </row>
    <row r="257" spans="1:7" x14ac:dyDescent="0.3">
      <c r="A257" s="34">
        <v>248</v>
      </c>
      <c r="B257" s="97">
        <v>603</v>
      </c>
      <c r="C257" s="34">
        <v>24</v>
      </c>
      <c r="D257" s="39" t="s">
        <v>57</v>
      </c>
      <c r="E257" s="34">
        <v>1</v>
      </c>
      <c r="F257" s="34">
        <f t="shared" si="8"/>
        <v>3.3333333333333335</v>
      </c>
      <c r="G257" s="220">
        <f t="shared" si="9"/>
        <v>3.870967741935484</v>
      </c>
    </row>
    <row r="258" spans="1:7" x14ac:dyDescent="0.3">
      <c r="A258" s="34">
        <v>249</v>
      </c>
      <c r="B258" s="97">
        <v>306</v>
      </c>
      <c r="C258" s="34">
        <v>6</v>
      </c>
      <c r="D258" s="39" t="s">
        <v>54</v>
      </c>
      <c r="E258" s="34">
        <v>1</v>
      </c>
      <c r="F258" s="34">
        <f t="shared" si="8"/>
        <v>3.3333333333333335</v>
      </c>
      <c r="G258" s="220">
        <f t="shared" si="9"/>
        <v>4.1025641025641031</v>
      </c>
    </row>
    <row r="259" spans="1:7" x14ac:dyDescent="0.3">
      <c r="A259" s="34">
        <v>250</v>
      </c>
      <c r="B259" s="97">
        <v>470</v>
      </c>
      <c r="C259" s="34">
        <v>24</v>
      </c>
      <c r="D259" s="39" t="s">
        <v>54</v>
      </c>
      <c r="E259" s="34">
        <v>1</v>
      </c>
      <c r="F259" s="34">
        <f t="shared" si="8"/>
        <v>3.3333333333333335</v>
      </c>
      <c r="G259" s="220">
        <f t="shared" si="9"/>
        <v>4.1025641025641031</v>
      </c>
    </row>
    <row r="260" spans="1:7" x14ac:dyDescent="0.3">
      <c r="A260" s="34">
        <v>251</v>
      </c>
      <c r="B260" s="97">
        <v>721</v>
      </c>
      <c r="C260" s="34">
        <v>9</v>
      </c>
      <c r="D260" s="39" t="s">
        <v>55</v>
      </c>
      <c r="E260" s="34">
        <v>1</v>
      </c>
      <c r="F260" s="34">
        <f t="shared" si="8"/>
        <v>3.3333333333333335</v>
      </c>
      <c r="G260" s="220">
        <f t="shared" si="9"/>
        <v>3.9007092198581566</v>
      </c>
    </row>
    <row r="261" spans="1:7" x14ac:dyDescent="0.3">
      <c r="A261" s="34">
        <v>252</v>
      </c>
      <c r="B261" s="97">
        <v>175</v>
      </c>
      <c r="C261" s="34">
        <v>21</v>
      </c>
      <c r="D261" s="39" t="s">
        <v>55</v>
      </c>
      <c r="E261" s="34">
        <v>1</v>
      </c>
      <c r="F261" s="34">
        <f t="shared" si="8"/>
        <v>3.3333333333333335</v>
      </c>
      <c r="G261" s="220">
        <f t="shared" si="9"/>
        <v>3.9007092198581566</v>
      </c>
    </row>
    <row r="262" spans="1:7" x14ac:dyDescent="0.3">
      <c r="A262" s="34">
        <v>253</v>
      </c>
      <c r="B262" s="97">
        <v>84</v>
      </c>
      <c r="C262" s="34">
        <v>24</v>
      </c>
      <c r="D262" s="39" t="s">
        <v>56</v>
      </c>
      <c r="E262" s="34">
        <v>1</v>
      </c>
      <c r="F262" s="34">
        <f t="shared" si="8"/>
        <v>3.3333333333333335</v>
      </c>
      <c r="G262" s="220">
        <f t="shared" si="9"/>
        <v>3.9393939393939394</v>
      </c>
    </row>
    <row r="263" spans="1:7" x14ac:dyDescent="0.3">
      <c r="A263" s="34">
        <v>254</v>
      </c>
      <c r="B263" s="97">
        <v>237</v>
      </c>
      <c r="C263" s="34">
        <v>6</v>
      </c>
      <c r="D263" s="39" t="s">
        <v>55</v>
      </c>
      <c r="E263" s="34">
        <v>1</v>
      </c>
      <c r="F263" s="34">
        <f t="shared" si="8"/>
        <v>3.3333333333333335</v>
      </c>
      <c r="G263" s="220">
        <f t="shared" si="9"/>
        <v>3.9007092198581566</v>
      </c>
    </row>
    <row r="264" spans="1:7" x14ac:dyDescent="0.3">
      <c r="A264" s="34">
        <v>255</v>
      </c>
      <c r="B264" s="97">
        <v>533</v>
      </c>
      <c r="C264" s="34">
        <v>12</v>
      </c>
      <c r="D264" s="39" t="s">
        <v>54</v>
      </c>
      <c r="E264" s="34">
        <v>1</v>
      </c>
      <c r="F264" s="34">
        <f t="shared" si="8"/>
        <v>3.3333333333333335</v>
      </c>
      <c r="G264" s="220">
        <f t="shared" si="9"/>
        <v>4.1025641025641031</v>
      </c>
    </row>
    <row r="265" spans="1:7" x14ac:dyDescent="0.3">
      <c r="A265" s="34">
        <v>256</v>
      </c>
      <c r="B265" s="97">
        <v>138</v>
      </c>
      <c r="C265" s="34">
        <v>12</v>
      </c>
      <c r="D265" s="39" t="s">
        <v>55</v>
      </c>
      <c r="E265" s="34">
        <v>1</v>
      </c>
      <c r="F265" s="34">
        <f t="shared" si="8"/>
        <v>3.3333333333333335</v>
      </c>
      <c r="G265" s="220">
        <f t="shared" si="9"/>
        <v>3.9007092198581566</v>
      </c>
    </row>
    <row r="266" spans="1:7" x14ac:dyDescent="0.3">
      <c r="A266" s="34">
        <v>257</v>
      </c>
      <c r="B266" s="97">
        <v>502</v>
      </c>
      <c r="C266" s="34">
        <v>36</v>
      </c>
      <c r="D266" s="39" t="s">
        <v>54</v>
      </c>
      <c r="E266" s="34">
        <v>1</v>
      </c>
      <c r="F266" s="34">
        <f t="shared" ref="F266:F309" si="10">$J$13</f>
        <v>3.3333333333333335</v>
      </c>
      <c r="G266" s="220">
        <f t="shared" si="9"/>
        <v>4.1025641025641031</v>
      </c>
    </row>
    <row r="267" spans="1:7" x14ac:dyDescent="0.3">
      <c r="A267" s="34">
        <v>258</v>
      </c>
      <c r="B267" s="97">
        <v>814</v>
      </c>
      <c r="C267" s="34">
        <v>48</v>
      </c>
      <c r="D267" s="39" t="s">
        <v>55</v>
      </c>
      <c r="E267" s="34">
        <v>1</v>
      </c>
      <c r="F267" s="34">
        <f t="shared" si="10"/>
        <v>3.3333333333333335</v>
      </c>
      <c r="G267" s="220">
        <f t="shared" ref="G267:G309" si="11">VLOOKUP(D267,$I$21:$M$24,5,FALSE)</f>
        <v>3.9007092198581566</v>
      </c>
    </row>
    <row r="268" spans="1:7" x14ac:dyDescent="0.3">
      <c r="A268" s="34">
        <v>259</v>
      </c>
      <c r="B268" s="97">
        <v>147</v>
      </c>
      <c r="C268" s="34">
        <v>6</v>
      </c>
      <c r="D268" s="39" t="s">
        <v>56</v>
      </c>
      <c r="E268" s="34">
        <v>1</v>
      </c>
      <c r="F268" s="34">
        <f t="shared" si="10"/>
        <v>3.3333333333333335</v>
      </c>
      <c r="G268" s="220">
        <f t="shared" si="11"/>
        <v>3.9393939393939394</v>
      </c>
    </row>
    <row r="269" spans="1:7" x14ac:dyDescent="0.3">
      <c r="A269" s="34">
        <v>260</v>
      </c>
      <c r="B269" s="97">
        <v>547</v>
      </c>
      <c r="C269" s="34">
        <v>24</v>
      </c>
      <c r="D269" s="39" t="s">
        <v>56</v>
      </c>
      <c r="E269" s="34">
        <v>1</v>
      </c>
      <c r="F269" s="34">
        <f t="shared" si="10"/>
        <v>3.3333333333333335</v>
      </c>
      <c r="G269" s="220">
        <f t="shared" si="11"/>
        <v>3.9393939393939394</v>
      </c>
    </row>
    <row r="270" spans="1:7" x14ac:dyDescent="0.3">
      <c r="A270" s="34">
        <v>261</v>
      </c>
      <c r="B270" s="97">
        <v>871</v>
      </c>
      <c r="C270" s="34">
        <v>36</v>
      </c>
      <c r="D270" s="39" t="s">
        <v>56</v>
      </c>
      <c r="E270" s="34">
        <v>1</v>
      </c>
      <c r="F270" s="34">
        <f t="shared" si="10"/>
        <v>3.3333333333333335</v>
      </c>
      <c r="G270" s="220">
        <f t="shared" si="11"/>
        <v>3.9393939393939394</v>
      </c>
    </row>
    <row r="271" spans="1:7" x14ac:dyDescent="0.3">
      <c r="A271" s="34">
        <v>262</v>
      </c>
      <c r="B271" s="97">
        <v>756</v>
      </c>
      <c r="C271" s="34">
        <v>24</v>
      </c>
      <c r="D271" s="39" t="s">
        <v>57</v>
      </c>
      <c r="E271" s="34">
        <v>1</v>
      </c>
      <c r="F271" s="34">
        <f t="shared" si="10"/>
        <v>3.3333333333333335</v>
      </c>
      <c r="G271" s="220">
        <f t="shared" si="11"/>
        <v>3.870967741935484</v>
      </c>
    </row>
    <row r="272" spans="1:7" x14ac:dyDescent="0.3">
      <c r="A272" s="34">
        <v>263</v>
      </c>
      <c r="B272" s="97">
        <v>229</v>
      </c>
      <c r="C272" s="34">
        <v>9</v>
      </c>
      <c r="D272" s="39" t="s">
        <v>55</v>
      </c>
      <c r="E272" s="34">
        <v>1</v>
      </c>
      <c r="F272" s="34">
        <f t="shared" si="10"/>
        <v>3.3333333333333335</v>
      </c>
      <c r="G272" s="220">
        <f t="shared" si="11"/>
        <v>3.9007092198581566</v>
      </c>
    </row>
    <row r="273" spans="1:7" x14ac:dyDescent="0.3">
      <c r="A273" s="34">
        <v>264</v>
      </c>
      <c r="B273" s="97">
        <v>507</v>
      </c>
      <c r="C273" s="34">
        <v>15</v>
      </c>
      <c r="D273" s="39" t="s">
        <v>54</v>
      </c>
      <c r="E273" s="34">
        <v>1</v>
      </c>
      <c r="F273" s="34">
        <f t="shared" si="10"/>
        <v>3.3333333333333335</v>
      </c>
      <c r="G273" s="220">
        <f t="shared" si="11"/>
        <v>4.1025641025641031</v>
      </c>
    </row>
    <row r="274" spans="1:7" x14ac:dyDescent="0.3">
      <c r="A274" s="34">
        <v>265</v>
      </c>
      <c r="B274" s="97">
        <v>404</v>
      </c>
      <c r="C274" s="34">
        <v>14</v>
      </c>
      <c r="D274" s="39" t="s">
        <v>54</v>
      </c>
      <c r="E274" s="34">
        <v>1</v>
      </c>
      <c r="F274" s="34">
        <f t="shared" si="10"/>
        <v>3.3333333333333335</v>
      </c>
      <c r="G274" s="220">
        <f t="shared" si="11"/>
        <v>4.1025641025641031</v>
      </c>
    </row>
    <row r="275" spans="1:7" x14ac:dyDescent="0.3">
      <c r="A275" s="34">
        <v>266</v>
      </c>
      <c r="B275" s="97">
        <v>127</v>
      </c>
      <c r="C275" s="34">
        <v>12</v>
      </c>
      <c r="D275" s="39" t="s">
        <v>54</v>
      </c>
      <c r="E275" s="34">
        <v>1</v>
      </c>
      <c r="F275" s="34">
        <f t="shared" si="10"/>
        <v>3.3333333333333335</v>
      </c>
      <c r="G275" s="220">
        <f t="shared" si="11"/>
        <v>4.1025641025641031</v>
      </c>
    </row>
    <row r="276" spans="1:7" x14ac:dyDescent="0.3">
      <c r="A276" s="34">
        <v>267</v>
      </c>
      <c r="B276" s="97">
        <v>16</v>
      </c>
      <c r="C276" s="34">
        <v>24</v>
      </c>
      <c r="D276" s="39" t="s">
        <v>57</v>
      </c>
      <c r="E276" s="34">
        <v>1</v>
      </c>
      <c r="F276" s="34">
        <f t="shared" si="10"/>
        <v>3.3333333333333335</v>
      </c>
      <c r="G276" s="220">
        <f t="shared" si="11"/>
        <v>3.870967741935484</v>
      </c>
    </row>
    <row r="277" spans="1:7" x14ac:dyDescent="0.3">
      <c r="A277" s="34">
        <v>268</v>
      </c>
      <c r="B277" s="97">
        <v>164</v>
      </c>
      <c r="C277" s="34">
        <v>10</v>
      </c>
      <c r="D277" s="39" t="s">
        <v>54</v>
      </c>
      <c r="E277" s="34">
        <v>1</v>
      </c>
      <c r="F277" s="34">
        <f t="shared" si="10"/>
        <v>3.3333333333333335</v>
      </c>
      <c r="G277" s="220">
        <f t="shared" si="11"/>
        <v>4.1025641025641031</v>
      </c>
    </row>
    <row r="278" spans="1:7" x14ac:dyDescent="0.3">
      <c r="A278" s="34">
        <v>269</v>
      </c>
      <c r="B278" s="97">
        <v>370</v>
      </c>
      <c r="C278" s="34">
        <v>18</v>
      </c>
      <c r="D278" s="39" t="s">
        <v>56</v>
      </c>
      <c r="E278" s="34">
        <v>1</v>
      </c>
      <c r="F278" s="34">
        <f t="shared" si="10"/>
        <v>3.3333333333333335</v>
      </c>
      <c r="G278" s="220">
        <f t="shared" si="11"/>
        <v>3.9393939393939394</v>
      </c>
    </row>
    <row r="279" spans="1:7" x14ac:dyDescent="0.3">
      <c r="A279" s="34">
        <v>270</v>
      </c>
      <c r="B279" s="97">
        <v>583</v>
      </c>
      <c r="C279" s="34">
        <v>9</v>
      </c>
      <c r="D279" s="39" t="s">
        <v>56</v>
      </c>
      <c r="E279" s="34">
        <v>1</v>
      </c>
      <c r="F279" s="34">
        <f t="shared" si="10"/>
        <v>3.3333333333333335</v>
      </c>
      <c r="G279" s="220">
        <f t="shared" si="11"/>
        <v>3.9393939393939394</v>
      </c>
    </row>
    <row r="280" spans="1:7" x14ac:dyDescent="0.3">
      <c r="A280" s="34">
        <v>271</v>
      </c>
      <c r="B280" s="97">
        <v>70</v>
      </c>
      <c r="C280" s="34">
        <v>36</v>
      </c>
      <c r="D280" s="39" t="s">
        <v>56</v>
      </c>
      <c r="E280" s="34">
        <v>1</v>
      </c>
      <c r="F280" s="34">
        <f t="shared" si="10"/>
        <v>3.3333333333333335</v>
      </c>
      <c r="G280" s="220">
        <f t="shared" si="11"/>
        <v>3.9393939393939394</v>
      </c>
    </row>
    <row r="281" spans="1:7" x14ac:dyDescent="0.3">
      <c r="A281" s="34">
        <v>272</v>
      </c>
      <c r="B281" s="97">
        <v>806</v>
      </c>
      <c r="C281" s="34">
        <v>36</v>
      </c>
      <c r="D281" s="39" t="s">
        <v>55</v>
      </c>
      <c r="E281" s="34">
        <v>1</v>
      </c>
      <c r="F281" s="34">
        <f t="shared" si="10"/>
        <v>3.3333333333333335</v>
      </c>
      <c r="G281" s="220">
        <f t="shared" si="11"/>
        <v>3.9007092198581566</v>
      </c>
    </row>
    <row r="282" spans="1:7" x14ac:dyDescent="0.3">
      <c r="A282" s="34">
        <v>273</v>
      </c>
      <c r="B282" s="97">
        <v>354</v>
      </c>
      <c r="C282" s="34">
        <v>12</v>
      </c>
      <c r="D282" s="39" t="s">
        <v>55</v>
      </c>
      <c r="E282" s="34">
        <v>1</v>
      </c>
      <c r="F282" s="34">
        <f t="shared" si="10"/>
        <v>3.3333333333333335</v>
      </c>
      <c r="G282" s="220">
        <f t="shared" si="11"/>
        <v>3.9007092198581566</v>
      </c>
    </row>
    <row r="283" spans="1:7" x14ac:dyDescent="0.3">
      <c r="A283" s="34">
        <v>274</v>
      </c>
      <c r="B283" s="97">
        <v>513</v>
      </c>
      <c r="C283" s="34">
        <v>15</v>
      </c>
      <c r="D283" s="39" t="s">
        <v>54</v>
      </c>
      <c r="E283" s="34">
        <v>1</v>
      </c>
      <c r="F283" s="34">
        <f t="shared" si="10"/>
        <v>3.3333333333333335</v>
      </c>
      <c r="G283" s="220">
        <f t="shared" si="11"/>
        <v>4.1025641025641031</v>
      </c>
    </row>
    <row r="284" spans="1:7" x14ac:dyDescent="0.3">
      <c r="A284" s="34">
        <v>275</v>
      </c>
      <c r="B284" s="97">
        <v>748</v>
      </c>
      <c r="C284" s="34">
        <v>12</v>
      </c>
      <c r="D284" s="39" t="s">
        <v>57</v>
      </c>
      <c r="E284" s="34">
        <v>1</v>
      </c>
      <c r="F284" s="34">
        <f t="shared" si="10"/>
        <v>3.3333333333333335</v>
      </c>
      <c r="G284" s="220">
        <f t="shared" si="11"/>
        <v>3.870967741935484</v>
      </c>
    </row>
    <row r="285" spans="1:7" x14ac:dyDescent="0.3">
      <c r="A285" s="34">
        <v>276</v>
      </c>
      <c r="B285" s="97">
        <v>852</v>
      </c>
      <c r="C285" s="34">
        <v>24</v>
      </c>
      <c r="D285" s="39" t="s">
        <v>54</v>
      </c>
      <c r="E285" s="34">
        <v>1</v>
      </c>
      <c r="F285" s="34">
        <f t="shared" si="10"/>
        <v>3.3333333333333335</v>
      </c>
      <c r="G285" s="220">
        <f t="shared" si="11"/>
        <v>4.1025641025641031</v>
      </c>
    </row>
    <row r="286" spans="1:7" x14ac:dyDescent="0.3">
      <c r="A286" s="34">
        <v>277</v>
      </c>
      <c r="B286" s="97">
        <v>243</v>
      </c>
      <c r="C286" s="34">
        <v>48</v>
      </c>
      <c r="D286" s="39" t="s">
        <v>55</v>
      </c>
      <c r="E286" s="34">
        <v>1</v>
      </c>
      <c r="F286" s="34">
        <f t="shared" si="10"/>
        <v>3.3333333333333335</v>
      </c>
      <c r="G286" s="220">
        <f t="shared" si="11"/>
        <v>3.9007092198581566</v>
      </c>
    </row>
    <row r="287" spans="1:7" x14ac:dyDescent="0.3">
      <c r="A287" s="34">
        <v>278</v>
      </c>
      <c r="B287" s="97">
        <v>110</v>
      </c>
      <c r="C287" s="34">
        <v>14</v>
      </c>
      <c r="D287" s="39" t="s">
        <v>54</v>
      </c>
      <c r="E287" s="34">
        <v>1</v>
      </c>
      <c r="F287" s="34">
        <f t="shared" si="10"/>
        <v>3.3333333333333335</v>
      </c>
      <c r="G287" s="220">
        <f t="shared" si="11"/>
        <v>4.1025641025641031</v>
      </c>
    </row>
    <row r="288" spans="1:7" x14ac:dyDescent="0.3">
      <c r="A288" s="34">
        <v>279</v>
      </c>
      <c r="B288" s="97">
        <v>264</v>
      </c>
      <c r="C288" s="34">
        <v>12</v>
      </c>
      <c r="D288" s="39" t="s">
        <v>56</v>
      </c>
      <c r="E288" s="34">
        <v>1</v>
      </c>
      <c r="F288" s="34">
        <f t="shared" si="10"/>
        <v>3.3333333333333335</v>
      </c>
      <c r="G288" s="220">
        <f t="shared" si="11"/>
        <v>3.9393939393939394</v>
      </c>
    </row>
    <row r="289" spans="1:7" x14ac:dyDescent="0.3">
      <c r="A289" s="34">
        <v>280</v>
      </c>
      <c r="B289" s="97">
        <v>419</v>
      </c>
      <c r="C289" s="34">
        <v>21</v>
      </c>
      <c r="D289" s="39" t="s">
        <v>56</v>
      </c>
      <c r="E289" s="34">
        <v>1</v>
      </c>
      <c r="F289" s="34">
        <f t="shared" si="10"/>
        <v>3.3333333333333335</v>
      </c>
      <c r="G289" s="220">
        <f t="shared" si="11"/>
        <v>3.9393939393939394</v>
      </c>
    </row>
    <row r="290" spans="1:7" x14ac:dyDescent="0.3">
      <c r="A290" s="34">
        <v>281</v>
      </c>
      <c r="B290" s="97">
        <v>445</v>
      </c>
      <c r="C290" s="34">
        <v>48</v>
      </c>
      <c r="D290" s="39" t="s">
        <v>57</v>
      </c>
      <c r="E290" s="34">
        <v>1</v>
      </c>
      <c r="F290" s="34">
        <f t="shared" si="10"/>
        <v>3.3333333333333335</v>
      </c>
      <c r="G290" s="220">
        <f t="shared" si="11"/>
        <v>3.870967741935484</v>
      </c>
    </row>
    <row r="291" spans="1:7" x14ac:dyDescent="0.3">
      <c r="A291" s="34">
        <v>282</v>
      </c>
      <c r="B291" s="97">
        <v>527</v>
      </c>
      <c r="C291" s="34">
        <v>15</v>
      </c>
      <c r="D291" s="39" t="s">
        <v>56</v>
      </c>
      <c r="E291" s="34">
        <v>1</v>
      </c>
      <c r="F291" s="34">
        <f t="shared" si="10"/>
        <v>3.3333333333333335</v>
      </c>
      <c r="G291" s="220">
        <f t="shared" si="11"/>
        <v>3.9393939393939394</v>
      </c>
    </row>
    <row r="292" spans="1:7" x14ac:dyDescent="0.3">
      <c r="A292" s="34">
        <v>283</v>
      </c>
      <c r="B292" s="97">
        <v>250</v>
      </c>
      <c r="C292" s="34">
        <v>18</v>
      </c>
      <c r="D292" s="39" t="s">
        <v>57</v>
      </c>
      <c r="E292" s="34">
        <v>1</v>
      </c>
      <c r="F292" s="34">
        <f t="shared" si="10"/>
        <v>3.3333333333333335</v>
      </c>
      <c r="G292" s="220">
        <f t="shared" si="11"/>
        <v>3.870967741935484</v>
      </c>
    </row>
    <row r="293" spans="1:7" x14ac:dyDescent="0.3">
      <c r="A293" s="34">
        <v>284</v>
      </c>
      <c r="B293" s="97">
        <v>567</v>
      </c>
      <c r="C293" s="34">
        <v>12</v>
      </c>
      <c r="D293" s="39" t="s">
        <v>55</v>
      </c>
      <c r="E293" s="34">
        <v>1</v>
      </c>
      <c r="F293" s="34">
        <f t="shared" si="10"/>
        <v>3.3333333333333335</v>
      </c>
      <c r="G293" s="220">
        <f t="shared" si="11"/>
        <v>3.9007092198581566</v>
      </c>
    </row>
    <row r="294" spans="1:7" x14ac:dyDescent="0.3">
      <c r="A294" s="34">
        <v>285</v>
      </c>
      <c r="B294" s="97">
        <v>320</v>
      </c>
      <c r="C294" s="34">
        <v>15</v>
      </c>
      <c r="D294" s="39" t="s">
        <v>56</v>
      </c>
      <c r="E294" s="34">
        <v>1</v>
      </c>
      <c r="F294" s="34">
        <f t="shared" si="10"/>
        <v>3.3333333333333335</v>
      </c>
      <c r="G294" s="220">
        <f t="shared" si="11"/>
        <v>3.9393939393939394</v>
      </c>
    </row>
    <row r="295" spans="1:7" x14ac:dyDescent="0.3">
      <c r="A295" s="34">
        <v>286</v>
      </c>
      <c r="B295" s="97">
        <v>893</v>
      </c>
      <c r="C295" s="34">
        <v>12</v>
      </c>
      <c r="D295" s="39" t="s">
        <v>54</v>
      </c>
      <c r="E295" s="34">
        <v>1</v>
      </c>
      <c r="F295" s="34">
        <f t="shared" si="10"/>
        <v>3.3333333333333335</v>
      </c>
      <c r="G295" s="220">
        <f t="shared" si="11"/>
        <v>4.1025641025641031</v>
      </c>
    </row>
    <row r="296" spans="1:7" x14ac:dyDescent="0.3">
      <c r="A296" s="34">
        <v>287</v>
      </c>
      <c r="B296" s="97">
        <v>843</v>
      </c>
      <c r="C296" s="34">
        <v>18</v>
      </c>
      <c r="D296" s="39" t="s">
        <v>57</v>
      </c>
      <c r="E296" s="34">
        <v>1</v>
      </c>
      <c r="F296" s="34">
        <f t="shared" si="10"/>
        <v>3.3333333333333335</v>
      </c>
      <c r="G296" s="220">
        <f t="shared" si="11"/>
        <v>3.870967741935484</v>
      </c>
    </row>
    <row r="297" spans="1:7" x14ac:dyDescent="0.3">
      <c r="A297" s="34">
        <v>288</v>
      </c>
      <c r="B297" s="97">
        <v>639</v>
      </c>
      <c r="C297" s="34">
        <v>12</v>
      </c>
      <c r="D297" s="39" t="s">
        <v>56</v>
      </c>
      <c r="E297" s="34">
        <v>1</v>
      </c>
      <c r="F297" s="34">
        <f t="shared" si="10"/>
        <v>3.3333333333333335</v>
      </c>
      <c r="G297" s="220">
        <f t="shared" si="11"/>
        <v>3.9393939393939394</v>
      </c>
    </row>
    <row r="298" spans="1:7" x14ac:dyDescent="0.3">
      <c r="A298" s="34">
        <v>289</v>
      </c>
      <c r="B298" s="97">
        <v>376</v>
      </c>
      <c r="C298" s="34">
        <v>48</v>
      </c>
      <c r="D298" s="39" t="s">
        <v>57</v>
      </c>
      <c r="E298" s="34">
        <v>1</v>
      </c>
      <c r="F298" s="34">
        <f t="shared" si="10"/>
        <v>3.3333333333333335</v>
      </c>
      <c r="G298" s="220">
        <f t="shared" si="11"/>
        <v>3.870967741935484</v>
      </c>
    </row>
    <row r="299" spans="1:7" x14ac:dyDescent="0.3">
      <c r="A299" s="34">
        <v>290</v>
      </c>
      <c r="B299" s="97">
        <v>112</v>
      </c>
      <c r="C299" s="34">
        <v>15</v>
      </c>
      <c r="D299" s="39" t="s">
        <v>56</v>
      </c>
      <c r="E299" s="34">
        <v>1</v>
      </c>
      <c r="F299" s="34">
        <f t="shared" si="10"/>
        <v>3.3333333333333335</v>
      </c>
      <c r="G299" s="220">
        <f t="shared" si="11"/>
        <v>3.9393939393939394</v>
      </c>
    </row>
    <row r="300" spans="1:7" x14ac:dyDescent="0.3">
      <c r="A300" s="34">
        <v>291</v>
      </c>
      <c r="B300" s="97">
        <v>625</v>
      </c>
      <c r="C300" s="34">
        <v>18</v>
      </c>
      <c r="D300" s="39" t="s">
        <v>55</v>
      </c>
      <c r="E300" s="34">
        <v>1</v>
      </c>
      <c r="F300" s="34">
        <f t="shared" si="10"/>
        <v>3.3333333333333335</v>
      </c>
      <c r="G300" s="220">
        <f t="shared" si="11"/>
        <v>3.9007092198581566</v>
      </c>
    </row>
    <row r="301" spans="1:7" x14ac:dyDescent="0.3">
      <c r="A301" s="34">
        <v>292</v>
      </c>
      <c r="B301" s="97">
        <v>705</v>
      </c>
      <c r="C301" s="34">
        <v>27</v>
      </c>
      <c r="D301" s="39" t="s">
        <v>56</v>
      </c>
      <c r="E301" s="34">
        <v>1</v>
      </c>
      <c r="F301" s="34">
        <f t="shared" si="10"/>
        <v>3.3333333333333335</v>
      </c>
      <c r="G301" s="220">
        <f t="shared" si="11"/>
        <v>3.9393939393939394</v>
      </c>
    </row>
    <row r="302" spans="1:7" x14ac:dyDescent="0.3">
      <c r="A302" s="34">
        <v>293</v>
      </c>
      <c r="B302" s="97">
        <v>908</v>
      </c>
      <c r="C302" s="34">
        <v>36</v>
      </c>
      <c r="D302" s="39" t="s">
        <v>54</v>
      </c>
      <c r="E302" s="34">
        <v>1</v>
      </c>
      <c r="F302" s="34">
        <f t="shared" si="10"/>
        <v>3.3333333333333335</v>
      </c>
      <c r="G302" s="220">
        <f t="shared" si="11"/>
        <v>4.1025641025641031</v>
      </c>
    </row>
    <row r="303" spans="1:7" x14ac:dyDescent="0.3">
      <c r="A303" s="34">
        <v>294</v>
      </c>
      <c r="B303" s="97">
        <v>487</v>
      </c>
      <c r="C303" s="34">
        <v>12</v>
      </c>
      <c r="D303" s="39" t="s">
        <v>54</v>
      </c>
      <c r="E303" s="34">
        <v>1</v>
      </c>
      <c r="F303" s="34">
        <f t="shared" si="10"/>
        <v>3.3333333333333335</v>
      </c>
      <c r="G303" s="220">
        <f t="shared" si="11"/>
        <v>4.1025641025641031</v>
      </c>
    </row>
    <row r="304" spans="1:7" x14ac:dyDescent="0.3">
      <c r="A304" s="34">
        <v>295</v>
      </c>
      <c r="B304" s="97">
        <v>771</v>
      </c>
      <c r="C304" s="34">
        <v>24</v>
      </c>
      <c r="D304" s="39" t="s">
        <v>56</v>
      </c>
      <c r="E304" s="34">
        <v>1</v>
      </c>
      <c r="F304" s="34">
        <f t="shared" si="10"/>
        <v>3.3333333333333335</v>
      </c>
      <c r="G304" s="220">
        <f t="shared" si="11"/>
        <v>3.9393939393939394</v>
      </c>
    </row>
    <row r="305" spans="1:7" x14ac:dyDescent="0.3">
      <c r="A305" s="34">
        <v>296</v>
      </c>
      <c r="B305" s="97">
        <v>281</v>
      </c>
      <c r="C305" s="34">
        <v>15</v>
      </c>
      <c r="D305" s="39" t="s">
        <v>54</v>
      </c>
      <c r="E305" s="34">
        <v>1</v>
      </c>
      <c r="F305" s="34">
        <f t="shared" si="10"/>
        <v>3.3333333333333335</v>
      </c>
      <c r="G305" s="220">
        <f t="shared" si="11"/>
        <v>4.1025641025641031</v>
      </c>
    </row>
    <row r="306" spans="1:7" x14ac:dyDescent="0.3">
      <c r="A306" s="34">
        <v>297</v>
      </c>
      <c r="B306" s="97">
        <v>867</v>
      </c>
      <c r="C306" s="34">
        <v>18</v>
      </c>
      <c r="D306" s="39" t="s">
        <v>56</v>
      </c>
      <c r="E306" s="34">
        <v>1</v>
      </c>
      <c r="F306" s="34">
        <f t="shared" si="10"/>
        <v>3.3333333333333335</v>
      </c>
      <c r="G306" s="220">
        <f t="shared" si="11"/>
        <v>3.9393939393939394</v>
      </c>
    </row>
    <row r="307" spans="1:7" x14ac:dyDescent="0.3">
      <c r="A307" s="34">
        <v>298</v>
      </c>
      <c r="B307" s="97">
        <v>485</v>
      </c>
      <c r="C307" s="34">
        <v>12</v>
      </c>
      <c r="D307" s="39" t="s">
        <v>54</v>
      </c>
      <c r="E307" s="34">
        <v>1</v>
      </c>
      <c r="F307" s="34">
        <f t="shared" si="10"/>
        <v>3.3333333333333335</v>
      </c>
      <c r="G307" s="220">
        <f t="shared" si="11"/>
        <v>4.1025641025641031</v>
      </c>
    </row>
    <row r="308" spans="1:7" x14ac:dyDescent="0.3">
      <c r="A308" s="34">
        <v>299</v>
      </c>
      <c r="B308" s="97">
        <v>326</v>
      </c>
      <c r="C308" s="34">
        <v>8</v>
      </c>
      <c r="D308" s="39" t="s">
        <v>54</v>
      </c>
      <c r="E308" s="34">
        <v>1</v>
      </c>
      <c r="F308" s="34">
        <f t="shared" si="10"/>
        <v>3.3333333333333335</v>
      </c>
      <c r="G308" s="220">
        <f t="shared" si="11"/>
        <v>4.1025641025641031</v>
      </c>
    </row>
    <row r="309" spans="1:7" x14ac:dyDescent="0.3">
      <c r="A309" s="35">
        <v>300</v>
      </c>
      <c r="B309" s="98">
        <v>782</v>
      </c>
      <c r="C309" s="35">
        <v>24</v>
      </c>
      <c r="D309" s="40" t="s">
        <v>54</v>
      </c>
      <c r="E309" s="35">
        <v>1</v>
      </c>
      <c r="F309" s="35">
        <f t="shared" si="10"/>
        <v>3.3333333333333335</v>
      </c>
      <c r="G309" s="221">
        <f t="shared" si="11"/>
        <v>4.1025641025641031</v>
      </c>
    </row>
  </sheetData>
  <mergeCells count="2">
    <mergeCell ref="B3:L6"/>
    <mergeCell ref="B2:L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2116-AE9F-43F4-9A3D-EC654EA3A8F1}">
  <sheetPr>
    <tabColor theme="4" tint="0.59999389629810485"/>
  </sheetPr>
  <dimension ref="A1:L358"/>
  <sheetViews>
    <sheetView topLeftCell="A47" zoomScale="130" zoomScaleNormal="130" workbookViewId="0">
      <selection activeCell="Q58" sqref="Q58"/>
    </sheetView>
  </sheetViews>
  <sheetFormatPr defaultRowHeight="14.4" x14ac:dyDescent="0.3"/>
  <cols>
    <col min="1" max="1" width="12.5546875" customWidth="1"/>
    <col min="2" max="2" width="9.6640625" customWidth="1"/>
    <col min="3" max="3" width="11.109375" customWidth="1"/>
    <col min="4" max="5" width="12.6640625" bestFit="1" customWidth="1"/>
    <col min="6" max="6" width="10.5546875" customWidth="1"/>
    <col min="7" max="7" width="13.109375" customWidth="1"/>
    <col min="8" max="8" width="17.33203125" customWidth="1"/>
    <col min="9" max="9" width="11.44140625" customWidth="1"/>
    <col min="10" max="10" width="10.5546875" customWidth="1"/>
    <col min="11" max="11" width="9.88671875" bestFit="1" customWidth="1"/>
    <col min="12" max="12" width="10.5546875" customWidth="1"/>
    <col min="14" max="14" width="9.5546875" bestFit="1" customWidth="1"/>
  </cols>
  <sheetData>
    <row r="1" spans="2:12" ht="14.7" customHeight="1" thickBot="1" x14ac:dyDescent="0.35"/>
    <row r="2" spans="2:12" ht="14.7" customHeight="1" thickBot="1" x14ac:dyDescent="0.35">
      <c r="B2" s="342" t="s">
        <v>185</v>
      </c>
      <c r="C2" s="343"/>
      <c r="D2" s="343"/>
      <c r="E2" s="343"/>
      <c r="F2" s="343"/>
      <c r="G2" s="343"/>
      <c r="H2" s="343"/>
      <c r="I2" s="343"/>
      <c r="J2" s="343"/>
      <c r="K2" s="344"/>
    </row>
    <row r="3" spans="2:12" ht="14.7" customHeight="1" x14ac:dyDescent="0.3">
      <c r="B3" s="345" t="s">
        <v>255</v>
      </c>
      <c r="C3" s="346"/>
      <c r="D3" s="346"/>
      <c r="E3" s="346"/>
      <c r="F3" s="346"/>
      <c r="G3" s="346"/>
      <c r="H3" s="346"/>
      <c r="I3" s="346"/>
      <c r="J3" s="346"/>
      <c r="K3" s="347"/>
    </row>
    <row r="4" spans="2:12" ht="14.7" customHeight="1" x14ac:dyDescent="0.3">
      <c r="B4" s="345"/>
      <c r="C4" s="346"/>
      <c r="D4" s="346"/>
      <c r="E4" s="346"/>
      <c r="F4" s="346"/>
      <c r="G4" s="346"/>
      <c r="H4" s="346"/>
      <c r="I4" s="346"/>
      <c r="J4" s="346"/>
      <c r="K4" s="347"/>
    </row>
    <row r="5" spans="2:12" ht="14.7" customHeight="1" x14ac:dyDescent="0.3">
      <c r="B5" s="345"/>
      <c r="C5" s="346"/>
      <c r="D5" s="346"/>
      <c r="E5" s="346"/>
      <c r="F5" s="346"/>
      <c r="G5" s="346"/>
      <c r="H5" s="346"/>
      <c r="I5" s="346"/>
      <c r="J5" s="346"/>
      <c r="K5" s="347"/>
    </row>
    <row r="6" spans="2:12" ht="21" customHeight="1" thickBot="1" x14ac:dyDescent="0.35">
      <c r="B6" s="348"/>
      <c r="C6" s="349"/>
      <c r="D6" s="349"/>
      <c r="E6" s="349"/>
      <c r="F6" s="349"/>
      <c r="G6" s="349"/>
      <c r="H6" s="349"/>
      <c r="I6" s="349"/>
      <c r="J6" s="349"/>
      <c r="K6" s="350"/>
    </row>
    <row r="7" spans="2:12" ht="15" thickBot="1" x14ac:dyDescent="0.35"/>
    <row r="8" spans="2:12" ht="18" customHeight="1" x14ac:dyDescent="0.3">
      <c r="B8" s="361" t="s">
        <v>103</v>
      </c>
      <c r="C8" s="362"/>
      <c r="D8" s="362"/>
      <c r="E8" s="362"/>
      <c r="F8" s="362"/>
      <c r="G8" s="120"/>
      <c r="H8" s="363" t="s">
        <v>104</v>
      </c>
      <c r="I8" s="363"/>
      <c r="J8" s="363"/>
      <c r="K8" s="363"/>
      <c r="L8" s="363"/>
    </row>
    <row r="9" spans="2:12" ht="18.600000000000001" customHeight="1" x14ac:dyDescent="0.3">
      <c r="B9" s="357" t="s">
        <v>112</v>
      </c>
      <c r="C9" s="354" t="s">
        <v>102</v>
      </c>
      <c r="D9" s="355"/>
      <c r="E9" s="356"/>
      <c r="F9" s="121"/>
      <c r="G9" s="120"/>
      <c r="H9" s="357" t="s">
        <v>112</v>
      </c>
      <c r="I9" s="354" t="s">
        <v>102</v>
      </c>
      <c r="J9" s="355"/>
      <c r="K9" s="356"/>
      <c r="L9" s="121"/>
    </row>
    <row r="10" spans="2:12" ht="18" x14ac:dyDescent="0.3">
      <c r="B10" s="358"/>
      <c r="C10" s="172" t="s">
        <v>4</v>
      </c>
      <c r="D10" s="172" t="s">
        <v>9</v>
      </c>
      <c r="E10" s="173" t="s">
        <v>8</v>
      </c>
      <c r="F10" s="122" t="s">
        <v>53</v>
      </c>
      <c r="G10" s="123"/>
      <c r="H10" s="358"/>
      <c r="I10" s="129" t="s">
        <v>4</v>
      </c>
      <c r="J10" s="129" t="s">
        <v>9</v>
      </c>
      <c r="K10" s="130" t="s">
        <v>8</v>
      </c>
      <c r="L10" s="122" t="s">
        <v>53</v>
      </c>
    </row>
    <row r="11" spans="2:12" ht="17.399999999999999" x14ac:dyDescent="0.3">
      <c r="B11" s="130" t="s">
        <v>54</v>
      </c>
      <c r="C11" s="124" t="s">
        <v>105</v>
      </c>
      <c r="D11" s="124" t="s">
        <v>105</v>
      </c>
      <c r="E11" s="125" t="s">
        <v>105</v>
      </c>
      <c r="F11" s="121">
        <f>COUNTIF(dane_wagi!$F$2:$F$1001,'5.4 Kalibracja wag RAKING'!B11)</f>
        <v>499</v>
      </c>
      <c r="G11" s="120"/>
      <c r="H11" s="130" t="s">
        <v>54</v>
      </c>
      <c r="I11" s="158">
        <f>COUNTIFS(dane_wagi!$F$2:$F$301,'5.4 Kalibracja wag RAKING'!$H11,dane_wagi!$G$2:$G$301,'5.4 Kalibracja wag RAKING'!I$10)</f>
        <v>114</v>
      </c>
      <c r="J11" s="159">
        <f>COUNTIFS(dane_wagi!$F$2:$F$301,'5.4 Kalibracja wag RAKING'!$H11,dane_wagi!$G$2:$G$301,'5.4 Kalibracja wag RAKING'!J$10)</f>
        <v>18</v>
      </c>
      <c r="K11" s="160">
        <f>COUNTIFS(dane_wagi!$F$2:$F$301,'5.4 Kalibracja wag RAKING'!$H11,dane_wagi!$G$2:$G$301,'5.4 Kalibracja wag RAKING'!K$10)</f>
        <v>12</v>
      </c>
      <c r="L11" s="121">
        <f>SUM(I11:K11)</f>
        <v>144</v>
      </c>
    </row>
    <row r="12" spans="2:12" ht="17.399999999999999" x14ac:dyDescent="0.3">
      <c r="B12" s="130" t="s">
        <v>55</v>
      </c>
      <c r="C12" s="124" t="s">
        <v>105</v>
      </c>
      <c r="D12" s="124" t="s">
        <v>105</v>
      </c>
      <c r="E12" s="125" t="s">
        <v>105</v>
      </c>
      <c r="F12" s="121">
        <f>COUNTIF(dane_wagi!$F$2:$F$1001,'5.4 Kalibracja wag RAKING'!B12)</f>
        <v>191</v>
      </c>
      <c r="G12" s="120"/>
      <c r="H12" s="130" t="s">
        <v>55</v>
      </c>
      <c r="I12" s="161">
        <f>COUNTIFS(dane_wagi!$F$2:$F$301,'5.4 Kalibracja wag RAKING'!$H12,dane_wagi!$G$2:$G$301,'5.4 Kalibracja wag RAKING'!I$10)</f>
        <v>38</v>
      </c>
      <c r="J12" s="124">
        <f>COUNTIFS(dane_wagi!$F$2:$F$301,'5.4 Kalibracja wag RAKING'!$H12,dane_wagi!$G$2:$G$301,'5.4 Kalibracja wag RAKING'!J$10)</f>
        <v>8</v>
      </c>
      <c r="K12" s="125">
        <f>COUNTIFS(dane_wagi!$F$2:$F$301,'5.4 Kalibracja wag RAKING'!$H12,dane_wagi!$G$2:$G$301,'5.4 Kalibracja wag RAKING'!K$10)</f>
        <v>9</v>
      </c>
      <c r="L12" s="121">
        <f t="shared" ref="L12:L14" si="0">SUM(I12:K12)</f>
        <v>55</v>
      </c>
    </row>
    <row r="13" spans="2:12" ht="17.399999999999999" x14ac:dyDescent="0.3">
      <c r="B13" s="130" t="s">
        <v>56</v>
      </c>
      <c r="C13" s="124" t="s">
        <v>105</v>
      </c>
      <c r="D13" s="124" t="s">
        <v>105</v>
      </c>
      <c r="E13" s="125" t="s">
        <v>105</v>
      </c>
      <c r="F13" s="121">
        <f>COUNTIF(dane_wagi!$F$2:$F$1001,'5.4 Kalibracja wag RAKING'!B13)</f>
        <v>201</v>
      </c>
      <c r="G13" s="120"/>
      <c r="H13" s="130" t="s">
        <v>56</v>
      </c>
      <c r="I13" s="161">
        <f>COUNTIFS(dane_wagi!$F$2:$F$301,'5.4 Kalibracja wag RAKING'!$H13,dane_wagi!$G$2:$G$301,'5.4 Kalibracja wag RAKING'!I$10)</f>
        <v>42</v>
      </c>
      <c r="J13" s="124">
        <f>COUNTIFS(dane_wagi!$F$2:$F$301,'5.4 Kalibracja wag RAKING'!$H13,dane_wagi!$G$2:$G$301,'5.4 Kalibracja wag RAKING'!J$10)</f>
        <v>20</v>
      </c>
      <c r="K13" s="125">
        <f>COUNTIFS(dane_wagi!$F$2:$F$301,'5.4 Kalibracja wag RAKING'!$H13,dane_wagi!$G$2:$G$301,'5.4 Kalibracja wag RAKING'!K$10)</f>
        <v>3</v>
      </c>
      <c r="L13" s="121">
        <f t="shared" si="0"/>
        <v>65</v>
      </c>
    </row>
    <row r="14" spans="2:12" ht="17.399999999999999" x14ac:dyDescent="0.3">
      <c r="B14" s="173" t="s">
        <v>57</v>
      </c>
      <c r="C14" s="126" t="s">
        <v>105</v>
      </c>
      <c r="D14" s="126" t="s">
        <v>105</v>
      </c>
      <c r="E14" s="127" t="s">
        <v>105</v>
      </c>
      <c r="F14" s="163">
        <f>COUNTIF(dane_wagi!$F$2:$F$1001,'5.4 Kalibracja wag RAKING'!B14)</f>
        <v>109</v>
      </c>
      <c r="G14" s="120"/>
      <c r="H14" s="173" t="s">
        <v>57</v>
      </c>
      <c r="I14" s="162">
        <f>COUNTIFS(dane_wagi!$F$2:$F$301,'5.4 Kalibracja wag RAKING'!$H14,dane_wagi!$G$2:$G$301,'5.4 Kalibracja wag RAKING'!I$10)</f>
        <v>18</v>
      </c>
      <c r="J14" s="126">
        <f>COUNTIFS(dane_wagi!$F$2:$F$301,'5.4 Kalibracja wag RAKING'!$H14,dane_wagi!$G$2:$G$301,'5.4 Kalibracja wag RAKING'!J$10)</f>
        <v>14</v>
      </c>
      <c r="K14" s="127">
        <f>COUNTIFS(dane_wagi!$F$2:$F$301,'5.4 Kalibracja wag RAKING'!$H14,dane_wagi!$G$2:$G$301,'5.4 Kalibracja wag RAKING'!K$10)</f>
        <v>4</v>
      </c>
      <c r="L14" s="163">
        <f t="shared" si="0"/>
        <v>36</v>
      </c>
    </row>
    <row r="15" spans="2:12" ht="17.399999999999999" x14ac:dyDescent="0.3">
      <c r="B15" s="128" t="s">
        <v>53</v>
      </c>
      <c r="C15" s="129">
        <f>COUNTIF(dane_wagi!$G$2:$G$1001,'5.4 Kalibracja wag RAKING'!C$10)</f>
        <v>713</v>
      </c>
      <c r="D15" s="129">
        <f>COUNTIF(dane_wagi!$G$2:$G$1001,'5.4 Kalibracja wag RAKING'!D$10)</f>
        <v>179</v>
      </c>
      <c r="E15" s="129">
        <f>COUNTIF(dane_wagi!$G$2:$G$1001,'5.4 Kalibracja wag RAKING'!E$10)</f>
        <v>108</v>
      </c>
      <c r="F15" s="222">
        <f>SUM(C15:E15)</f>
        <v>1000</v>
      </c>
      <c r="G15" s="120"/>
      <c r="H15" s="128" t="s">
        <v>53</v>
      </c>
      <c r="I15" s="129">
        <f>SUM(I11:I14)</f>
        <v>212</v>
      </c>
      <c r="J15" s="129">
        <f t="shared" ref="J15:K15" si="1">SUM(J11:J14)</f>
        <v>60</v>
      </c>
      <c r="K15" s="164">
        <f t="shared" si="1"/>
        <v>28</v>
      </c>
      <c r="L15" s="129">
        <f>SUM(L11:L14)</f>
        <v>300</v>
      </c>
    </row>
    <row r="16" spans="2:12" ht="18" customHeight="1" x14ac:dyDescent="0.3"/>
    <row r="17" spans="1:12" ht="15.6" x14ac:dyDescent="0.3">
      <c r="B17" s="121" t="s">
        <v>186</v>
      </c>
    </row>
    <row r="18" spans="1:12" ht="17.399999999999999" customHeight="1" x14ac:dyDescent="0.5">
      <c r="A18" s="157"/>
      <c r="B18" s="357" t="s">
        <v>112</v>
      </c>
      <c r="C18" s="354" t="s">
        <v>102</v>
      </c>
      <c r="D18" s="355"/>
      <c r="E18" s="356"/>
      <c r="F18" s="121"/>
      <c r="K18" s="132" t="s">
        <v>14</v>
      </c>
      <c r="L18" s="133">
        <v>1000</v>
      </c>
    </row>
    <row r="19" spans="1:12" ht="17.399999999999999" customHeight="1" x14ac:dyDescent="0.5">
      <c r="A19" s="157"/>
      <c r="B19" s="358"/>
      <c r="C19" s="172" t="s">
        <v>4</v>
      </c>
      <c r="D19" s="172" t="s">
        <v>9</v>
      </c>
      <c r="E19" s="173" t="s">
        <v>8</v>
      </c>
      <c r="F19" s="122" t="s">
        <v>53</v>
      </c>
      <c r="K19" s="132" t="s">
        <v>15</v>
      </c>
      <c r="L19" s="133">
        <v>500</v>
      </c>
    </row>
    <row r="20" spans="1:12" ht="18" customHeight="1" x14ac:dyDescent="0.45">
      <c r="B20" s="130" t="s">
        <v>54</v>
      </c>
      <c r="C20" s="134">
        <f t="shared" ref="C20:E23" si="2">I11*$L$21</f>
        <v>380</v>
      </c>
      <c r="D20" s="135">
        <f t="shared" si="2"/>
        <v>60</v>
      </c>
      <c r="E20" s="136">
        <f t="shared" si="2"/>
        <v>40</v>
      </c>
      <c r="F20" s="137">
        <f>SUM(C20:E20)</f>
        <v>480</v>
      </c>
      <c r="K20" s="132" t="s">
        <v>106</v>
      </c>
      <c r="L20" s="133">
        <v>300</v>
      </c>
    </row>
    <row r="21" spans="1:12" ht="19.2" x14ac:dyDescent="0.45">
      <c r="B21" s="130" t="s">
        <v>55</v>
      </c>
      <c r="C21" s="138">
        <f t="shared" si="2"/>
        <v>126.66666666666667</v>
      </c>
      <c r="D21" s="139">
        <f t="shared" si="2"/>
        <v>26.666666666666668</v>
      </c>
      <c r="E21" s="140">
        <f t="shared" si="2"/>
        <v>30</v>
      </c>
      <c r="F21" s="137">
        <f t="shared" ref="F21:F23" si="3">SUM(C21:E21)</f>
        <v>183.33333333333334</v>
      </c>
      <c r="K21" s="132" t="s">
        <v>107</v>
      </c>
      <c r="L21" s="133">
        <f>L18/L20</f>
        <v>3.3333333333333335</v>
      </c>
    </row>
    <row r="22" spans="1:12" ht="15.6" x14ac:dyDescent="0.3">
      <c r="B22" s="130" t="s">
        <v>56</v>
      </c>
      <c r="C22" s="138">
        <f t="shared" si="2"/>
        <v>140</v>
      </c>
      <c r="D22" s="139">
        <f t="shared" si="2"/>
        <v>66.666666666666671</v>
      </c>
      <c r="E22" s="140">
        <f t="shared" si="2"/>
        <v>10</v>
      </c>
      <c r="F22" s="137">
        <f t="shared" si="3"/>
        <v>216.66666666666669</v>
      </c>
    </row>
    <row r="23" spans="1:12" ht="15.6" x14ac:dyDescent="0.3">
      <c r="B23" s="173" t="s">
        <v>57</v>
      </c>
      <c r="C23" s="141">
        <f t="shared" si="2"/>
        <v>60</v>
      </c>
      <c r="D23" s="142">
        <f t="shared" si="2"/>
        <v>46.666666666666671</v>
      </c>
      <c r="E23" s="143">
        <f t="shared" si="2"/>
        <v>13.333333333333334</v>
      </c>
      <c r="F23" s="144">
        <f t="shared" si="3"/>
        <v>120</v>
      </c>
    </row>
    <row r="24" spans="1:12" ht="15.6" x14ac:dyDescent="0.3">
      <c r="B24" s="128" t="s">
        <v>53</v>
      </c>
      <c r="C24" s="145">
        <f>SUM(C20:C23)</f>
        <v>706.66666666666674</v>
      </c>
      <c r="D24" s="145">
        <f t="shared" ref="D24:E24" si="4">SUM(D20:D23)</f>
        <v>200</v>
      </c>
      <c r="E24" s="146">
        <f t="shared" si="4"/>
        <v>93.333333333333329</v>
      </c>
      <c r="F24" s="131"/>
    </row>
    <row r="26" spans="1:12" ht="15.6" x14ac:dyDescent="0.3">
      <c r="B26" s="121" t="s">
        <v>108</v>
      </c>
      <c r="H26" t="s">
        <v>109</v>
      </c>
    </row>
    <row r="27" spans="1:12" ht="15.75" customHeight="1" x14ac:dyDescent="0.3">
      <c r="B27" s="357" t="s">
        <v>112</v>
      </c>
      <c r="C27" s="354" t="s">
        <v>102</v>
      </c>
      <c r="D27" s="355"/>
      <c r="E27" s="356"/>
      <c r="F27" s="121"/>
      <c r="H27" s="357" t="s">
        <v>112</v>
      </c>
      <c r="I27" s="354" t="s">
        <v>102</v>
      </c>
      <c r="J27" s="355"/>
      <c r="K27" s="356"/>
      <c r="L27" s="121"/>
    </row>
    <row r="28" spans="1:12" ht="15.6" x14ac:dyDescent="0.3">
      <c r="B28" s="358"/>
      <c r="C28" s="172" t="s">
        <v>4</v>
      </c>
      <c r="D28" s="172" t="s">
        <v>9</v>
      </c>
      <c r="E28" s="173" t="s">
        <v>8</v>
      </c>
      <c r="F28" s="122" t="s">
        <v>53</v>
      </c>
      <c r="H28" s="358"/>
      <c r="I28" s="172" t="s">
        <v>4</v>
      </c>
      <c r="J28" s="172" t="s">
        <v>9</v>
      </c>
      <c r="K28" s="173" t="s">
        <v>8</v>
      </c>
      <c r="L28" s="122" t="s">
        <v>53</v>
      </c>
    </row>
    <row r="29" spans="1:12" ht="15.6" x14ac:dyDescent="0.3">
      <c r="B29" s="130" t="s">
        <v>54</v>
      </c>
      <c r="C29" s="134">
        <f>C20*$F11/$F20</f>
        <v>395.04166666666669</v>
      </c>
      <c r="D29" s="135">
        <f>D20*$F11/$F20</f>
        <v>62.375</v>
      </c>
      <c r="E29" s="136">
        <f t="shared" ref="E29" si="5">E20*$F11/$F20</f>
        <v>41.583333333333336</v>
      </c>
      <c r="F29" s="137">
        <f>SUM(C29:E29)</f>
        <v>499</v>
      </c>
      <c r="H29" s="130" t="s">
        <v>54</v>
      </c>
      <c r="I29" s="134">
        <f>C29*C$15/C$33</f>
        <v>395.94004178968379</v>
      </c>
      <c r="J29" s="135">
        <f t="shared" ref="J29:K32" si="6">D29*D$15/D$33</f>
        <v>57.436175297355639</v>
      </c>
      <c r="K29" s="136">
        <f t="shared" si="6"/>
        <v>47.662048136886042</v>
      </c>
      <c r="L29" s="137">
        <f>SUM(I29:K29)</f>
        <v>501.03826522392546</v>
      </c>
    </row>
    <row r="30" spans="1:12" ht="15.6" x14ac:dyDescent="0.3">
      <c r="B30" s="130" t="s">
        <v>55</v>
      </c>
      <c r="C30" s="138">
        <f>C21*$F12/$F21</f>
        <v>131.96363636363637</v>
      </c>
      <c r="D30" s="139">
        <f t="shared" ref="C30:E32" si="7">D21*$F12/$F21</f>
        <v>27.781818181818185</v>
      </c>
      <c r="E30" s="140">
        <f t="shared" si="7"/>
        <v>31.254545454545454</v>
      </c>
      <c r="F30" s="137">
        <f t="shared" ref="F30:F32" si="8">SUM(C30:E30)</f>
        <v>191</v>
      </c>
      <c r="H30" s="130" t="s">
        <v>55</v>
      </c>
      <c r="I30" s="138">
        <f>C30*C$15/C$33</f>
        <v>132.26373849982949</v>
      </c>
      <c r="J30" s="139">
        <f t="shared" si="6"/>
        <v>25.582066199120987</v>
      </c>
      <c r="K30" s="140">
        <f t="shared" si="6"/>
        <v>35.823382363552021</v>
      </c>
      <c r="L30" s="137">
        <f t="shared" ref="L30:L32" si="9">SUM(I30:K30)</f>
        <v>193.66918706250249</v>
      </c>
    </row>
    <row r="31" spans="1:12" ht="15.6" x14ac:dyDescent="0.3">
      <c r="B31" s="130" t="s">
        <v>56</v>
      </c>
      <c r="C31" s="138">
        <f>C22*$F13/$F22</f>
        <v>129.87692307692308</v>
      </c>
      <c r="D31" s="139">
        <f t="shared" si="7"/>
        <v>61.846153846153847</v>
      </c>
      <c r="E31" s="140">
        <f t="shared" si="7"/>
        <v>9.2769230769230759</v>
      </c>
      <c r="F31" s="137">
        <f t="shared" si="8"/>
        <v>201</v>
      </c>
      <c r="H31" s="130" t="s">
        <v>56</v>
      </c>
      <c r="I31" s="138">
        <f t="shared" ref="I31:I32" si="10">C31*C$15/C$33</f>
        <v>130.17227976101879</v>
      </c>
      <c r="J31" s="139">
        <f t="shared" si="6"/>
        <v>56.949202946291273</v>
      </c>
      <c r="K31" s="140">
        <f t="shared" si="6"/>
        <v>10.633037777663246</v>
      </c>
      <c r="L31" s="137">
        <f t="shared" si="9"/>
        <v>197.75452048497331</v>
      </c>
    </row>
    <row r="32" spans="1:12" ht="15.6" x14ac:dyDescent="0.3">
      <c r="B32" s="173" t="s">
        <v>57</v>
      </c>
      <c r="C32" s="141">
        <f t="shared" si="7"/>
        <v>54.5</v>
      </c>
      <c r="D32" s="142">
        <f t="shared" si="7"/>
        <v>42.388888888888893</v>
      </c>
      <c r="E32" s="143">
        <f t="shared" si="7"/>
        <v>12.111111111111112</v>
      </c>
      <c r="F32" s="144">
        <f t="shared" si="8"/>
        <v>109</v>
      </c>
      <c r="H32" s="173" t="s">
        <v>57</v>
      </c>
      <c r="I32" s="141">
        <f t="shared" si="10"/>
        <v>54.623939949468024</v>
      </c>
      <c r="J32" s="142">
        <f t="shared" si="6"/>
        <v>39.032555557232115</v>
      </c>
      <c r="K32" s="143">
        <f t="shared" si="6"/>
        <v>13.881531721898675</v>
      </c>
      <c r="L32" s="144">
        <f t="shared" si="9"/>
        <v>107.53802722859882</v>
      </c>
    </row>
    <row r="33" spans="2:12" ht="15.6" x14ac:dyDescent="0.3">
      <c r="B33" s="128" t="s">
        <v>53</v>
      </c>
      <c r="C33" s="145">
        <f>SUM(C29:C32)</f>
        <v>711.38222610722607</v>
      </c>
      <c r="D33" s="145">
        <f t="shared" ref="D33:E33" si="11">SUM(D29:D32)</f>
        <v>194.39186091686091</v>
      </c>
      <c r="E33" s="146">
        <f t="shared" si="11"/>
        <v>94.225912975912991</v>
      </c>
      <c r="F33" s="131"/>
      <c r="H33" s="128" t="s">
        <v>53</v>
      </c>
      <c r="I33" s="145">
        <f>SUM(I29:I32)</f>
        <v>713</v>
      </c>
      <c r="J33" s="145">
        <f t="shared" ref="J33:K33" si="12">SUM(J29:J32)</f>
        <v>179.00000000000003</v>
      </c>
      <c r="K33" s="146">
        <f t="shared" si="12"/>
        <v>108</v>
      </c>
      <c r="L33" s="131"/>
    </row>
    <row r="35" spans="2:12" ht="15.6" x14ac:dyDescent="0.3">
      <c r="B35" s="121" t="s">
        <v>110</v>
      </c>
      <c r="H35" s="121" t="s">
        <v>111</v>
      </c>
      <c r="I35" s="360" t="s">
        <v>188</v>
      </c>
      <c r="J35" s="360"/>
      <c r="K35" s="360"/>
      <c r="L35" s="360"/>
    </row>
    <row r="36" spans="2:12" ht="15.6" x14ac:dyDescent="0.3">
      <c r="B36" s="357" t="s">
        <v>112</v>
      </c>
      <c r="C36" s="354" t="s">
        <v>102</v>
      </c>
      <c r="D36" s="355"/>
      <c r="E36" s="356"/>
      <c r="F36" s="121"/>
      <c r="H36" s="357" t="s">
        <v>112</v>
      </c>
      <c r="I36" s="354" t="s">
        <v>102</v>
      </c>
      <c r="J36" s="355"/>
      <c r="K36" s="356"/>
      <c r="L36" s="165"/>
    </row>
    <row r="37" spans="2:12" ht="15.6" x14ac:dyDescent="0.3">
      <c r="B37" s="358"/>
      <c r="C37" s="172" t="s">
        <v>4</v>
      </c>
      <c r="D37" s="172" t="s">
        <v>9</v>
      </c>
      <c r="E37" s="173" t="s">
        <v>8</v>
      </c>
      <c r="F37" s="122" t="s">
        <v>53</v>
      </c>
      <c r="H37" s="358"/>
      <c r="I37" s="172" t="s">
        <v>4</v>
      </c>
      <c r="J37" s="172" t="s">
        <v>9</v>
      </c>
      <c r="K37" s="173" t="s">
        <v>8</v>
      </c>
      <c r="L37" s="166" t="s">
        <v>53</v>
      </c>
    </row>
    <row r="38" spans="2:12" ht="15.6" x14ac:dyDescent="0.3">
      <c r="B38" s="130" t="s">
        <v>54</v>
      </c>
      <c r="C38" s="134">
        <f>I29*$F11/$L29</f>
        <v>394.32932485655925</v>
      </c>
      <c r="D38" s="135">
        <f t="shared" ref="C38:E41" si="13">J29*$F11/$L29</f>
        <v>57.202520171930111</v>
      </c>
      <c r="E38" s="136">
        <f t="shared" si="13"/>
        <v>47.468154971510621</v>
      </c>
      <c r="F38" s="137">
        <f>SUM(C38:E38)</f>
        <v>499</v>
      </c>
      <c r="H38" s="130" t="s">
        <v>54</v>
      </c>
      <c r="I38" s="223">
        <f>C38*C$15/C$42</f>
        <v>394.63631648074534</v>
      </c>
      <c r="J38" s="224">
        <f t="shared" ref="J38:K41" si="14">D38*D$15/D$42</f>
        <v>56.92297944535234</v>
      </c>
      <c r="K38" s="225">
        <f t="shared" si="14"/>
        <v>47.611162051256812</v>
      </c>
      <c r="L38" s="168">
        <f>SUM(I38:K38)</f>
        <v>499.17045797735449</v>
      </c>
    </row>
    <row r="39" spans="2:12" ht="15.6" x14ac:dyDescent="0.3">
      <c r="B39" s="130" t="s">
        <v>55</v>
      </c>
      <c r="C39" s="138">
        <f t="shared" si="13"/>
        <v>130.44085348132614</v>
      </c>
      <c r="D39" s="139">
        <f t="shared" si="13"/>
        <v>25.229489100169573</v>
      </c>
      <c r="E39" s="140">
        <f t="shared" si="13"/>
        <v>35.32965741850429</v>
      </c>
      <c r="F39" s="137">
        <f t="shared" ref="F39:F41" si="15">SUM(C39:E39)</f>
        <v>191.00000000000003</v>
      </c>
      <c r="H39" s="130" t="s">
        <v>55</v>
      </c>
      <c r="I39" s="226">
        <f t="shared" ref="I39:I41" si="16">C39*C$15/C$42</f>
        <v>130.54240375148424</v>
      </c>
      <c r="J39" s="227">
        <f t="shared" si="14"/>
        <v>25.106196110751458</v>
      </c>
      <c r="K39" s="228">
        <f t="shared" si="14"/>
        <v>35.436094905676185</v>
      </c>
      <c r="L39" s="168">
        <f t="shared" ref="L39:L41" si="17">SUM(I39:K39)</f>
        <v>191.08469476791188</v>
      </c>
    </row>
    <row r="40" spans="2:12" ht="15.6" x14ac:dyDescent="0.3">
      <c r="B40" s="130" t="s">
        <v>56</v>
      </c>
      <c r="C40" s="138">
        <f t="shared" si="13"/>
        <v>132.30862266914872</v>
      </c>
      <c r="D40" s="139">
        <f t="shared" si="13"/>
        <v>57.883833775998802</v>
      </c>
      <c r="E40" s="140">
        <f t="shared" si="13"/>
        <v>10.807543554852462</v>
      </c>
      <c r="F40" s="137">
        <f t="shared" si="15"/>
        <v>200.99999999999997</v>
      </c>
      <c r="H40" s="130" t="s">
        <v>56</v>
      </c>
      <c r="I40" s="226">
        <f t="shared" si="16"/>
        <v>132.41162702719842</v>
      </c>
      <c r="J40" s="227">
        <f t="shared" si="14"/>
        <v>57.600963564997343</v>
      </c>
      <c r="K40" s="228">
        <f t="shared" si="14"/>
        <v>10.840103388786112</v>
      </c>
      <c r="L40" s="168">
        <f t="shared" si="17"/>
        <v>200.85269398098185</v>
      </c>
    </row>
    <row r="41" spans="2:12" ht="15.6" x14ac:dyDescent="0.3">
      <c r="B41" s="173" t="s">
        <v>57</v>
      </c>
      <c r="C41" s="141">
        <f t="shared" si="13"/>
        <v>55.366549005360561</v>
      </c>
      <c r="D41" s="142">
        <f t="shared" si="13"/>
        <v>39.563200714982429</v>
      </c>
      <c r="E41" s="143">
        <f t="shared" si="13"/>
        <v>14.07025027965701</v>
      </c>
      <c r="F41" s="144">
        <f t="shared" si="15"/>
        <v>109</v>
      </c>
      <c r="H41" s="173" t="s">
        <v>57</v>
      </c>
      <c r="I41" s="229">
        <f t="shared" si="16"/>
        <v>55.409652740572021</v>
      </c>
      <c r="J41" s="230">
        <f t="shared" si="14"/>
        <v>39.369860878898855</v>
      </c>
      <c r="K41" s="231">
        <f t="shared" si="14"/>
        <v>14.112639654280891</v>
      </c>
      <c r="L41" s="169">
        <f t="shared" si="17"/>
        <v>108.89215327375177</v>
      </c>
    </row>
    <row r="42" spans="2:12" ht="15.6" x14ac:dyDescent="0.3">
      <c r="B42" s="128" t="s">
        <v>53</v>
      </c>
      <c r="C42" s="145">
        <f>SUM(C38:C41)</f>
        <v>712.44535001239467</v>
      </c>
      <c r="D42" s="145">
        <f t="shared" ref="D42:E42" si="18">SUM(D38:D41)</f>
        <v>179.87904376308092</v>
      </c>
      <c r="E42" s="146">
        <f t="shared" si="18"/>
        <v>107.67560622452439</v>
      </c>
      <c r="F42" s="131"/>
      <c r="H42" s="167" t="s">
        <v>53</v>
      </c>
      <c r="I42" s="170">
        <f>SUM(I38:I41)</f>
        <v>713</v>
      </c>
      <c r="J42" s="170">
        <f t="shared" ref="J42:K42" si="19">SUM(J38:J41)</f>
        <v>179</v>
      </c>
      <c r="K42" s="171">
        <f t="shared" si="19"/>
        <v>108</v>
      </c>
      <c r="L42" s="131">
        <f>SUM(I42:K42)</f>
        <v>1000</v>
      </c>
    </row>
    <row r="44" spans="2:12" ht="18" x14ac:dyDescent="0.35">
      <c r="B44" s="359" t="s">
        <v>187</v>
      </c>
      <c r="C44" s="359"/>
      <c r="D44" s="359"/>
      <c r="E44" s="359"/>
    </row>
    <row r="45" spans="2:12" ht="15.6" x14ac:dyDescent="0.3">
      <c r="B45" s="357" t="s">
        <v>112</v>
      </c>
      <c r="C45" s="354" t="s">
        <v>102</v>
      </c>
      <c r="D45" s="355"/>
      <c r="E45" s="356"/>
      <c r="F45" s="121"/>
    </row>
    <row r="46" spans="2:12" ht="15.6" x14ac:dyDescent="0.3">
      <c r="B46" s="358"/>
      <c r="C46" s="129" t="s">
        <v>4</v>
      </c>
      <c r="D46" s="129" t="s">
        <v>9</v>
      </c>
      <c r="E46" s="130" t="s">
        <v>8</v>
      </c>
      <c r="F46" s="147"/>
    </row>
    <row r="47" spans="2:12" ht="15.6" x14ac:dyDescent="0.3">
      <c r="B47" s="129" t="s">
        <v>54</v>
      </c>
      <c r="C47" s="148">
        <f t="shared" ref="C47:E50" si="20">$L$21*I38/C20</f>
        <v>3.4617220743925032</v>
      </c>
      <c r="D47" s="149">
        <f t="shared" si="20"/>
        <v>3.1623877469640194</v>
      </c>
      <c r="E47" s="150">
        <f t="shared" si="20"/>
        <v>3.9675968376047344</v>
      </c>
      <c r="F47" s="137"/>
    </row>
    <row r="48" spans="2:12" ht="15.6" x14ac:dyDescent="0.3">
      <c r="B48" s="129" t="s">
        <v>55</v>
      </c>
      <c r="C48" s="151">
        <f t="shared" si="20"/>
        <v>3.4353264145127431</v>
      </c>
      <c r="D48" s="174">
        <f t="shared" si="20"/>
        <v>3.1382745138439323</v>
      </c>
      <c r="E48" s="152">
        <f t="shared" si="20"/>
        <v>3.9373438784084649</v>
      </c>
      <c r="F48" s="137"/>
    </row>
    <row r="49" spans="1:10" ht="15.6" x14ac:dyDescent="0.3">
      <c r="B49" s="129" t="s">
        <v>56</v>
      </c>
      <c r="C49" s="151">
        <f t="shared" si="20"/>
        <v>3.1526577863618672</v>
      </c>
      <c r="D49" s="174">
        <f t="shared" si="20"/>
        <v>2.8800481782498673</v>
      </c>
      <c r="E49" s="152">
        <f t="shared" si="20"/>
        <v>3.6133677962620374</v>
      </c>
      <c r="F49" s="137"/>
    </row>
    <row r="50" spans="1:10" ht="15.6" x14ac:dyDescent="0.3">
      <c r="B50" s="172" t="s">
        <v>57</v>
      </c>
      <c r="C50" s="153">
        <f t="shared" si="20"/>
        <v>3.0783140411428902</v>
      </c>
      <c r="D50" s="154">
        <f t="shared" si="20"/>
        <v>2.8121329199213467</v>
      </c>
      <c r="E50" s="155">
        <f t="shared" si="20"/>
        <v>3.5281599135702226</v>
      </c>
      <c r="F50" s="137"/>
    </row>
    <row r="51" spans="1:10" ht="15.6" x14ac:dyDescent="0.3">
      <c r="B51" s="156"/>
      <c r="C51" s="145"/>
      <c r="D51" s="145"/>
      <c r="E51" s="145"/>
      <c r="F51" s="131"/>
    </row>
    <row r="52" spans="1:10" ht="15.6" x14ac:dyDescent="0.3">
      <c r="B52" s="121" t="s">
        <v>229</v>
      </c>
    </row>
    <row r="53" spans="1:10" ht="15.6" x14ac:dyDescent="0.3">
      <c r="B53" s="121" t="s">
        <v>230</v>
      </c>
    </row>
    <row r="54" spans="1:10" ht="15.6" x14ac:dyDescent="0.3">
      <c r="B54" s="121"/>
    </row>
    <row r="55" spans="1:10" ht="15.6" x14ac:dyDescent="0.3">
      <c r="B55" s="121" t="s">
        <v>232</v>
      </c>
    </row>
    <row r="56" spans="1:10" ht="15.6" x14ac:dyDescent="0.3">
      <c r="B56" s="121" t="s">
        <v>233</v>
      </c>
    </row>
    <row r="57" spans="1:10" ht="15.6" x14ac:dyDescent="0.3">
      <c r="B57" s="121"/>
      <c r="C57" s="33" t="s">
        <v>81</v>
      </c>
    </row>
    <row r="58" spans="1:10" ht="15.6" x14ac:dyDescent="0.35">
      <c r="A58" s="37" t="s">
        <v>13</v>
      </c>
      <c r="B58" s="37" t="s">
        <v>12</v>
      </c>
      <c r="C58" s="37" t="s">
        <v>63</v>
      </c>
      <c r="D58" s="37" t="s">
        <v>42</v>
      </c>
      <c r="E58" s="37" t="s">
        <v>1</v>
      </c>
      <c r="F58" s="37" t="s">
        <v>234</v>
      </c>
      <c r="G58" s="37" t="s">
        <v>235</v>
      </c>
    </row>
    <row r="59" spans="1:10" x14ac:dyDescent="0.3">
      <c r="A59" s="38">
        <v>1</v>
      </c>
      <c r="B59" s="38">
        <v>608</v>
      </c>
      <c r="C59" s="38">
        <v>36</v>
      </c>
      <c r="D59" s="34" t="s">
        <v>57</v>
      </c>
      <c r="E59" s="34" t="str">
        <f>VLOOKUP(B59,Dane!$A$1:$G$1001,6,FALSE)</f>
        <v>za darmo</v>
      </c>
      <c r="F59" s="75">
        <f>$L$18/$L$19</f>
        <v>2</v>
      </c>
      <c r="G59" s="255">
        <f>INDEX($C$47:$E$50, MATCH(D59, $B$47:$B$50, 0), MATCH(E59, $C$46:$E$46, 0))</f>
        <v>3.5281599135702226</v>
      </c>
      <c r="I59" s="177" t="s">
        <v>231</v>
      </c>
      <c r="J59" s="178"/>
    </row>
    <row r="60" spans="1:10" x14ac:dyDescent="0.3">
      <c r="A60" s="34">
        <v>2</v>
      </c>
      <c r="B60" s="34">
        <v>388</v>
      </c>
      <c r="C60" s="34">
        <v>18</v>
      </c>
      <c r="D60" s="34" t="s">
        <v>54</v>
      </c>
      <c r="E60" s="34" t="str">
        <f>VLOOKUP(B60,Dane!$A$1:$G$1001,6,FALSE)</f>
        <v>własność</v>
      </c>
      <c r="F60" s="75">
        <f t="shared" ref="F60:F123" si="21">$L$18/$L$19</f>
        <v>2</v>
      </c>
      <c r="G60" s="255">
        <f t="shared" ref="G60:G123" si="22">INDEX($C$47:$E$50, MATCH(D60, $B$47:$B$50, 0), MATCH(E60, $C$46:$E$46, 0))</f>
        <v>3.4617220743925032</v>
      </c>
      <c r="I60" s="29" t="s">
        <v>117</v>
      </c>
      <c r="J60" s="187">
        <f>SUMPRODUCT(C59:C358,G59:G358)</f>
        <v>21301.823049900013</v>
      </c>
    </row>
    <row r="61" spans="1:10" x14ac:dyDescent="0.3">
      <c r="A61" s="34">
        <v>3</v>
      </c>
      <c r="B61" s="34">
        <v>385</v>
      </c>
      <c r="C61" s="34">
        <v>30</v>
      </c>
      <c r="D61" s="34" t="s">
        <v>54</v>
      </c>
      <c r="E61" s="34" t="str">
        <f>VLOOKUP(B61,Dane!$A$1:$G$1001,6,FALSE)</f>
        <v>własność</v>
      </c>
      <c r="F61" s="75">
        <f t="shared" si="21"/>
        <v>2</v>
      </c>
      <c r="G61" s="255">
        <f t="shared" si="22"/>
        <v>3.4617220743925032</v>
      </c>
    </row>
    <row r="62" spans="1:10" x14ac:dyDescent="0.3">
      <c r="A62" s="34">
        <v>4</v>
      </c>
      <c r="B62" s="34">
        <v>453</v>
      </c>
      <c r="C62" s="34">
        <v>12</v>
      </c>
      <c r="D62" s="34" t="s">
        <v>54</v>
      </c>
      <c r="E62" s="34" t="str">
        <f>VLOOKUP(B62,Dane!$A$1:$G$1001,6,FALSE)</f>
        <v>własność</v>
      </c>
      <c r="F62" s="75">
        <f t="shared" si="21"/>
        <v>2</v>
      </c>
      <c r="G62" s="255">
        <f t="shared" si="22"/>
        <v>3.4617220743925032</v>
      </c>
      <c r="I62" t="s">
        <v>269</v>
      </c>
    </row>
    <row r="63" spans="1:10" x14ac:dyDescent="0.3">
      <c r="A63" s="34">
        <v>5</v>
      </c>
      <c r="B63" s="34">
        <v>169</v>
      </c>
      <c r="C63" s="34">
        <v>24</v>
      </c>
      <c r="D63" s="34" t="s">
        <v>56</v>
      </c>
      <c r="E63" s="34" t="str">
        <f>VLOOKUP(B63,Dane!$A$1:$G$1001,6,FALSE)</f>
        <v>wynajem</v>
      </c>
      <c r="F63" s="75">
        <f t="shared" si="21"/>
        <v>2</v>
      </c>
      <c r="G63" s="255">
        <f t="shared" si="22"/>
        <v>2.8800481782498673</v>
      </c>
    </row>
    <row r="64" spans="1:10" x14ac:dyDescent="0.3">
      <c r="A64" s="34">
        <v>6</v>
      </c>
      <c r="B64" s="34">
        <v>811</v>
      </c>
      <c r="C64" s="34">
        <v>8</v>
      </c>
      <c r="D64" s="34" t="s">
        <v>54</v>
      </c>
      <c r="E64" s="34" t="str">
        <f>VLOOKUP(B64,Dane!$A$1:$G$1001,6,FALSE)</f>
        <v>własność</v>
      </c>
      <c r="F64" s="75">
        <f t="shared" si="21"/>
        <v>2</v>
      </c>
      <c r="G64" s="255">
        <f t="shared" si="22"/>
        <v>3.4617220743925032</v>
      </c>
    </row>
    <row r="65" spans="1:7" x14ac:dyDescent="0.3">
      <c r="A65" s="34">
        <v>7</v>
      </c>
      <c r="B65" s="34">
        <v>564</v>
      </c>
      <c r="C65" s="34">
        <v>36</v>
      </c>
      <c r="D65" s="34" t="s">
        <v>55</v>
      </c>
      <c r="E65" s="34" t="str">
        <f>VLOOKUP(B65,Dane!$A$1:$G$1001,6,FALSE)</f>
        <v>za darmo</v>
      </c>
      <c r="F65" s="75">
        <f t="shared" si="21"/>
        <v>2</v>
      </c>
      <c r="G65" s="255">
        <f t="shared" si="22"/>
        <v>3.9373438784084649</v>
      </c>
    </row>
    <row r="66" spans="1:7" x14ac:dyDescent="0.3">
      <c r="A66" s="34">
        <v>8</v>
      </c>
      <c r="B66" s="34">
        <v>802</v>
      </c>
      <c r="C66" s="34">
        <v>18</v>
      </c>
      <c r="D66" s="34" t="s">
        <v>56</v>
      </c>
      <c r="E66" s="34" t="str">
        <f>VLOOKUP(B66,Dane!$A$1:$G$1001,6,FALSE)</f>
        <v>wynajem</v>
      </c>
      <c r="F66" s="75">
        <f t="shared" si="21"/>
        <v>2</v>
      </c>
      <c r="G66" s="255">
        <f t="shared" si="22"/>
        <v>2.8800481782498673</v>
      </c>
    </row>
    <row r="67" spans="1:7" x14ac:dyDescent="0.3">
      <c r="A67" s="34">
        <v>9</v>
      </c>
      <c r="B67" s="34">
        <v>136</v>
      </c>
      <c r="C67" s="34">
        <v>12</v>
      </c>
      <c r="D67" s="34" t="s">
        <v>56</v>
      </c>
      <c r="E67" s="34" t="str">
        <f>VLOOKUP(B67,Dane!$A$1:$G$1001,6,FALSE)</f>
        <v>własność</v>
      </c>
      <c r="F67" s="75">
        <f t="shared" si="21"/>
        <v>2</v>
      </c>
      <c r="G67" s="255">
        <f t="shared" si="22"/>
        <v>3.1526577863618672</v>
      </c>
    </row>
    <row r="68" spans="1:7" x14ac:dyDescent="0.3">
      <c r="A68" s="34">
        <v>10</v>
      </c>
      <c r="B68" s="34">
        <v>597</v>
      </c>
      <c r="C68" s="34">
        <v>24</v>
      </c>
      <c r="D68" s="34" t="s">
        <v>57</v>
      </c>
      <c r="E68" s="34" t="str">
        <f>VLOOKUP(B68,Dane!$A$1:$G$1001,6,FALSE)</f>
        <v>wynajem</v>
      </c>
      <c r="F68" s="75">
        <f t="shared" si="21"/>
        <v>2</v>
      </c>
      <c r="G68" s="255">
        <f t="shared" si="22"/>
        <v>2.8121329199213467</v>
      </c>
    </row>
    <row r="69" spans="1:7" x14ac:dyDescent="0.3">
      <c r="A69" s="34">
        <v>11</v>
      </c>
      <c r="B69" s="34">
        <v>256</v>
      </c>
      <c r="C69" s="34">
        <v>60</v>
      </c>
      <c r="D69" s="34" t="s">
        <v>54</v>
      </c>
      <c r="E69" s="34" t="str">
        <f>VLOOKUP(B69,Dane!$A$1:$G$1001,6,FALSE)</f>
        <v>własność</v>
      </c>
      <c r="F69" s="75">
        <f t="shared" si="21"/>
        <v>2</v>
      </c>
      <c r="G69" s="255">
        <f t="shared" si="22"/>
        <v>3.4617220743925032</v>
      </c>
    </row>
    <row r="70" spans="1:7" x14ac:dyDescent="0.3">
      <c r="A70" s="34">
        <v>12</v>
      </c>
      <c r="B70" s="34">
        <v>255</v>
      </c>
      <c r="C70" s="34">
        <v>9</v>
      </c>
      <c r="D70" s="34" t="s">
        <v>54</v>
      </c>
      <c r="E70" s="34" t="str">
        <f>VLOOKUP(B70,Dane!$A$1:$G$1001,6,FALSE)</f>
        <v>własność</v>
      </c>
      <c r="F70" s="75">
        <f t="shared" si="21"/>
        <v>2</v>
      </c>
      <c r="G70" s="255">
        <f t="shared" si="22"/>
        <v>3.4617220743925032</v>
      </c>
    </row>
    <row r="71" spans="1:7" x14ac:dyDescent="0.3">
      <c r="A71" s="34">
        <v>13</v>
      </c>
      <c r="B71" s="34">
        <v>421</v>
      </c>
      <c r="C71" s="34">
        <v>15</v>
      </c>
      <c r="D71" s="34" t="s">
        <v>56</v>
      </c>
      <c r="E71" s="34" t="str">
        <f>VLOOKUP(B71,Dane!$A$1:$G$1001,6,FALSE)</f>
        <v>wynajem</v>
      </c>
      <c r="F71" s="75">
        <f t="shared" si="21"/>
        <v>2</v>
      </c>
      <c r="G71" s="255">
        <f t="shared" si="22"/>
        <v>2.8800481782498673</v>
      </c>
    </row>
    <row r="72" spans="1:7" x14ac:dyDescent="0.3">
      <c r="A72" s="34">
        <v>14</v>
      </c>
      <c r="B72" s="34">
        <v>573</v>
      </c>
      <c r="C72" s="34">
        <v>24</v>
      </c>
      <c r="D72" s="34" t="s">
        <v>56</v>
      </c>
      <c r="E72" s="34" t="str">
        <f>VLOOKUP(B72,Dane!$A$1:$G$1001,6,FALSE)</f>
        <v>wynajem</v>
      </c>
      <c r="F72" s="75">
        <f t="shared" si="21"/>
        <v>2</v>
      </c>
      <c r="G72" s="255">
        <f t="shared" si="22"/>
        <v>2.8800481782498673</v>
      </c>
    </row>
    <row r="73" spans="1:7" x14ac:dyDescent="0.3">
      <c r="A73" s="34">
        <v>15</v>
      </c>
      <c r="B73" s="34">
        <v>294</v>
      </c>
      <c r="C73" s="34">
        <v>42</v>
      </c>
      <c r="D73" s="34" t="s">
        <v>54</v>
      </c>
      <c r="E73" s="34" t="str">
        <f>VLOOKUP(B73,Dane!$A$1:$G$1001,6,FALSE)</f>
        <v>za darmo</v>
      </c>
      <c r="F73" s="75">
        <f t="shared" si="21"/>
        <v>2</v>
      </c>
      <c r="G73" s="255">
        <f t="shared" si="22"/>
        <v>3.9675968376047344</v>
      </c>
    </row>
    <row r="74" spans="1:7" x14ac:dyDescent="0.3">
      <c r="A74" s="34">
        <v>16</v>
      </c>
      <c r="B74" s="34">
        <v>17</v>
      </c>
      <c r="C74" s="34">
        <v>24</v>
      </c>
      <c r="D74" s="34" t="s">
        <v>54</v>
      </c>
      <c r="E74" s="34" t="str">
        <f>VLOOKUP(B74,Dane!$A$1:$G$1001,6,FALSE)</f>
        <v>własność</v>
      </c>
      <c r="F74" s="75">
        <f t="shared" si="21"/>
        <v>2</v>
      </c>
      <c r="G74" s="255">
        <f t="shared" si="22"/>
        <v>3.4617220743925032</v>
      </c>
    </row>
    <row r="75" spans="1:7" x14ac:dyDescent="0.3">
      <c r="A75" s="34">
        <v>17</v>
      </c>
      <c r="B75" s="34">
        <v>899</v>
      </c>
      <c r="C75" s="34">
        <v>15</v>
      </c>
      <c r="D75" s="34" t="s">
        <v>56</v>
      </c>
      <c r="E75" s="34" t="str">
        <f>VLOOKUP(B75,Dane!$A$1:$G$1001,6,FALSE)</f>
        <v>wynajem</v>
      </c>
      <c r="F75" s="75">
        <f t="shared" si="21"/>
        <v>2</v>
      </c>
      <c r="G75" s="255">
        <f t="shared" si="22"/>
        <v>2.8800481782498673</v>
      </c>
    </row>
    <row r="76" spans="1:7" x14ac:dyDescent="0.3">
      <c r="A76" s="34">
        <v>18</v>
      </c>
      <c r="B76" s="34">
        <v>232</v>
      </c>
      <c r="C76" s="34">
        <v>9</v>
      </c>
      <c r="D76" s="34" t="s">
        <v>54</v>
      </c>
      <c r="E76" s="34" t="str">
        <f>VLOOKUP(B76,Dane!$A$1:$G$1001,6,FALSE)</f>
        <v>za darmo</v>
      </c>
      <c r="F76" s="75">
        <f t="shared" si="21"/>
        <v>2</v>
      </c>
      <c r="G76" s="255">
        <f t="shared" si="22"/>
        <v>3.9675968376047344</v>
      </c>
    </row>
    <row r="77" spans="1:7" x14ac:dyDescent="0.3">
      <c r="A77" s="34">
        <v>19</v>
      </c>
      <c r="B77" s="34">
        <v>948</v>
      </c>
      <c r="C77" s="34">
        <v>12</v>
      </c>
      <c r="D77" s="34" t="s">
        <v>54</v>
      </c>
      <c r="E77" s="34" t="str">
        <f>VLOOKUP(B77,Dane!$A$1:$G$1001,6,FALSE)</f>
        <v>własność</v>
      </c>
      <c r="F77" s="75">
        <f t="shared" si="21"/>
        <v>2</v>
      </c>
      <c r="G77" s="255">
        <f t="shared" si="22"/>
        <v>3.4617220743925032</v>
      </c>
    </row>
    <row r="78" spans="1:7" x14ac:dyDescent="0.3">
      <c r="A78" s="34">
        <v>20</v>
      </c>
      <c r="B78" s="34">
        <v>744</v>
      </c>
      <c r="C78" s="34">
        <v>24</v>
      </c>
      <c r="D78" s="34" t="s">
        <v>54</v>
      </c>
      <c r="E78" s="34" t="str">
        <f>VLOOKUP(B78,Dane!$A$1:$G$1001,6,FALSE)</f>
        <v>własność</v>
      </c>
      <c r="F78" s="75">
        <f t="shared" si="21"/>
        <v>2</v>
      </c>
      <c r="G78" s="255">
        <f t="shared" si="22"/>
        <v>3.4617220743925032</v>
      </c>
    </row>
    <row r="79" spans="1:7" x14ac:dyDescent="0.3">
      <c r="A79" s="34">
        <v>21</v>
      </c>
      <c r="B79" s="34">
        <v>671</v>
      </c>
      <c r="C79" s="34">
        <v>24</v>
      </c>
      <c r="D79" s="34" t="s">
        <v>54</v>
      </c>
      <c r="E79" s="34" t="str">
        <f>VLOOKUP(B79,Dane!$A$1:$G$1001,6,FALSE)</f>
        <v>własność</v>
      </c>
      <c r="F79" s="75">
        <f t="shared" si="21"/>
        <v>2</v>
      </c>
      <c r="G79" s="255">
        <f t="shared" si="22"/>
        <v>3.4617220743925032</v>
      </c>
    </row>
    <row r="80" spans="1:7" x14ac:dyDescent="0.3">
      <c r="A80" s="34">
        <v>22</v>
      </c>
      <c r="B80" s="34">
        <v>204</v>
      </c>
      <c r="C80" s="34">
        <v>12</v>
      </c>
      <c r="D80" s="34" t="s">
        <v>55</v>
      </c>
      <c r="E80" s="34" t="str">
        <f>VLOOKUP(B80,Dane!$A$1:$G$1001,6,FALSE)</f>
        <v>wynajem</v>
      </c>
      <c r="F80" s="75">
        <f t="shared" si="21"/>
        <v>2</v>
      </c>
      <c r="G80" s="255">
        <f t="shared" si="22"/>
        <v>3.1382745138439323</v>
      </c>
    </row>
    <row r="81" spans="1:7" x14ac:dyDescent="0.3">
      <c r="A81" s="34">
        <v>23</v>
      </c>
      <c r="B81" s="34">
        <v>718</v>
      </c>
      <c r="C81" s="34">
        <v>18</v>
      </c>
      <c r="D81" s="34" t="s">
        <v>54</v>
      </c>
      <c r="E81" s="34" t="str">
        <f>VLOOKUP(B81,Dane!$A$1:$G$1001,6,FALSE)</f>
        <v>za darmo</v>
      </c>
      <c r="F81" s="75">
        <f t="shared" si="21"/>
        <v>2</v>
      </c>
      <c r="G81" s="255">
        <f t="shared" si="22"/>
        <v>3.9675968376047344</v>
      </c>
    </row>
    <row r="82" spans="1:7" x14ac:dyDescent="0.3">
      <c r="A82" s="34">
        <v>24</v>
      </c>
      <c r="B82" s="34">
        <v>472</v>
      </c>
      <c r="C82" s="34">
        <v>6</v>
      </c>
      <c r="D82" s="34" t="s">
        <v>57</v>
      </c>
      <c r="E82" s="34" t="str">
        <f>VLOOKUP(B82,Dane!$A$1:$G$1001,6,FALSE)</f>
        <v>własność</v>
      </c>
      <c r="F82" s="75">
        <f t="shared" si="21"/>
        <v>2</v>
      </c>
      <c r="G82" s="255">
        <f t="shared" si="22"/>
        <v>3.0783140411428902</v>
      </c>
    </row>
    <row r="83" spans="1:7" x14ac:dyDescent="0.3">
      <c r="A83" s="34">
        <v>25</v>
      </c>
      <c r="B83" s="34">
        <v>940</v>
      </c>
      <c r="C83" s="34">
        <v>24</v>
      </c>
      <c r="D83" s="34" t="s">
        <v>54</v>
      </c>
      <c r="E83" s="34" t="str">
        <f>VLOOKUP(B83,Dane!$A$1:$G$1001,6,FALSE)</f>
        <v>własność</v>
      </c>
      <c r="F83" s="75">
        <f t="shared" si="21"/>
        <v>2</v>
      </c>
      <c r="G83" s="255">
        <f t="shared" si="22"/>
        <v>3.4617220743925032</v>
      </c>
    </row>
    <row r="84" spans="1:7" x14ac:dyDescent="0.3">
      <c r="A84" s="34">
        <v>26</v>
      </c>
      <c r="B84" s="34">
        <v>577</v>
      </c>
      <c r="C84" s="34">
        <v>12</v>
      </c>
      <c r="D84" s="34" t="s">
        <v>56</v>
      </c>
      <c r="E84" s="34" t="str">
        <f>VLOOKUP(B84,Dane!$A$1:$G$1001,6,FALSE)</f>
        <v>własność</v>
      </c>
      <c r="F84" s="75">
        <f t="shared" si="21"/>
        <v>2</v>
      </c>
      <c r="G84" s="255">
        <f t="shared" si="22"/>
        <v>3.1526577863618672</v>
      </c>
    </row>
    <row r="85" spans="1:7" x14ac:dyDescent="0.3">
      <c r="A85" s="34">
        <v>27</v>
      </c>
      <c r="B85" s="34">
        <v>786</v>
      </c>
      <c r="C85" s="34">
        <v>18</v>
      </c>
      <c r="D85" s="34" t="s">
        <v>54</v>
      </c>
      <c r="E85" s="34" t="str">
        <f>VLOOKUP(B85,Dane!$A$1:$G$1001,6,FALSE)</f>
        <v>własność</v>
      </c>
      <c r="F85" s="75">
        <f t="shared" si="21"/>
        <v>2</v>
      </c>
      <c r="G85" s="255">
        <f t="shared" si="22"/>
        <v>3.4617220743925032</v>
      </c>
    </row>
    <row r="86" spans="1:7" x14ac:dyDescent="0.3">
      <c r="A86" s="34">
        <v>28</v>
      </c>
      <c r="B86" s="34">
        <v>274</v>
      </c>
      <c r="C86" s="34">
        <v>48</v>
      </c>
      <c r="D86" s="34" t="s">
        <v>55</v>
      </c>
      <c r="E86" s="34" t="str">
        <f>VLOOKUP(B86,Dane!$A$1:$G$1001,6,FALSE)</f>
        <v>własność</v>
      </c>
      <c r="F86" s="75">
        <f t="shared" si="21"/>
        <v>2</v>
      </c>
      <c r="G86" s="255">
        <f t="shared" si="22"/>
        <v>3.4353264145127431</v>
      </c>
    </row>
    <row r="87" spans="1:7" x14ac:dyDescent="0.3">
      <c r="A87" s="34">
        <v>29</v>
      </c>
      <c r="B87" s="34">
        <v>703</v>
      </c>
      <c r="C87" s="34">
        <v>24</v>
      </c>
      <c r="D87" s="34" t="s">
        <v>56</v>
      </c>
      <c r="E87" s="34" t="str">
        <f>VLOOKUP(B87,Dane!$A$1:$G$1001,6,FALSE)</f>
        <v>za darmo</v>
      </c>
      <c r="F87" s="75">
        <f t="shared" si="21"/>
        <v>2</v>
      </c>
      <c r="G87" s="255">
        <f t="shared" si="22"/>
        <v>3.6133677962620374</v>
      </c>
    </row>
    <row r="88" spans="1:7" x14ac:dyDescent="0.3">
      <c r="A88" s="34">
        <v>30</v>
      </c>
      <c r="B88" s="34">
        <v>340</v>
      </c>
      <c r="C88" s="34">
        <v>10</v>
      </c>
      <c r="D88" s="34" t="s">
        <v>54</v>
      </c>
      <c r="E88" s="34" t="str">
        <f>VLOOKUP(B88,Dane!$A$1:$G$1001,6,FALSE)</f>
        <v>własność</v>
      </c>
      <c r="F88" s="75">
        <f t="shared" si="21"/>
        <v>2</v>
      </c>
      <c r="G88" s="255">
        <f t="shared" si="22"/>
        <v>3.4617220743925032</v>
      </c>
    </row>
    <row r="89" spans="1:7" x14ac:dyDescent="0.3">
      <c r="A89" s="34">
        <v>31</v>
      </c>
      <c r="B89" s="34">
        <v>322</v>
      </c>
      <c r="C89" s="34">
        <v>24</v>
      </c>
      <c r="D89" s="34" t="s">
        <v>55</v>
      </c>
      <c r="E89" s="34" t="str">
        <f>VLOOKUP(B89,Dane!$A$1:$G$1001,6,FALSE)</f>
        <v>własność</v>
      </c>
      <c r="F89" s="75">
        <f t="shared" si="21"/>
        <v>2</v>
      </c>
      <c r="G89" s="255">
        <f t="shared" si="22"/>
        <v>3.4353264145127431</v>
      </c>
    </row>
    <row r="90" spans="1:7" x14ac:dyDescent="0.3">
      <c r="A90" s="34">
        <v>32</v>
      </c>
      <c r="B90" s="34">
        <v>960</v>
      </c>
      <c r="C90" s="34">
        <v>24</v>
      </c>
      <c r="D90" s="34" t="s">
        <v>54</v>
      </c>
      <c r="E90" s="34" t="str">
        <f>VLOOKUP(B90,Dane!$A$1:$G$1001,6,FALSE)</f>
        <v>za darmo</v>
      </c>
      <c r="F90" s="75">
        <f t="shared" si="21"/>
        <v>2</v>
      </c>
      <c r="G90" s="255">
        <f t="shared" si="22"/>
        <v>3.9675968376047344</v>
      </c>
    </row>
    <row r="91" spans="1:7" x14ac:dyDescent="0.3">
      <c r="A91" s="34">
        <v>33</v>
      </c>
      <c r="B91" s="34">
        <v>176</v>
      </c>
      <c r="C91" s="34">
        <v>30</v>
      </c>
      <c r="D91" s="34" t="s">
        <v>57</v>
      </c>
      <c r="E91" s="34" t="str">
        <f>VLOOKUP(B91,Dane!$A$1:$G$1001,6,FALSE)</f>
        <v>własność</v>
      </c>
      <c r="F91" s="75">
        <f t="shared" si="21"/>
        <v>2</v>
      </c>
      <c r="G91" s="255">
        <f t="shared" si="22"/>
        <v>3.0783140411428902</v>
      </c>
    </row>
    <row r="92" spans="1:7" x14ac:dyDescent="0.3">
      <c r="A92" s="34">
        <v>34</v>
      </c>
      <c r="B92" s="34">
        <v>360</v>
      </c>
      <c r="C92" s="34">
        <v>30</v>
      </c>
      <c r="D92" s="34" t="s">
        <v>57</v>
      </c>
      <c r="E92" s="34" t="str">
        <f>VLOOKUP(B92,Dane!$A$1:$G$1001,6,FALSE)</f>
        <v>wynajem</v>
      </c>
      <c r="F92" s="75">
        <f t="shared" si="21"/>
        <v>2</v>
      </c>
      <c r="G92" s="255">
        <f t="shared" si="22"/>
        <v>2.8121329199213467</v>
      </c>
    </row>
    <row r="93" spans="1:7" x14ac:dyDescent="0.3">
      <c r="A93" s="34">
        <v>35</v>
      </c>
      <c r="B93" s="34">
        <v>944</v>
      </c>
      <c r="C93" s="34">
        <v>4</v>
      </c>
      <c r="D93" s="34" t="s">
        <v>54</v>
      </c>
      <c r="E93" s="34" t="str">
        <f>VLOOKUP(B93,Dane!$A$1:$G$1001,6,FALSE)</f>
        <v>własność</v>
      </c>
      <c r="F93" s="75">
        <f t="shared" si="21"/>
        <v>2</v>
      </c>
      <c r="G93" s="255">
        <f t="shared" si="22"/>
        <v>3.4617220743925032</v>
      </c>
    </row>
    <row r="94" spans="1:7" x14ac:dyDescent="0.3">
      <c r="A94" s="34">
        <v>36</v>
      </c>
      <c r="B94" s="34">
        <v>743</v>
      </c>
      <c r="C94" s="34">
        <v>21</v>
      </c>
      <c r="D94" s="34" t="s">
        <v>54</v>
      </c>
      <c r="E94" s="34" t="str">
        <f>VLOOKUP(B94,Dane!$A$1:$G$1001,6,FALSE)</f>
        <v>własność</v>
      </c>
      <c r="F94" s="75">
        <f t="shared" si="21"/>
        <v>2</v>
      </c>
      <c r="G94" s="255">
        <f t="shared" si="22"/>
        <v>3.4617220743925032</v>
      </c>
    </row>
    <row r="95" spans="1:7" x14ac:dyDescent="0.3">
      <c r="A95" s="34">
        <v>37</v>
      </c>
      <c r="B95" s="34">
        <v>412</v>
      </c>
      <c r="C95" s="34">
        <v>33</v>
      </c>
      <c r="D95" s="34" t="s">
        <v>54</v>
      </c>
      <c r="E95" s="34" t="str">
        <f>VLOOKUP(B95,Dane!$A$1:$G$1001,6,FALSE)</f>
        <v>własność</v>
      </c>
      <c r="F95" s="75">
        <f t="shared" si="21"/>
        <v>2</v>
      </c>
      <c r="G95" s="255">
        <f t="shared" si="22"/>
        <v>3.4617220743925032</v>
      </c>
    </row>
    <row r="96" spans="1:7" x14ac:dyDescent="0.3">
      <c r="A96" s="34">
        <v>38</v>
      </c>
      <c r="B96" s="34">
        <v>224</v>
      </c>
      <c r="C96" s="34">
        <v>24</v>
      </c>
      <c r="D96" s="34" t="s">
        <v>54</v>
      </c>
      <c r="E96" s="34" t="str">
        <f>VLOOKUP(B96,Dane!$A$1:$G$1001,6,FALSE)</f>
        <v>własność</v>
      </c>
      <c r="F96" s="75">
        <f t="shared" si="21"/>
        <v>2</v>
      </c>
      <c r="G96" s="255">
        <f t="shared" si="22"/>
        <v>3.4617220743925032</v>
      </c>
    </row>
    <row r="97" spans="1:7" x14ac:dyDescent="0.3">
      <c r="A97" s="34">
        <v>39</v>
      </c>
      <c r="B97" s="34">
        <v>803</v>
      </c>
      <c r="C97" s="34">
        <v>20</v>
      </c>
      <c r="D97" s="34" t="s">
        <v>56</v>
      </c>
      <c r="E97" s="34" t="str">
        <f>VLOOKUP(B97,Dane!$A$1:$G$1001,6,FALSE)</f>
        <v>własność</v>
      </c>
      <c r="F97" s="75">
        <f t="shared" si="21"/>
        <v>2</v>
      </c>
      <c r="G97" s="255">
        <f t="shared" si="22"/>
        <v>3.1526577863618672</v>
      </c>
    </row>
    <row r="98" spans="1:7" x14ac:dyDescent="0.3">
      <c r="A98" s="34">
        <v>40</v>
      </c>
      <c r="B98" s="34">
        <v>962</v>
      </c>
      <c r="C98" s="34">
        <v>21</v>
      </c>
      <c r="D98" s="34" t="s">
        <v>54</v>
      </c>
      <c r="E98" s="34" t="str">
        <f>VLOOKUP(B98,Dane!$A$1:$G$1001,6,FALSE)</f>
        <v>własność</v>
      </c>
      <c r="F98" s="75">
        <f t="shared" si="21"/>
        <v>2</v>
      </c>
      <c r="G98" s="255">
        <f t="shared" si="22"/>
        <v>3.4617220743925032</v>
      </c>
    </row>
    <row r="99" spans="1:7" x14ac:dyDescent="0.3">
      <c r="A99" s="34">
        <v>41</v>
      </c>
      <c r="B99" s="34">
        <v>654</v>
      </c>
      <c r="C99" s="34">
        <v>36</v>
      </c>
      <c r="D99" s="34" t="s">
        <v>55</v>
      </c>
      <c r="E99" s="34" t="str">
        <f>VLOOKUP(B99,Dane!$A$1:$G$1001,6,FALSE)</f>
        <v>własność</v>
      </c>
      <c r="F99" s="75">
        <f t="shared" si="21"/>
        <v>2</v>
      </c>
      <c r="G99" s="255">
        <f t="shared" si="22"/>
        <v>3.4353264145127431</v>
      </c>
    </row>
    <row r="100" spans="1:7" x14ac:dyDescent="0.3">
      <c r="A100" s="34">
        <v>42</v>
      </c>
      <c r="B100" s="34">
        <v>559</v>
      </c>
      <c r="C100" s="34">
        <v>24</v>
      </c>
      <c r="D100" s="34" t="s">
        <v>55</v>
      </c>
      <c r="E100" s="34" t="str">
        <f>VLOOKUP(B100,Dane!$A$1:$G$1001,6,FALSE)</f>
        <v>własność</v>
      </c>
      <c r="F100" s="75">
        <f t="shared" si="21"/>
        <v>2</v>
      </c>
      <c r="G100" s="255">
        <f t="shared" si="22"/>
        <v>3.4353264145127431</v>
      </c>
    </row>
    <row r="101" spans="1:7" x14ac:dyDescent="0.3">
      <c r="A101" s="34">
        <v>43</v>
      </c>
      <c r="B101" s="34">
        <v>747</v>
      </c>
      <c r="C101" s="34">
        <v>15</v>
      </c>
      <c r="D101" s="34" t="s">
        <v>56</v>
      </c>
      <c r="E101" s="34" t="str">
        <f>VLOOKUP(B101,Dane!$A$1:$G$1001,6,FALSE)</f>
        <v>wynajem</v>
      </c>
      <c r="F101" s="75">
        <f t="shared" si="21"/>
        <v>2</v>
      </c>
      <c r="G101" s="255">
        <f t="shared" si="22"/>
        <v>2.8800481782498673</v>
      </c>
    </row>
    <row r="102" spans="1:7" x14ac:dyDescent="0.3">
      <c r="A102" s="34">
        <v>44</v>
      </c>
      <c r="B102" s="34">
        <v>789</v>
      </c>
      <c r="C102" s="34">
        <v>48</v>
      </c>
      <c r="D102" s="34" t="s">
        <v>55</v>
      </c>
      <c r="E102" s="34" t="str">
        <f>VLOOKUP(B102,Dane!$A$1:$G$1001,6,FALSE)</f>
        <v>za darmo</v>
      </c>
      <c r="F102" s="75">
        <f t="shared" si="21"/>
        <v>2</v>
      </c>
      <c r="G102" s="255">
        <f t="shared" si="22"/>
        <v>3.9373438784084649</v>
      </c>
    </row>
    <row r="103" spans="1:7" x14ac:dyDescent="0.3">
      <c r="A103" s="34">
        <v>45</v>
      </c>
      <c r="B103" s="34">
        <v>793</v>
      </c>
      <c r="C103" s="34">
        <v>6</v>
      </c>
      <c r="D103" s="34" t="s">
        <v>54</v>
      </c>
      <c r="E103" s="34" t="str">
        <f>VLOOKUP(B103,Dane!$A$1:$G$1001,6,FALSE)</f>
        <v>własność</v>
      </c>
      <c r="F103" s="75">
        <f t="shared" si="21"/>
        <v>2</v>
      </c>
      <c r="G103" s="255">
        <f t="shared" si="22"/>
        <v>3.4617220743925032</v>
      </c>
    </row>
    <row r="104" spans="1:7" x14ac:dyDescent="0.3">
      <c r="A104" s="34">
        <v>46</v>
      </c>
      <c r="B104" s="34">
        <v>846</v>
      </c>
      <c r="C104" s="34">
        <v>21</v>
      </c>
      <c r="D104" s="34" t="s">
        <v>54</v>
      </c>
      <c r="E104" s="34" t="str">
        <f>VLOOKUP(B104,Dane!$A$1:$G$1001,6,FALSE)</f>
        <v>własność</v>
      </c>
      <c r="F104" s="75">
        <f t="shared" si="21"/>
        <v>2</v>
      </c>
      <c r="G104" s="255">
        <f t="shared" si="22"/>
        <v>3.4617220743925032</v>
      </c>
    </row>
    <row r="105" spans="1:7" x14ac:dyDescent="0.3">
      <c r="A105" s="34">
        <v>47</v>
      </c>
      <c r="B105" s="34">
        <v>749</v>
      </c>
      <c r="C105" s="34">
        <v>21</v>
      </c>
      <c r="D105" s="34" t="s">
        <v>54</v>
      </c>
      <c r="E105" s="34" t="str">
        <f>VLOOKUP(B105,Dane!$A$1:$G$1001,6,FALSE)</f>
        <v>własność</v>
      </c>
      <c r="F105" s="75">
        <f t="shared" si="21"/>
        <v>2</v>
      </c>
      <c r="G105" s="255">
        <f t="shared" si="22"/>
        <v>3.4617220743925032</v>
      </c>
    </row>
    <row r="106" spans="1:7" x14ac:dyDescent="0.3">
      <c r="A106" s="34">
        <v>48</v>
      </c>
      <c r="B106" s="34">
        <v>315</v>
      </c>
      <c r="C106" s="34">
        <v>4</v>
      </c>
      <c r="D106" s="34" t="s">
        <v>54</v>
      </c>
      <c r="E106" s="34" t="str">
        <f>VLOOKUP(B106,Dane!$A$1:$G$1001,6,FALSE)</f>
        <v>własność</v>
      </c>
      <c r="F106" s="75">
        <f t="shared" si="21"/>
        <v>2</v>
      </c>
      <c r="G106" s="255">
        <f t="shared" si="22"/>
        <v>3.4617220743925032</v>
      </c>
    </row>
    <row r="107" spans="1:7" x14ac:dyDescent="0.3">
      <c r="A107" s="34">
        <v>49</v>
      </c>
      <c r="B107" s="34">
        <v>650</v>
      </c>
      <c r="C107" s="34">
        <v>12</v>
      </c>
      <c r="D107" s="34" t="s">
        <v>55</v>
      </c>
      <c r="E107" s="34" t="str">
        <f>VLOOKUP(B107,Dane!$A$1:$G$1001,6,FALSE)</f>
        <v>wynajem</v>
      </c>
      <c r="F107" s="75">
        <f t="shared" si="21"/>
        <v>2</v>
      </c>
      <c r="G107" s="255">
        <f t="shared" si="22"/>
        <v>3.1382745138439323</v>
      </c>
    </row>
    <row r="108" spans="1:7" x14ac:dyDescent="0.3">
      <c r="A108" s="34">
        <v>50</v>
      </c>
      <c r="B108" s="34">
        <v>371</v>
      </c>
      <c r="C108" s="34">
        <v>36</v>
      </c>
      <c r="D108" s="34" t="s">
        <v>54</v>
      </c>
      <c r="E108" s="34" t="str">
        <f>VLOOKUP(B108,Dane!$A$1:$G$1001,6,FALSE)</f>
        <v>własność</v>
      </c>
      <c r="F108" s="75">
        <f t="shared" si="21"/>
        <v>2</v>
      </c>
      <c r="G108" s="255">
        <f t="shared" si="22"/>
        <v>3.4617220743925032</v>
      </c>
    </row>
    <row r="109" spans="1:7" x14ac:dyDescent="0.3">
      <c r="A109" s="34">
        <v>51</v>
      </c>
      <c r="B109" s="34">
        <v>277</v>
      </c>
      <c r="C109" s="34">
        <v>18</v>
      </c>
      <c r="D109" s="34" t="s">
        <v>56</v>
      </c>
      <c r="E109" s="34" t="str">
        <f>VLOOKUP(B109,Dane!$A$1:$G$1001,6,FALSE)</f>
        <v>własność</v>
      </c>
      <c r="F109" s="75">
        <f t="shared" si="21"/>
        <v>2</v>
      </c>
      <c r="G109" s="255">
        <f t="shared" si="22"/>
        <v>3.1526577863618672</v>
      </c>
    </row>
    <row r="110" spans="1:7" x14ac:dyDescent="0.3">
      <c r="A110" s="34">
        <v>52</v>
      </c>
      <c r="B110" s="34">
        <v>275</v>
      </c>
      <c r="C110" s="34">
        <v>30</v>
      </c>
      <c r="D110" s="34" t="s">
        <v>55</v>
      </c>
      <c r="E110" s="34" t="str">
        <f>VLOOKUP(B110,Dane!$A$1:$G$1001,6,FALSE)</f>
        <v>własność</v>
      </c>
      <c r="F110" s="75">
        <f t="shared" si="21"/>
        <v>2</v>
      </c>
      <c r="G110" s="255">
        <f t="shared" si="22"/>
        <v>3.4353264145127431</v>
      </c>
    </row>
    <row r="111" spans="1:7" x14ac:dyDescent="0.3">
      <c r="A111" s="34">
        <v>53</v>
      </c>
      <c r="B111" s="34">
        <v>898</v>
      </c>
      <c r="C111" s="34">
        <v>12</v>
      </c>
      <c r="D111" s="34" t="s">
        <v>56</v>
      </c>
      <c r="E111" s="34" t="str">
        <f>VLOOKUP(B111,Dane!$A$1:$G$1001,6,FALSE)</f>
        <v>własność</v>
      </c>
      <c r="F111" s="75">
        <f t="shared" si="21"/>
        <v>2</v>
      </c>
      <c r="G111" s="255">
        <f t="shared" si="22"/>
        <v>3.1526577863618672</v>
      </c>
    </row>
    <row r="112" spans="1:7" x14ac:dyDescent="0.3">
      <c r="A112" s="34">
        <v>54</v>
      </c>
      <c r="B112" s="34">
        <v>934</v>
      </c>
      <c r="C112" s="34">
        <v>12</v>
      </c>
      <c r="D112" s="34" t="s">
        <v>54</v>
      </c>
      <c r="E112" s="34" t="str">
        <f>VLOOKUP(B112,Dane!$A$1:$G$1001,6,FALSE)</f>
        <v>własność</v>
      </c>
      <c r="F112" s="75">
        <f t="shared" si="21"/>
        <v>2</v>
      </c>
      <c r="G112" s="255">
        <f t="shared" si="22"/>
        <v>3.4617220743925032</v>
      </c>
    </row>
    <row r="113" spans="1:7" x14ac:dyDescent="0.3">
      <c r="A113" s="34">
        <v>55</v>
      </c>
      <c r="B113" s="34">
        <v>762</v>
      </c>
      <c r="C113" s="34">
        <v>18</v>
      </c>
      <c r="D113" s="34" t="s">
        <v>57</v>
      </c>
      <c r="E113" s="34" t="str">
        <f>VLOOKUP(B113,Dane!$A$1:$G$1001,6,FALSE)</f>
        <v>wynajem</v>
      </c>
      <c r="F113" s="75">
        <f t="shared" si="21"/>
        <v>2</v>
      </c>
      <c r="G113" s="255">
        <f t="shared" si="22"/>
        <v>2.8121329199213467</v>
      </c>
    </row>
    <row r="114" spans="1:7" x14ac:dyDescent="0.3">
      <c r="A114" s="34">
        <v>56</v>
      </c>
      <c r="B114" s="34">
        <v>278</v>
      </c>
      <c r="C114" s="34">
        <v>12</v>
      </c>
      <c r="D114" s="34" t="s">
        <v>54</v>
      </c>
      <c r="E114" s="34" t="str">
        <f>VLOOKUP(B114,Dane!$A$1:$G$1001,6,FALSE)</f>
        <v>własność</v>
      </c>
      <c r="F114" s="75">
        <f t="shared" si="21"/>
        <v>2</v>
      </c>
      <c r="G114" s="255">
        <f t="shared" si="22"/>
        <v>3.4617220743925032</v>
      </c>
    </row>
    <row r="115" spans="1:7" x14ac:dyDescent="0.3">
      <c r="A115" s="34">
        <v>57</v>
      </c>
      <c r="B115" s="34">
        <v>27</v>
      </c>
      <c r="C115" s="34">
        <v>6</v>
      </c>
      <c r="D115" s="34" t="s">
        <v>54</v>
      </c>
      <c r="E115" s="34" t="str">
        <f>VLOOKUP(B115,Dane!$A$1:$G$1001,6,FALSE)</f>
        <v>własność</v>
      </c>
      <c r="F115" s="75">
        <f t="shared" si="21"/>
        <v>2</v>
      </c>
      <c r="G115" s="255">
        <f t="shared" si="22"/>
        <v>3.4617220743925032</v>
      </c>
    </row>
    <row r="116" spans="1:7" x14ac:dyDescent="0.3">
      <c r="A116" s="34">
        <v>58</v>
      </c>
      <c r="B116" s="34">
        <v>327</v>
      </c>
      <c r="C116" s="34">
        <v>12</v>
      </c>
      <c r="D116" s="34" t="s">
        <v>54</v>
      </c>
      <c r="E116" s="34" t="str">
        <f>VLOOKUP(B116,Dane!$A$1:$G$1001,6,FALSE)</f>
        <v>wynajem</v>
      </c>
      <c r="F116" s="75">
        <f t="shared" si="21"/>
        <v>2</v>
      </c>
      <c r="G116" s="255">
        <f t="shared" si="22"/>
        <v>3.1623877469640194</v>
      </c>
    </row>
    <row r="117" spans="1:7" x14ac:dyDescent="0.3">
      <c r="A117" s="34">
        <v>59</v>
      </c>
      <c r="B117" s="34">
        <v>961</v>
      </c>
      <c r="C117" s="34">
        <v>6</v>
      </c>
      <c r="D117" s="34" t="s">
        <v>54</v>
      </c>
      <c r="E117" s="34" t="str">
        <f>VLOOKUP(B117,Dane!$A$1:$G$1001,6,FALSE)</f>
        <v>wynajem</v>
      </c>
      <c r="F117" s="75">
        <f t="shared" si="21"/>
        <v>2</v>
      </c>
      <c r="G117" s="255">
        <f t="shared" si="22"/>
        <v>3.1623877469640194</v>
      </c>
    </row>
    <row r="118" spans="1:7" x14ac:dyDescent="0.3">
      <c r="A118" s="34">
        <v>60</v>
      </c>
      <c r="B118" s="34">
        <v>118</v>
      </c>
      <c r="C118" s="34">
        <v>10</v>
      </c>
      <c r="D118" s="34" t="s">
        <v>56</v>
      </c>
      <c r="E118" s="34" t="str">
        <f>VLOOKUP(B118,Dane!$A$1:$G$1001,6,FALSE)</f>
        <v>wynajem</v>
      </c>
      <c r="F118" s="75">
        <f t="shared" si="21"/>
        <v>2</v>
      </c>
      <c r="G118" s="255">
        <f t="shared" si="22"/>
        <v>2.8800481782498673</v>
      </c>
    </row>
    <row r="119" spans="1:7" x14ac:dyDescent="0.3">
      <c r="A119" s="34">
        <v>61</v>
      </c>
      <c r="B119" s="34">
        <v>402</v>
      </c>
      <c r="C119" s="34">
        <v>18</v>
      </c>
      <c r="D119" s="34" t="s">
        <v>54</v>
      </c>
      <c r="E119" s="34" t="str">
        <f>VLOOKUP(B119,Dane!$A$1:$G$1001,6,FALSE)</f>
        <v>własność</v>
      </c>
      <c r="F119" s="75">
        <f t="shared" si="21"/>
        <v>2</v>
      </c>
      <c r="G119" s="255">
        <f t="shared" si="22"/>
        <v>3.4617220743925032</v>
      </c>
    </row>
    <row r="120" spans="1:7" x14ac:dyDescent="0.3">
      <c r="A120" s="34">
        <v>62</v>
      </c>
      <c r="B120" s="34">
        <v>391</v>
      </c>
      <c r="C120" s="34">
        <v>18</v>
      </c>
      <c r="D120" s="34" t="s">
        <v>54</v>
      </c>
      <c r="E120" s="34" t="str">
        <f>VLOOKUP(B120,Dane!$A$1:$G$1001,6,FALSE)</f>
        <v>własność</v>
      </c>
      <c r="F120" s="75">
        <f t="shared" si="21"/>
        <v>2</v>
      </c>
      <c r="G120" s="255">
        <f t="shared" si="22"/>
        <v>3.4617220743925032</v>
      </c>
    </row>
    <row r="121" spans="1:7" x14ac:dyDescent="0.3">
      <c r="A121" s="34">
        <v>63</v>
      </c>
      <c r="B121" s="34">
        <v>95</v>
      </c>
      <c r="C121" s="34">
        <v>12</v>
      </c>
      <c r="D121" s="34" t="s">
        <v>54</v>
      </c>
      <c r="E121" s="34" t="str">
        <f>VLOOKUP(B121,Dane!$A$1:$G$1001,6,FALSE)</f>
        <v>własność</v>
      </c>
      <c r="F121" s="75">
        <f t="shared" si="21"/>
        <v>2</v>
      </c>
      <c r="G121" s="255">
        <f t="shared" si="22"/>
        <v>3.4617220743925032</v>
      </c>
    </row>
    <row r="122" spans="1:7" x14ac:dyDescent="0.3">
      <c r="A122" s="34">
        <v>64</v>
      </c>
      <c r="B122" s="34">
        <v>464</v>
      </c>
      <c r="C122" s="34">
        <v>12</v>
      </c>
      <c r="D122" s="34" t="s">
        <v>54</v>
      </c>
      <c r="E122" s="34" t="str">
        <f>VLOOKUP(B122,Dane!$A$1:$G$1001,6,FALSE)</f>
        <v>własność</v>
      </c>
      <c r="F122" s="75">
        <f t="shared" si="21"/>
        <v>2</v>
      </c>
      <c r="G122" s="255">
        <f t="shared" si="22"/>
        <v>3.4617220743925032</v>
      </c>
    </row>
    <row r="123" spans="1:7" x14ac:dyDescent="0.3">
      <c r="A123" s="34">
        <v>65</v>
      </c>
      <c r="B123" s="34">
        <v>856</v>
      </c>
      <c r="C123" s="34">
        <v>24</v>
      </c>
      <c r="D123" s="34" t="s">
        <v>54</v>
      </c>
      <c r="E123" s="34" t="str">
        <f>VLOOKUP(B123,Dane!$A$1:$G$1001,6,FALSE)</f>
        <v>własność</v>
      </c>
      <c r="F123" s="75">
        <f t="shared" si="21"/>
        <v>2</v>
      </c>
      <c r="G123" s="255">
        <f t="shared" si="22"/>
        <v>3.4617220743925032</v>
      </c>
    </row>
    <row r="124" spans="1:7" x14ac:dyDescent="0.3">
      <c r="A124" s="34">
        <v>66</v>
      </c>
      <c r="B124" s="34">
        <v>343</v>
      </c>
      <c r="C124" s="34">
        <v>18</v>
      </c>
      <c r="D124" s="34" t="s">
        <v>54</v>
      </c>
      <c r="E124" s="34" t="str">
        <f>VLOOKUP(B124,Dane!$A$1:$G$1001,6,FALSE)</f>
        <v>wynajem</v>
      </c>
      <c r="F124" s="75">
        <f t="shared" ref="F124:F187" si="23">$L$18/$L$19</f>
        <v>2</v>
      </c>
      <c r="G124" s="255">
        <f t="shared" ref="G124:G187" si="24">INDEX($C$47:$E$50, MATCH(D124, $B$47:$B$50, 0), MATCH(E124, $C$46:$E$46, 0))</f>
        <v>3.1623877469640194</v>
      </c>
    </row>
    <row r="125" spans="1:7" x14ac:dyDescent="0.3">
      <c r="A125" s="34">
        <v>67</v>
      </c>
      <c r="B125" s="34">
        <v>364</v>
      </c>
      <c r="C125" s="34">
        <v>6</v>
      </c>
      <c r="D125" s="34" t="s">
        <v>54</v>
      </c>
      <c r="E125" s="34" t="str">
        <f>VLOOKUP(B125,Dane!$A$1:$G$1001,6,FALSE)</f>
        <v>wynajem</v>
      </c>
      <c r="F125" s="75">
        <f t="shared" si="23"/>
        <v>2</v>
      </c>
      <c r="G125" s="255">
        <f t="shared" si="24"/>
        <v>3.1623877469640194</v>
      </c>
    </row>
    <row r="126" spans="1:7" x14ac:dyDescent="0.3">
      <c r="A126" s="34">
        <v>68</v>
      </c>
      <c r="B126" s="34">
        <v>463</v>
      </c>
      <c r="C126" s="34">
        <v>12</v>
      </c>
      <c r="D126" s="34" t="s">
        <v>56</v>
      </c>
      <c r="E126" s="34" t="str">
        <f>VLOOKUP(B126,Dane!$A$1:$G$1001,6,FALSE)</f>
        <v>wynajem</v>
      </c>
      <c r="F126" s="75">
        <f t="shared" si="23"/>
        <v>2</v>
      </c>
      <c r="G126" s="255">
        <f t="shared" si="24"/>
        <v>2.8800481782498673</v>
      </c>
    </row>
    <row r="127" spans="1:7" x14ac:dyDescent="0.3">
      <c r="A127" s="34">
        <v>69</v>
      </c>
      <c r="B127" s="34">
        <v>790</v>
      </c>
      <c r="C127" s="34">
        <v>40</v>
      </c>
      <c r="D127" s="34" t="s">
        <v>55</v>
      </c>
      <c r="E127" s="34" t="str">
        <f>VLOOKUP(B127,Dane!$A$1:$G$1001,6,FALSE)</f>
        <v>własność</v>
      </c>
      <c r="F127" s="75">
        <f t="shared" si="23"/>
        <v>2</v>
      </c>
      <c r="G127" s="255">
        <f t="shared" si="24"/>
        <v>3.4353264145127431</v>
      </c>
    </row>
    <row r="128" spans="1:7" x14ac:dyDescent="0.3">
      <c r="A128" s="34">
        <v>70</v>
      </c>
      <c r="B128" s="34">
        <v>81</v>
      </c>
      <c r="C128" s="34">
        <v>24</v>
      </c>
      <c r="D128" s="34" t="s">
        <v>57</v>
      </c>
      <c r="E128" s="34" t="str">
        <f>VLOOKUP(B128,Dane!$A$1:$G$1001,6,FALSE)</f>
        <v>własność</v>
      </c>
      <c r="F128" s="75">
        <f t="shared" si="23"/>
        <v>2</v>
      </c>
      <c r="G128" s="255">
        <f t="shared" si="24"/>
        <v>3.0783140411428902</v>
      </c>
    </row>
    <row r="129" spans="1:7" x14ac:dyDescent="0.3">
      <c r="A129" s="34">
        <v>71</v>
      </c>
      <c r="B129" s="34">
        <v>735</v>
      </c>
      <c r="C129" s="34">
        <v>4</v>
      </c>
      <c r="D129" s="34" t="s">
        <v>56</v>
      </c>
      <c r="E129" s="34" t="str">
        <f>VLOOKUP(B129,Dane!$A$1:$G$1001,6,FALSE)</f>
        <v>własność</v>
      </c>
      <c r="F129" s="75">
        <f t="shared" si="23"/>
        <v>2</v>
      </c>
      <c r="G129" s="255">
        <f t="shared" si="24"/>
        <v>3.1526577863618672</v>
      </c>
    </row>
    <row r="130" spans="1:7" x14ac:dyDescent="0.3">
      <c r="A130" s="34">
        <v>72</v>
      </c>
      <c r="B130" s="34">
        <v>857</v>
      </c>
      <c r="C130" s="34">
        <v>10</v>
      </c>
      <c r="D130" s="34" t="s">
        <v>56</v>
      </c>
      <c r="E130" s="34" t="str">
        <f>VLOOKUP(B130,Dane!$A$1:$G$1001,6,FALSE)</f>
        <v>własność</v>
      </c>
      <c r="F130" s="75">
        <f t="shared" si="23"/>
        <v>2</v>
      </c>
      <c r="G130" s="255">
        <f t="shared" si="24"/>
        <v>3.1526577863618672</v>
      </c>
    </row>
    <row r="131" spans="1:7" x14ac:dyDescent="0.3">
      <c r="A131" s="34">
        <v>73</v>
      </c>
      <c r="B131" s="34">
        <v>855</v>
      </c>
      <c r="C131" s="34">
        <v>36</v>
      </c>
      <c r="D131" s="34" t="s">
        <v>54</v>
      </c>
      <c r="E131" s="34" t="str">
        <f>VLOOKUP(B131,Dane!$A$1:$G$1001,6,FALSE)</f>
        <v>własność</v>
      </c>
      <c r="F131" s="75">
        <f t="shared" si="23"/>
        <v>2</v>
      </c>
      <c r="G131" s="255">
        <f t="shared" si="24"/>
        <v>3.4617220743925032</v>
      </c>
    </row>
    <row r="132" spans="1:7" x14ac:dyDescent="0.3">
      <c r="A132" s="34">
        <v>74</v>
      </c>
      <c r="B132" s="34">
        <v>609</v>
      </c>
      <c r="C132" s="34">
        <v>18</v>
      </c>
      <c r="D132" s="34" t="s">
        <v>54</v>
      </c>
      <c r="E132" s="34" t="str">
        <f>VLOOKUP(B132,Dane!$A$1:$G$1001,6,FALSE)</f>
        <v>własność</v>
      </c>
      <c r="F132" s="75">
        <f t="shared" si="23"/>
        <v>2</v>
      </c>
      <c r="G132" s="255">
        <f t="shared" si="24"/>
        <v>3.4617220743925032</v>
      </c>
    </row>
    <row r="133" spans="1:7" x14ac:dyDescent="0.3">
      <c r="A133" s="34">
        <v>75</v>
      </c>
      <c r="B133" s="34">
        <v>435</v>
      </c>
      <c r="C133" s="34">
        <v>9</v>
      </c>
      <c r="D133" s="34" t="s">
        <v>54</v>
      </c>
      <c r="E133" s="34" t="str">
        <f>VLOOKUP(B133,Dane!$A$1:$G$1001,6,FALSE)</f>
        <v>własność</v>
      </c>
      <c r="F133" s="75">
        <f t="shared" si="23"/>
        <v>2</v>
      </c>
      <c r="G133" s="255">
        <f t="shared" si="24"/>
        <v>3.4617220743925032</v>
      </c>
    </row>
    <row r="134" spans="1:7" x14ac:dyDescent="0.3">
      <c r="A134" s="34">
        <v>76</v>
      </c>
      <c r="B134" s="34">
        <v>742</v>
      </c>
      <c r="C134" s="34">
        <v>10</v>
      </c>
      <c r="D134" s="34" t="s">
        <v>54</v>
      </c>
      <c r="E134" s="34" t="str">
        <f>VLOOKUP(B134,Dane!$A$1:$G$1001,6,FALSE)</f>
        <v>własność</v>
      </c>
      <c r="F134" s="75">
        <f t="shared" si="23"/>
        <v>2</v>
      </c>
      <c r="G134" s="255">
        <f t="shared" si="24"/>
        <v>3.4617220743925032</v>
      </c>
    </row>
    <row r="135" spans="1:7" x14ac:dyDescent="0.3">
      <c r="A135" s="34">
        <v>77</v>
      </c>
      <c r="B135" s="34">
        <v>980</v>
      </c>
      <c r="C135" s="34">
        <v>15</v>
      </c>
      <c r="D135" s="34" t="s">
        <v>55</v>
      </c>
      <c r="E135" s="34" t="str">
        <f>VLOOKUP(B135,Dane!$A$1:$G$1001,6,FALSE)</f>
        <v>wynajem</v>
      </c>
      <c r="F135" s="75">
        <f t="shared" si="23"/>
        <v>2</v>
      </c>
      <c r="G135" s="255">
        <f t="shared" si="24"/>
        <v>3.1382745138439323</v>
      </c>
    </row>
    <row r="136" spans="1:7" x14ac:dyDescent="0.3">
      <c r="A136" s="34">
        <v>78</v>
      </c>
      <c r="B136" s="34">
        <v>139</v>
      </c>
      <c r="C136" s="34">
        <v>15</v>
      </c>
      <c r="D136" s="34" t="s">
        <v>54</v>
      </c>
      <c r="E136" s="34" t="str">
        <f>VLOOKUP(B136,Dane!$A$1:$G$1001,6,FALSE)</f>
        <v>własność</v>
      </c>
      <c r="F136" s="75">
        <f t="shared" si="23"/>
        <v>2</v>
      </c>
      <c r="G136" s="255">
        <f t="shared" si="24"/>
        <v>3.4617220743925032</v>
      </c>
    </row>
    <row r="137" spans="1:7" x14ac:dyDescent="0.3">
      <c r="A137" s="34">
        <v>79</v>
      </c>
      <c r="B137" s="34">
        <v>2</v>
      </c>
      <c r="C137" s="34">
        <v>48</v>
      </c>
      <c r="D137" s="34" t="s">
        <v>57</v>
      </c>
      <c r="E137" s="34" t="str">
        <f>VLOOKUP(B137,Dane!$A$1:$G$1001,6,FALSE)</f>
        <v>własność</v>
      </c>
      <c r="F137" s="75">
        <f t="shared" si="23"/>
        <v>2</v>
      </c>
      <c r="G137" s="255">
        <f t="shared" si="24"/>
        <v>3.0783140411428902</v>
      </c>
    </row>
    <row r="138" spans="1:7" x14ac:dyDescent="0.3">
      <c r="A138" s="34">
        <v>80</v>
      </c>
      <c r="B138" s="34">
        <v>384</v>
      </c>
      <c r="C138" s="34">
        <v>12</v>
      </c>
      <c r="D138" s="34" t="s">
        <v>54</v>
      </c>
      <c r="E138" s="34" t="str">
        <f>VLOOKUP(B138,Dane!$A$1:$G$1001,6,FALSE)</f>
        <v>własność</v>
      </c>
      <c r="F138" s="75">
        <f t="shared" si="23"/>
        <v>2</v>
      </c>
      <c r="G138" s="255">
        <f t="shared" si="24"/>
        <v>3.4617220743925032</v>
      </c>
    </row>
    <row r="139" spans="1:7" x14ac:dyDescent="0.3">
      <c r="A139" s="34">
        <v>81</v>
      </c>
      <c r="B139" s="34">
        <v>741</v>
      </c>
      <c r="C139" s="34">
        <v>24</v>
      </c>
      <c r="D139" s="34" t="s">
        <v>54</v>
      </c>
      <c r="E139" s="34" t="str">
        <f>VLOOKUP(B139,Dane!$A$1:$G$1001,6,FALSE)</f>
        <v>własność</v>
      </c>
      <c r="F139" s="75">
        <f t="shared" si="23"/>
        <v>2</v>
      </c>
      <c r="G139" s="255">
        <f t="shared" si="24"/>
        <v>3.4617220743925032</v>
      </c>
    </row>
    <row r="140" spans="1:7" x14ac:dyDescent="0.3">
      <c r="A140" s="34">
        <v>82</v>
      </c>
      <c r="B140" s="34">
        <v>451</v>
      </c>
      <c r="C140" s="34">
        <v>36</v>
      </c>
      <c r="D140" s="34" t="s">
        <v>54</v>
      </c>
      <c r="E140" s="34" t="str">
        <f>VLOOKUP(B140,Dane!$A$1:$G$1001,6,FALSE)</f>
        <v>własność</v>
      </c>
      <c r="F140" s="75">
        <f t="shared" si="23"/>
        <v>2</v>
      </c>
      <c r="G140" s="255">
        <f t="shared" si="24"/>
        <v>3.4617220743925032</v>
      </c>
    </row>
    <row r="141" spans="1:7" x14ac:dyDescent="0.3">
      <c r="A141" s="34">
        <v>83</v>
      </c>
      <c r="B141" s="34">
        <v>681</v>
      </c>
      <c r="C141" s="34">
        <v>6</v>
      </c>
      <c r="D141" s="34" t="s">
        <v>56</v>
      </c>
      <c r="E141" s="34" t="str">
        <f>VLOOKUP(B141,Dane!$A$1:$G$1001,6,FALSE)</f>
        <v>własność</v>
      </c>
      <c r="F141" s="75">
        <f t="shared" si="23"/>
        <v>2</v>
      </c>
      <c r="G141" s="255">
        <f t="shared" si="24"/>
        <v>3.1526577863618672</v>
      </c>
    </row>
    <row r="142" spans="1:7" x14ac:dyDescent="0.3">
      <c r="A142" s="34">
        <v>84</v>
      </c>
      <c r="B142" s="34">
        <v>13</v>
      </c>
      <c r="C142" s="34">
        <v>12</v>
      </c>
      <c r="D142" s="34" t="s">
        <v>56</v>
      </c>
      <c r="E142" s="34" t="str">
        <f>VLOOKUP(B142,Dane!$A$1:$G$1001,6,FALSE)</f>
        <v>własność</v>
      </c>
      <c r="F142" s="75">
        <f t="shared" si="23"/>
        <v>2</v>
      </c>
      <c r="G142" s="255">
        <f t="shared" si="24"/>
        <v>3.1526577863618672</v>
      </c>
    </row>
    <row r="143" spans="1:7" x14ac:dyDescent="0.3">
      <c r="A143" s="34">
        <v>85</v>
      </c>
      <c r="B143" s="34">
        <v>221</v>
      </c>
      <c r="C143" s="34">
        <v>12</v>
      </c>
      <c r="D143" s="34" t="s">
        <v>54</v>
      </c>
      <c r="E143" s="34" t="str">
        <f>VLOOKUP(B143,Dane!$A$1:$G$1001,6,FALSE)</f>
        <v>własność</v>
      </c>
      <c r="F143" s="75">
        <f t="shared" si="23"/>
        <v>2</v>
      </c>
      <c r="G143" s="255">
        <f t="shared" si="24"/>
        <v>3.4617220743925032</v>
      </c>
    </row>
    <row r="144" spans="1:7" x14ac:dyDescent="0.3">
      <c r="A144" s="34">
        <v>86</v>
      </c>
      <c r="B144" s="34">
        <v>946</v>
      </c>
      <c r="C144" s="34">
        <v>48</v>
      </c>
      <c r="D144" s="34" t="s">
        <v>56</v>
      </c>
      <c r="E144" s="34" t="str">
        <f>VLOOKUP(B144,Dane!$A$1:$G$1001,6,FALSE)</f>
        <v>własność</v>
      </c>
      <c r="F144" s="75">
        <f t="shared" si="23"/>
        <v>2</v>
      </c>
      <c r="G144" s="255">
        <f t="shared" si="24"/>
        <v>3.1526577863618672</v>
      </c>
    </row>
    <row r="145" spans="1:7" x14ac:dyDescent="0.3">
      <c r="A145" s="34">
        <v>87</v>
      </c>
      <c r="B145" s="34">
        <v>206</v>
      </c>
      <c r="C145" s="34">
        <v>30</v>
      </c>
      <c r="D145" s="34" t="s">
        <v>54</v>
      </c>
      <c r="E145" s="34" t="str">
        <f>VLOOKUP(B145,Dane!$A$1:$G$1001,6,FALSE)</f>
        <v>za darmo</v>
      </c>
      <c r="F145" s="75">
        <f t="shared" si="23"/>
        <v>2</v>
      </c>
      <c r="G145" s="255">
        <f t="shared" si="24"/>
        <v>3.9675968376047344</v>
      </c>
    </row>
    <row r="146" spans="1:7" x14ac:dyDescent="0.3">
      <c r="A146" s="34">
        <v>88</v>
      </c>
      <c r="B146" s="34">
        <v>684</v>
      </c>
      <c r="C146" s="34">
        <v>24</v>
      </c>
      <c r="D146" s="34" t="s">
        <v>54</v>
      </c>
      <c r="E146" s="34" t="str">
        <f>VLOOKUP(B146,Dane!$A$1:$G$1001,6,FALSE)</f>
        <v>za darmo</v>
      </c>
      <c r="F146" s="75">
        <f t="shared" si="23"/>
        <v>2</v>
      </c>
      <c r="G146" s="255">
        <f t="shared" si="24"/>
        <v>3.9675968376047344</v>
      </c>
    </row>
    <row r="147" spans="1:7" x14ac:dyDescent="0.3">
      <c r="A147" s="34">
        <v>89</v>
      </c>
      <c r="B147" s="34">
        <v>629</v>
      </c>
      <c r="C147" s="34">
        <v>42</v>
      </c>
      <c r="D147" s="34" t="s">
        <v>54</v>
      </c>
      <c r="E147" s="34" t="str">
        <f>VLOOKUP(B147,Dane!$A$1:$G$1001,6,FALSE)</f>
        <v>własność</v>
      </c>
      <c r="F147" s="75">
        <f t="shared" si="23"/>
        <v>2</v>
      </c>
      <c r="G147" s="255">
        <f t="shared" si="24"/>
        <v>3.4617220743925032</v>
      </c>
    </row>
    <row r="148" spans="1:7" x14ac:dyDescent="0.3">
      <c r="A148" s="34">
        <v>90</v>
      </c>
      <c r="B148" s="34">
        <v>906</v>
      </c>
      <c r="C148" s="34">
        <v>12</v>
      </c>
      <c r="D148" s="34" t="s">
        <v>54</v>
      </c>
      <c r="E148" s="34" t="str">
        <f>VLOOKUP(B148,Dane!$A$1:$G$1001,6,FALSE)</f>
        <v>wynajem</v>
      </c>
      <c r="F148" s="75">
        <f t="shared" si="23"/>
        <v>2</v>
      </c>
      <c r="G148" s="255">
        <f t="shared" si="24"/>
        <v>3.1623877469640194</v>
      </c>
    </row>
    <row r="149" spans="1:7" x14ac:dyDescent="0.3">
      <c r="A149" s="34">
        <v>91</v>
      </c>
      <c r="B149" s="34">
        <v>776</v>
      </c>
      <c r="C149" s="34">
        <v>24</v>
      </c>
      <c r="D149" s="34" t="s">
        <v>57</v>
      </c>
      <c r="E149" s="34" t="str">
        <f>VLOOKUP(B149,Dane!$A$1:$G$1001,6,FALSE)</f>
        <v>wynajem</v>
      </c>
      <c r="F149" s="75">
        <f t="shared" si="23"/>
        <v>2</v>
      </c>
      <c r="G149" s="255">
        <f t="shared" si="24"/>
        <v>2.8121329199213467</v>
      </c>
    </row>
    <row r="150" spans="1:7" x14ac:dyDescent="0.3">
      <c r="A150" s="34">
        <v>92</v>
      </c>
      <c r="B150" s="34">
        <v>154</v>
      </c>
      <c r="C150" s="34">
        <v>24</v>
      </c>
      <c r="D150" s="34" t="s">
        <v>56</v>
      </c>
      <c r="E150" s="34" t="str">
        <f>VLOOKUP(B150,Dane!$A$1:$G$1001,6,FALSE)</f>
        <v>wynajem</v>
      </c>
      <c r="F150" s="75">
        <f t="shared" si="23"/>
        <v>2</v>
      </c>
      <c r="G150" s="255">
        <f t="shared" si="24"/>
        <v>2.8800481782498673</v>
      </c>
    </row>
    <row r="151" spans="1:7" x14ac:dyDescent="0.3">
      <c r="A151" s="34">
        <v>93</v>
      </c>
      <c r="B151" s="34">
        <v>465</v>
      </c>
      <c r="C151" s="34">
        <v>18</v>
      </c>
      <c r="D151" s="34" t="s">
        <v>54</v>
      </c>
      <c r="E151" s="34" t="str">
        <f>VLOOKUP(B151,Dane!$A$1:$G$1001,6,FALSE)</f>
        <v>własność</v>
      </c>
      <c r="F151" s="75">
        <f t="shared" si="23"/>
        <v>2</v>
      </c>
      <c r="G151" s="255">
        <f t="shared" si="24"/>
        <v>3.4617220743925032</v>
      </c>
    </row>
    <row r="152" spans="1:7" x14ac:dyDescent="0.3">
      <c r="A152" s="34">
        <v>94</v>
      </c>
      <c r="B152" s="34">
        <v>501</v>
      </c>
      <c r="C152" s="34">
        <v>24</v>
      </c>
      <c r="D152" s="34" t="s">
        <v>57</v>
      </c>
      <c r="E152" s="34" t="str">
        <f>VLOOKUP(B152,Dane!$A$1:$G$1001,6,FALSE)</f>
        <v>własność</v>
      </c>
      <c r="F152" s="75">
        <f t="shared" si="23"/>
        <v>2</v>
      </c>
      <c r="G152" s="255">
        <f t="shared" si="24"/>
        <v>3.0783140411428902</v>
      </c>
    </row>
    <row r="153" spans="1:7" x14ac:dyDescent="0.3">
      <c r="A153" s="34">
        <v>95</v>
      </c>
      <c r="B153" s="34">
        <v>813</v>
      </c>
      <c r="C153" s="34">
        <v>36</v>
      </c>
      <c r="D153" s="34" t="s">
        <v>55</v>
      </c>
      <c r="E153" s="34" t="str">
        <f>VLOOKUP(B153,Dane!$A$1:$G$1001,6,FALSE)</f>
        <v>własność</v>
      </c>
      <c r="F153" s="75">
        <f t="shared" si="23"/>
        <v>2</v>
      </c>
      <c r="G153" s="255">
        <f t="shared" si="24"/>
        <v>3.4353264145127431</v>
      </c>
    </row>
    <row r="154" spans="1:7" x14ac:dyDescent="0.3">
      <c r="A154" s="34">
        <v>96</v>
      </c>
      <c r="B154" s="34">
        <v>30</v>
      </c>
      <c r="C154" s="34">
        <v>60</v>
      </c>
      <c r="D154" s="34" t="s">
        <v>55</v>
      </c>
      <c r="E154" s="34" t="str">
        <f>VLOOKUP(B154,Dane!$A$1:$G$1001,6,FALSE)</f>
        <v>własność</v>
      </c>
      <c r="F154" s="75">
        <f t="shared" si="23"/>
        <v>2</v>
      </c>
      <c r="G154" s="255">
        <f t="shared" si="24"/>
        <v>3.4353264145127431</v>
      </c>
    </row>
    <row r="155" spans="1:7" x14ac:dyDescent="0.3">
      <c r="A155" s="34">
        <v>97</v>
      </c>
      <c r="B155" s="34">
        <v>120</v>
      </c>
      <c r="C155" s="34">
        <v>12</v>
      </c>
      <c r="D155" s="34" t="s">
        <v>54</v>
      </c>
      <c r="E155" s="34" t="str">
        <f>VLOOKUP(B155,Dane!$A$1:$G$1001,6,FALSE)</f>
        <v>własność</v>
      </c>
      <c r="F155" s="75">
        <f t="shared" si="23"/>
        <v>2</v>
      </c>
      <c r="G155" s="255">
        <f t="shared" si="24"/>
        <v>3.4617220743925032</v>
      </c>
    </row>
    <row r="156" spans="1:7" x14ac:dyDescent="0.3">
      <c r="A156" s="34">
        <v>98</v>
      </c>
      <c r="B156" s="34">
        <v>272</v>
      </c>
      <c r="C156" s="34">
        <v>12</v>
      </c>
      <c r="D156" s="34" t="s">
        <v>56</v>
      </c>
      <c r="E156" s="34" t="str">
        <f>VLOOKUP(B156,Dane!$A$1:$G$1001,6,FALSE)</f>
        <v>wynajem</v>
      </c>
      <c r="F156" s="75">
        <f t="shared" si="23"/>
        <v>2</v>
      </c>
      <c r="G156" s="255">
        <f t="shared" si="24"/>
        <v>2.8800481782498673</v>
      </c>
    </row>
    <row r="157" spans="1:7" x14ac:dyDescent="0.3">
      <c r="A157" s="34">
        <v>99</v>
      </c>
      <c r="B157" s="34">
        <v>768</v>
      </c>
      <c r="C157" s="34">
        <v>10</v>
      </c>
      <c r="D157" s="34" t="s">
        <v>56</v>
      </c>
      <c r="E157" s="34" t="str">
        <f>VLOOKUP(B157,Dane!$A$1:$G$1001,6,FALSE)</f>
        <v>wynajem</v>
      </c>
      <c r="F157" s="75">
        <f t="shared" si="23"/>
        <v>2</v>
      </c>
      <c r="G157" s="255">
        <f t="shared" si="24"/>
        <v>2.8800481782498673</v>
      </c>
    </row>
    <row r="158" spans="1:7" x14ac:dyDescent="0.3">
      <c r="A158" s="34">
        <v>100</v>
      </c>
      <c r="B158" s="34">
        <v>205</v>
      </c>
      <c r="C158" s="34">
        <v>12</v>
      </c>
      <c r="D158" s="34" t="s">
        <v>54</v>
      </c>
      <c r="E158" s="34" t="str">
        <f>VLOOKUP(B158,Dane!$A$1:$G$1001,6,FALSE)</f>
        <v>własność</v>
      </c>
      <c r="F158" s="75">
        <f t="shared" si="23"/>
        <v>2</v>
      </c>
      <c r="G158" s="255">
        <f t="shared" si="24"/>
        <v>3.4617220743925032</v>
      </c>
    </row>
    <row r="159" spans="1:7" x14ac:dyDescent="0.3">
      <c r="A159" s="34">
        <v>101</v>
      </c>
      <c r="B159" s="34">
        <v>260</v>
      </c>
      <c r="C159" s="34">
        <v>11</v>
      </c>
      <c r="D159" s="34" t="s">
        <v>56</v>
      </c>
      <c r="E159" s="34" t="str">
        <f>VLOOKUP(B159,Dane!$A$1:$G$1001,6,FALSE)</f>
        <v>własność</v>
      </c>
      <c r="F159" s="75">
        <f t="shared" si="23"/>
        <v>2</v>
      </c>
      <c r="G159" s="255">
        <f t="shared" si="24"/>
        <v>3.1526577863618672</v>
      </c>
    </row>
    <row r="160" spans="1:7" x14ac:dyDescent="0.3">
      <c r="A160" s="34">
        <v>102</v>
      </c>
      <c r="B160" s="34">
        <v>375</v>
      </c>
      <c r="C160" s="34">
        <v>60</v>
      </c>
      <c r="D160" s="34" t="s">
        <v>57</v>
      </c>
      <c r="E160" s="34" t="str">
        <f>VLOOKUP(B160,Dane!$A$1:$G$1001,6,FALSE)</f>
        <v>za darmo</v>
      </c>
      <c r="F160" s="75">
        <f t="shared" si="23"/>
        <v>2</v>
      </c>
      <c r="G160" s="255">
        <f t="shared" si="24"/>
        <v>3.5281599135702226</v>
      </c>
    </row>
    <row r="161" spans="1:7" x14ac:dyDescent="0.3">
      <c r="A161" s="34">
        <v>103</v>
      </c>
      <c r="B161" s="34">
        <v>640</v>
      </c>
      <c r="C161" s="34">
        <v>42</v>
      </c>
      <c r="D161" s="34" t="s">
        <v>55</v>
      </c>
      <c r="E161" s="34" t="str">
        <f>VLOOKUP(B161,Dane!$A$1:$G$1001,6,FALSE)</f>
        <v>własność</v>
      </c>
      <c r="F161" s="75">
        <f t="shared" si="23"/>
        <v>2</v>
      </c>
      <c r="G161" s="255">
        <f t="shared" si="24"/>
        <v>3.4353264145127431</v>
      </c>
    </row>
    <row r="162" spans="1:7" x14ac:dyDescent="0.3">
      <c r="A162" s="34">
        <v>104</v>
      </c>
      <c r="B162" s="34">
        <v>508</v>
      </c>
      <c r="C162" s="34">
        <v>15</v>
      </c>
      <c r="D162" s="34" t="s">
        <v>55</v>
      </c>
      <c r="E162" s="34" t="str">
        <f>VLOOKUP(B162,Dane!$A$1:$G$1001,6,FALSE)</f>
        <v>własność</v>
      </c>
      <c r="F162" s="75">
        <f t="shared" si="23"/>
        <v>2</v>
      </c>
      <c r="G162" s="255">
        <f t="shared" si="24"/>
        <v>3.4353264145127431</v>
      </c>
    </row>
    <row r="163" spans="1:7" x14ac:dyDescent="0.3">
      <c r="A163" s="34">
        <v>105</v>
      </c>
      <c r="B163" s="34">
        <v>117</v>
      </c>
      <c r="C163" s="34">
        <v>42</v>
      </c>
      <c r="D163" s="34" t="s">
        <v>57</v>
      </c>
      <c r="E163" s="34" t="str">
        <f>VLOOKUP(B163,Dane!$A$1:$G$1001,6,FALSE)</f>
        <v>własność</v>
      </c>
      <c r="F163" s="75">
        <f t="shared" si="23"/>
        <v>2</v>
      </c>
      <c r="G163" s="255">
        <f t="shared" si="24"/>
        <v>3.0783140411428902</v>
      </c>
    </row>
    <row r="164" spans="1:7" x14ac:dyDescent="0.3">
      <c r="A164" s="34">
        <v>106</v>
      </c>
      <c r="B164" s="34">
        <v>935</v>
      </c>
      <c r="C164" s="34">
        <v>12</v>
      </c>
      <c r="D164" s="34" t="s">
        <v>56</v>
      </c>
      <c r="E164" s="34" t="str">
        <f>VLOOKUP(B164,Dane!$A$1:$G$1001,6,FALSE)</f>
        <v>własność</v>
      </c>
      <c r="F164" s="75">
        <f t="shared" si="23"/>
        <v>2</v>
      </c>
      <c r="G164" s="255">
        <f t="shared" si="24"/>
        <v>3.1526577863618672</v>
      </c>
    </row>
    <row r="165" spans="1:7" x14ac:dyDescent="0.3">
      <c r="A165" s="34">
        <v>107</v>
      </c>
      <c r="B165" s="34">
        <v>976</v>
      </c>
      <c r="C165" s="34">
        <v>24</v>
      </c>
      <c r="D165" s="34" t="s">
        <v>56</v>
      </c>
      <c r="E165" s="34" t="str">
        <f>VLOOKUP(B165,Dane!$A$1:$G$1001,6,FALSE)</f>
        <v>własność</v>
      </c>
      <c r="F165" s="75">
        <f t="shared" si="23"/>
        <v>2</v>
      </c>
      <c r="G165" s="255">
        <f t="shared" si="24"/>
        <v>3.1526577863618672</v>
      </c>
    </row>
    <row r="166" spans="1:7" x14ac:dyDescent="0.3">
      <c r="A166" s="34">
        <v>108</v>
      </c>
      <c r="B166" s="34">
        <v>258</v>
      </c>
      <c r="C166" s="34">
        <v>12</v>
      </c>
      <c r="D166" s="34" t="s">
        <v>55</v>
      </c>
      <c r="E166" s="34" t="str">
        <f>VLOOKUP(B166,Dane!$A$1:$G$1001,6,FALSE)</f>
        <v>za darmo</v>
      </c>
      <c r="F166" s="75">
        <f t="shared" si="23"/>
        <v>2</v>
      </c>
      <c r="G166" s="255">
        <f t="shared" si="24"/>
        <v>3.9373438784084649</v>
      </c>
    </row>
    <row r="167" spans="1:7" x14ac:dyDescent="0.3">
      <c r="A167" s="34">
        <v>109</v>
      </c>
      <c r="B167" s="34">
        <v>452</v>
      </c>
      <c r="C167" s="34">
        <v>6</v>
      </c>
      <c r="D167" s="34" t="s">
        <v>56</v>
      </c>
      <c r="E167" s="34" t="str">
        <f>VLOOKUP(B167,Dane!$A$1:$G$1001,6,FALSE)</f>
        <v>własność</v>
      </c>
      <c r="F167" s="75">
        <f t="shared" si="23"/>
        <v>2</v>
      </c>
      <c r="G167" s="255">
        <f t="shared" si="24"/>
        <v>3.1526577863618672</v>
      </c>
    </row>
    <row r="168" spans="1:7" x14ac:dyDescent="0.3">
      <c r="A168" s="34">
        <v>110</v>
      </c>
      <c r="B168" s="34">
        <v>47</v>
      </c>
      <c r="C168" s="34">
        <v>36</v>
      </c>
      <c r="D168" s="34" t="s">
        <v>54</v>
      </c>
      <c r="E168" s="34" t="str">
        <f>VLOOKUP(B168,Dane!$A$1:$G$1001,6,FALSE)</f>
        <v>własność</v>
      </c>
      <c r="F168" s="75">
        <f t="shared" si="23"/>
        <v>2</v>
      </c>
      <c r="G168" s="255">
        <f t="shared" si="24"/>
        <v>3.4617220743925032</v>
      </c>
    </row>
    <row r="169" spans="1:7" x14ac:dyDescent="0.3">
      <c r="A169" s="34">
        <v>111</v>
      </c>
      <c r="B169" s="34">
        <v>920</v>
      </c>
      <c r="C169" s="34">
        <v>24</v>
      </c>
      <c r="D169" s="34" t="s">
        <v>55</v>
      </c>
      <c r="E169" s="34" t="str">
        <f>VLOOKUP(B169,Dane!$A$1:$G$1001,6,FALSE)</f>
        <v>wynajem</v>
      </c>
      <c r="F169" s="75">
        <f t="shared" si="23"/>
        <v>2</v>
      </c>
      <c r="G169" s="255">
        <f t="shared" si="24"/>
        <v>3.1382745138439323</v>
      </c>
    </row>
    <row r="170" spans="1:7" x14ac:dyDescent="0.3">
      <c r="A170" s="34">
        <v>112</v>
      </c>
      <c r="B170" s="34">
        <v>972</v>
      </c>
      <c r="C170" s="34">
        <v>24</v>
      </c>
      <c r="D170" s="34" t="s">
        <v>54</v>
      </c>
      <c r="E170" s="34" t="str">
        <f>VLOOKUP(B170,Dane!$A$1:$G$1001,6,FALSE)</f>
        <v>własność</v>
      </c>
      <c r="F170" s="75">
        <f t="shared" si="23"/>
        <v>2</v>
      </c>
      <c r="G170" s="255">
        <f t="shared" si="24"/>
        <v>3.4617220743925032</v>
      </c>
    </row>
    <row r="171" spans="1:7" x14ac:dyDescent="0.3">
      <c r="A171" s="34">
        <v>113</v>
      </c>
      <c r="B171" s="34">
        <v>74</v>
      </c>
      <c r="C171" s="34">
        <v>42</v>
      </c>
      <c r="D171" s="34" t="s">
        <v>56</v>
      </c>
      <c r="E171" s="34" t="str">
        <f>VLOOKUP(B171,Dane!$A$1:$G$1001,6,FALSE)</f>
        <v>własność</v>
      </c>
      <c r="F171" s="75">
        <f t="shared" si="23"/>
        <v>2</v>
      </c>
      <c r="G171" s="255">
        <f t="shared" si="24"/>
        <v>3.1526577863618672</v>
      </c>
    </row>
    <row r="172" spans="1:7" x14ac:dyDescent="0.3">
      <c r="A172" s="34">
        <v>114</v>
      </c>
      <c r="B172" s="34">
        <v>862</v>
      </c>
      <c r="C172" s="34">
        <v>18</v>
      </c>
      <c r="D172" s="34" t="s">
        <v>55</v>
      </c>
      <c r="E172" s="34" t="str">
        <f>VLOOKUP(B172,Dane!$A$1:$G$1001,6,FALSE)</f>
        <v>własność</v>
      </c>
      <c r="F172" s="75">
        <f t="shared" si="23"/>
        <v>2</v>
      </c>
      <c r="G172" s="255">
        <f t="shared" si="24"/>
        <v>3.4353264145127431</v>
      </c>
    </row>
    <row r="173" spans="1:7" x14ac:dyDescent="0.3">
      <c r="A173" s="34">
        <v>115</v>
      </c>
      <c r="B173" s="34">
        <v>675</v>
      </c>
      <c r="C173" s="34">
        <v>21</v>
      </c>
      <c r="D173" s="34" t="s">
        <v>55</v>
      </c>
      <c r="E173" s="34" t="str">
        <f>VLOOKUP(B173,Dane!$A$1:$G$1001,6,FALSE)</f>
        <v>własność</v>
      </c>
      <c r="F173" s="75">
        <f t="shared" si="23"/>
        <v>2</v>
      </c>
      <c r="G173" s="255">
        <f t="shared" si="24"/>
        <v>3.4353264145127431</v>
      </c>
    </row>
    <row r="174" spans="1:7" x14ac:dyDescent="0.3">
      <c r="A174" s="34">
        <v>116</v>
      </c>
      <c r="B174" s="34">
        <v>325</v>
      </c>
      <c r="C174" s="34">
        <v>18</v>
      </c>
      <c r="D174" s="34" t="s">
        <v>56</v>
      </c>
      <c r="E174" s="34" t="str">
        <f>VLOOKUP(B174,Dane!$A$1:$G$1001,6,FALSE)</f>
        <v>własność</v>
      </c>
      <c r="F174" s="75">
        <f t="shared" si="23"/>
        <v>2</v>
      </c>
      <c r="G174" s="255">
        <f t="shared" si="24"/>
        <v>3.1526577863618672</v>
      </c>
    </row>
    <row r="175" spans="1:7" x14ac:dyDescent="0.3">
      <c r="A175" s="34">
        <v>117</v>
      </c>
      <c r="B175" s="34">
        <v>595</v>
      </c>
      <c r="C175" s="34">
        <v>24</v>
      </c>
      <c r="D175" s="34" t="s">
        <v>55</v>
      </c>
      <c r="E175" s="34" t="str">
        <f>VLOOKUP(B175,Dane!$A$1:$G$1001,6,FALSE)</f>
        <v>własność</v>
      </c>
      <c r="F175" s="75">
        <f t="shared" si="23"/>
        <v>2</v>
      </c>
      <c r="G175" s="255">
        <f t="shared" si="24"/>
        <v>3.4353264145127431</v>
      </c>
    </row>
    <row r="176" spans="1:7" x14ac:dyDescent="0.3">
      <c r="A176" s="34">
        <v>118</v>
      </c>
      <c r="B176" s="34">
        <v>162</v>
      </c>
      <c r="C176" s="34">
        <v>18</v>
      </c>
      <c r="D176" s="34" t="s">
        <v>56</v>
      </c>
      <c r="E176" s="34" t="str">
        <f>VLOOKUP(B176,Dane!$A$1:$G$1001,6,FALSE)</f>
        <v>własność</v>
      </c>
      <c r="F176" s="75">
        <f t="shared" si="23"/>
        <v>2</v>
      </c>
      <c r="G176" s="255">
        <f t="shared" si="24"/>
        <v>3.1526577863618672</v>
      </c>
    </row>
    <row r="177" spans="1:7" x14ac:dyDescent="0.3">
      <c r="A177" s="34">
        <v>119</v>
      </c>
      <c r="B177" s="34">
        <v>424</v>
      </c>
      <c r="C177" s="34">
        <v>21</v>
      </c>
      <c r="D177" s="34" t="s">
        <v>54</v>
      </c>
      <c r="E177" s="34" t="str">
        <f>VLOOKUP(B177,Dane!$A$1:$G$1001,6,FALSE)</f>
        <v>własność</v>
      </c>
      <c r="F177" s="75">
        <f t="shared" si="23"/>
        <v>2</v>
      </c>
      <c r="G177" s="255">
        <f t="shared" si="24"/>
        <v>3.4617220743925032</v>
      </c>
    </row>
    <row r="178" spans="1:7" x14ac:dyDescent="0.3">
      <c r="A178" s="34">
        <v>120</v>
      </c>
      <c r="B178" s="34">
        <v>506</v>
      </c>
      <c r="C178" s="34">
        <v>10</v>
      </c>
      <c r="D178" s="34" t="s">
        <v>55</v>
      </c>
      <c r="E178" s="34" t="str">
        <f>VLOOKUP(B178,Dane!$A$1:$G$1001,6,FALSE)</f>
        <v>własność</v>
      </c>
      <c r="F178" s="75">
        <f t="shared" si="23"/>
        <v>2</v>
      </c>
      <c r="G178" s="255">
        <f t="shared" si="24"/>
        <v>3.4353264145127431</v>
      </c>
    </row>
    <row r="179" spans="1:7" x14ac:dyDescent="0.3">
      <c r="A179" s="34">
        <v>121</v>
      </c>
      <c r="B179" s="34">
        <v>119</v>
      </c>
      <c r="C179" s="34">
        <v>33</v>
      </c>
      <c r="D179" s="34" t="s">
        <v>57</v>
      </c>
      <c r="E179" s="34" t="str">
        <f>VLOOKUP(B179,Dane!$A$1:$G$1001,6,FALSE)</f>
        <v>własność</v>
      </c>
      <c r="F179" s="75">
        <f t="shared" si="23"/>
        <v>2</v>
      </c>
      <c r="G179" s="255">
        <f t="shared" si="24"/>
        <v>3.0783140411428902</v>
      </c>
    </row>
    <row r="180" spans="1:7" x14ac:dyDescent="0.3">
      <c r="A180" s="34">
        <v>122</v>
      </c>
      <c r="B180" s="34">
        <v>760</v>
      </c>
      <c r="C180" s="34">
        <v>12</v>
      </c>
      <c r="D180" s="34" t="s">
        <v>55</v>
      </c>
      <c r="E180" s="34" t="str">
        <f>VLOOKUP(B180,Dane!$A$1:$G$1001,6,FALSE)</f>
        <v>własność</v>
      </c>
      <c r="F180" s="75">
        <f t="shared" si="23"/>
        <v>2</v>
      </c>
      <c r="G180" s="255">
        <f t="shared" si="24"/>
        <v>3.4353264145127431</v>
      </c>
    </row>
    <row r="181" spans="1:7" x14ac:dyDescent="0.3">
      <c r="A181" s="34">
        <v>123</v>
      </c>
      <c r="B181" s="34">
        <v>226</v>
      </c>
      <c r="C181" s="34">
        <v>36</v>
      </c>
      <c r="D181" s="34" t="s">
        <v>54</v>
      </c>
      <c r="E181" s="34" t="str">
        <f>VLOOKUP(B181,Dane!$A$1:$G$1001,6,FALSE)</f>
        <v>własność</v>
      </c>
      <c r="F181" s="75">
        <f t="shared" si="23"/>
        <v>2</v>
      </c>
      <c r="G181" s="255">
        <f t="shared" si="24"/>
        <v>3.4617220743925032</v>
      </c>
    </row>
    <row r="182" spans="1:7" x14ac:dyDescent="0.3">
      <c r="A182" s="34">
        <v>124</v>
      </c>
      <c r="B182" s="34">
        <v>493</v>
      </c>
      <c r="C182" s="34">
        <v>6</v>
      </c>
      <c r="D182" s="34" t="s">
        <v>56</v>
      </c>
      <c r="E182" s="34" t="str">
        <f>VLOOKUP(B182,Dane!$A$1:$G$1001,6,FALSE)</f>
        <v>własność</v>
      </c>
      <c r="F182" s="75">
        <f t="shared" si="23"/>
        <v>2</v>
      </c>
      <c r="G182" s="255">
        <f t="shared" si="24"/>
        <v>3.1526577863618672</v>
      </c>
    </row>
    <row r="183" spans="1:7" x14ac:dyDescent="0.3">
      <c r="A183" s="34">
        <v>125</v>
      </c>
      <c r="B183" s="34">
        <v>819</v>
      </c>
      <c r="C183" s="34">
        <v>36</v>
      </c>
      <c r="D183" s="34" t="s">
        <v>54</v>
      </c>
      <c r="E183" s="34" t="str">
        <f>VLOOKUP(B183,Dane!$A$1:$G$1001,6,FALSE)</f>
        <v>własność</v>
      </c>
      <c r="F183" s="75">
        <f t="shared" si="23"/>
        <v>2</v>
      </c>
      <c r="G183" s="255">
        <f t="shared" si="24"/>
        <v>3.4617220743925032</v>
      </c>
    </row>
    <row r="184" spans="1:7" x14ac:dyDescent="0.3">
      <c r="A184" s="34">
        <v>126</v>
      </c>
      <c r="B184" s="34">
        <v>619</v>
      </c>
      <c r="C184" s="34">
        <v>30</v>
      </c>
      <c r="D184" s="34" t="s">
        <v>57</v>
      </c>
      <c r="E184" s="34" t="str">
        <f>VLOOKUP(B184,Dane!$A$1:$G$1001,6,FALSE)</f>
        <v>wynajem</v>
      </c>
      <c r="F184" s="75">
        <f t="shared" si="23"/>
        <v>2</v>
      </c>
      <c r="G184" s="255">
        <f t="shared" si="24"/>
        <v>2.8121329199213467</v>
      </c>
    </row>
    <row r="185" spans="1:7" x14ac:dyDescent="0.3">
      <c r="A185" s="34">
        <v>127</v>
      </c>
      <c r="B185" s="34">
        <v>34</v>
      </c>
      <c r="C185" s="34">
        <v>12</v>
      </c>
      <c r="D185" s="34" t="s">
        <v>54</v>
      </c>
      <c r="E185" s="34" t="str">
        <f>VLOOKUP(B185,Dane!$A$1:$G$1001,6,FALSE)</f>
        <v>wynajem</v>
      </c>
      <c r="F185" s="75">
        <f t="shared" si="23"/>
        <v>2</v>
      </c>
      <c r="G185" s="255">
        <f t="shared" si="24"/>
        <v>3.1623877469640194</v>
      </c>
    </row>
    <row r="186" spans="1:7" x14ac:dyDescent="0.3">
      <c r="A186" s="34">
        <v>128</v>
      </c>
      <c r="B186" s="34">
        <v>227</v>
      </c>
      <c r="C186" s="34">
        <v>48</v>
      </c>
      <c r="D186" s="34" t="s">
        <v>55</v>
      </c>
      <c r="E186" s="34" t="str">
        <f>VLOOKUP(B186,Dane!$A$1:$G$1001,6,FALSE)</f>
        <v>własność</v>
      </c>
      <c r="F186" s="75">
        <f t="shared" si="23"/>
        <v>2</v>
      </c>
      <c r="G186" s="255">
        <f t="shared" si="24"/>
        <v>3.4353264145127431</v>
      </c>
    </row>
    <row r="187" spans="1:7" x14ac:dyDescent="0.3">
      <c r="A187" s="34">
        <v>129</v>
      </c>
      <c r="B187" s="34">
        <v>319</v>
      </c>
      <c r="C187" s="34">
        <v>12</v>
      </c>
      <c r="D187" s="34" t="s">
        <v>54</v>
      </c>
      <c r="E187" s="34" t="str">
        <f>VLOOKUP(B187,Dane!$A$1:$G$1001,6,FALSE)</f>
        <v>własność</v>
      </c>
      <c r="F187" s="75">
        <f t="shared" si="23"/>
        <v>2</v>
      </c>
      <c r="G187" s="255">
        <f t="shared" si="24"/>
        <v>3.4617220743925032</v>
      </c>
    </row>
    <row r="188" spans="1:7" x14ac:dyDescent="0.3">
      <c r="A188" s="34">
        <v>130</v>
      </c>
      <c r="B188" s="34">
        <v>155</v>
      </c>
      <c r="C188" s="34">
        <v>24</v>
      </c>
      <c r="D188" s="34" t="s">
        <v>54</v>
      </c>
      <c r="E188" s="34" t="str">
        <f>VLOOKUP(B188,Dane!$A$1:$G$1001,6,FALSE)</f>
        <v>wynajem</v>
      </c>
      <c r="F188" s="75">
        <f t="shared" ref="F188:F251" si="25">$L$18/$L$19</f>
        <v>2</v>
      </c>
      <c r="G188" s="255">
        <f t="shared" ref="G188:G251" si="26">INDEX($C$47:$E$50, MATCH(D188, $B$47:$B$50, 0), MATCH(E188, $C$46:$E$46, 0))</f>
        <v>3.1623877469640194</v>
      </c>
    </row>
    <row r="189" spans="1:7" x14ac:dyDescent="0.3">
      <c r="A189" s="34">
        <v>131</v>
      </c>
      <c r="B189" s="34">
        <v>673</v>
      </c>
      <c r="C189" s="34">
        <v>60</v>
      </c>
      <c r="D189" s="34" t="s">
        <v>54</v>
      </c>
      <c r="E189" s="34" t="str">
        <f>VLOOKUP(B189,Dane!$A$1:$G$1001,6,FALSE)</f>
        <v>własność</v>
      </c>
      <c r="F189" s="75">
        <f t="shared" si="25"/>
        <v>2</v>
      </c>
      <c r="G189" s="255">
        <f t="shared" si="26"/>
        <v>3.4617220743925032</v>
      </c>
    </row>
    <row r="190" spans="1:7" x14ac:dyDescent="0.3">
      <c r="A190" s="34">
        <v>132</v>
      </c>
      <c r="B190" s="34">
        <v>194</v>
      </c>
      <c r="C190" s="34">
        <v>6</v>
      </c>
      <c r="D190" s="34" t="s">
        <v>54</v>
      </c>
      <c r="E190" s="34" t="str">
        <f>VLOOKUP(B190,Dane!$A$1:$G$1001,6,FALSE)</f>
        <v>wynajem</v>
      </c>
      <c r="F190" s="75">
        <f t="shared" si="25"/>
        <v>2</v>
      </c>
      <c r="G190" s="255">
        <f t="shared" si="26"/>
        <v>3.1623877469640194</v>
      </c>
    </row>
    <row r="191" spans="1:7" x14ac:dyDescent="0.3">
      <c r="A191" s="34">
        <v>133</v>
      </c>
      <c r="B191" s="34">
        <v>436</v>
      </c>
      <c r="C191" s="34">
        <v>12</v>
      </c>
      <c r="D191" s="34" t="s">
        <v>55</v>
      </c>
      <c r="E191" s="34" t="str">
        <f>VLOOKUP(B191,Dane!$A$1:$G$1001,6,FALSE)</f>
        <v>własność</v>
      </c>
      <c r="F191" s="75">
        <f t="shared" si="25"/>
        <v>2</v>
      </c>
      <c r="G191" s="255">
        <f t="shared" si="26"/>
        <v>3.4353264145127431</v>
      </c>
    </row>
    <row r="192" spans="1:7" x14ac:dyDescent="0.3">
      <c r="A192" s="34">
        <v>134</v>
      </c>
      <c r="B192" s="34">
        <v>304</v>
      </c>
      <c r="C192" s="34">
        <v>10</v>
      </c>
      <c r="D192" s="34" t="s">
        <v>54</v>
      </c>
      <c r="E192" s="34" t="str">
        <f>VLOOKUP(B192,Dane!$A$1:$G$1001,6,FALSE)</f>
        <v>własność</v>
      </c>
      <c r="F192" s="75">
        <f t="shared" si="25"/>
        <v>2</v>
      </c>
      <c r="G192" s="255">
        <f t="shared" si="26"/>
        <v>3.4617220743925032</v>
      </c>
    </row>
    <row r="193" spans="1:7" x14ac:dyDescent="0.3">
      <c r="A193" s="34">
        <v>135</v>
      </c>
      <c r="B193" s="34">
        <v>439</v>
      </c>
      <c r="C193" s="34">
        <v>42</v>
      </c>
      <c r="D193" s="34" t="s">
        <v>54</v>
      </c>
      <c r="E193" s="34" t="str">
        <f>VLOOKUP(B193,Dane!$A$1:$G$1001,6,FALSE)</f>
        <v>własność</v>
      </c>
      <c r="F193" s="75">
        <f t="shared" si="25"/>
        <v>2</v>
      </c>
      <c r="G193" s="255">
        <f t="shared" si="26"/>
        <v>3.4617220743925032</v>
      </c>
    </row>
    <row r="194" spans="1:7" x14ac:dyDescent="0.3">
      <c r="A194" s="34">
        <v>136</v>
      </c>
      <c r="B194" s="34">
        <v>499</v>
      </c>
      <c r="C194" s="34">
        <v>18</v>
      </c>
      <c r="D194" s="34" t="s">
        <v>54</v>
      </c>
      <c r="E194" s="34" t="str">
        <f>VLOOKUP(B194,Dane!$A$1:$G$1001,6,FALSE)</f>
        <v>własność</v>
      </c>
      <c r="F194" s="75">
        <f t="shared" si="25"/>
        <v>2</v>
      </c>
      <c r="G194" s="255">
        <f t="shared" si="26"/>
        <v>3.4617220743925032</v>
      </c>
    </row>
    <row r="195" spans="1:7" x14ac:dyDescent="0.3">
      <c r="A195" s="34">
        <v>137</v>
      </c>
      <c r="B195" s="34">
        <v>708</v>
      </c>
      <c r="C195" s="34">
        <v>12</v>
      </c>
      <c r="D195" s="34" t="s">
        <v>57</v>
      </c>
      <c r="E195" s="34" t="str">
        <f>VLOOKUP(B195,Dane!$A$1:$G$1001,6,FALSE)</f>
        <v>wynajem</v>
      </c>
      <c r="F195" s="75">
        <f t="shared" si="25"/>
        <v>2</v>
      </c>
      <c r="G195" s="255">
        <f t="shared" si="26"/>
        <v>2.8121329199213467</v>
      </c>
    </row>
    <row r="196" spans="1:7" x14ac:dyDescent="0.3">
      <c r="A196" s="34">
        <v>138</v>
      </c>
      <c r="B196" s="34">
        <v>778</v>
      </c>
      <c r="C196" s="34">
        <v>18</v>
      </c>
      <c r="D196" s="34" t="s">
        <v>56</v>
      </c>
      <c r="E196" s="34" t="str">
        <f>VLOOKUP(B196,Dane!$A$1:$G$1001,6,FALSE)</f>
        <v>własność</v>
      </c>
      <c r="F196" s="75">
        <f t="shared" si="25"/>
        <v>2</v>
      </c>
      <c r="G196" s="255">
        <f t="shared" si="26"/>
        <v>3.1526577863618672</v>
      </c>
    </row>
    <row r="197" spans="1:7" x14ac:dyDescent="0.3">
      <c r="A197" s="34">
        <v>139</v>
      </c>
      <c r="B197" s="34">
        <v>914</v>
      </c>
      <c r="C197" s="34">
        <v>11</v>
      </c>
      <c r="D197" s="34" t="s">
        <v>54</v>
      </c>
      <c r="E197" s="34" t="str">
        <f>VLOOKUP(B197,Dane!$A$1:$G$1001,6,FALSE)</f>
        <v>własność</v>
      </c>
      <c r="F197" s="75">
        <f t="shared" si="25"/>
        <v>2</v>
      </c>
      <c r="G197" s="255">
        <f t="shared" si="26"/>
        <v>3.4617220743925032</v>
      </c>
    </row>
    <row r="198" spans="1:7" x14ac:dyDescent="0.3">
      <c r="A198" s="34">
        <v>140</v>
      </c>
      <c r="B198" s="34">
        <v>585</v>
      </c>
      <c r="C198" s="34">
        <v>12</v>
      </c>
      <c r="D198" s="34" t="s">
        <v>56</v>
      </c>
      <c r="E198" s="34" t="str">
        <f>VLOOKUP(B198,Dane!$A$1:$G$1001,6,FALSE)</f>
        <v>za darmo</v>
      </c>
      <c r="F198" s="75">
        <f t="shared" si="25"/>
        <v>2</v>
      </c>
      <c r="G198" s="255">
        <f t="shared" si="26"/>
        <v>3.6133677962620374</v>
      </c>
    </row>
    <row r="199" spans="1:7" x14ac:dyDescent="0.3">
      <c r="A199" s="34">
        <v>141</v>
      </c>
      <c r="B199" s="34">
        <v>565</v>
      </c>
      <c r="C199" s="34">
        <v>24</v>
      </c>
      <c r="D199" s="34" t="s">
        <v>54</v>
      </c>
      <c r="E199" s="34" t="str">
        <f>VLOOKUP(B199,Dane!$A$1:$G$1001,6,FALSE)</f>
        <v>własność</v>
      </c>
      <c r="F199" s="75">
        <f t="shared" si="25"/>
        <v>2</v>
      </c>
      <c r="G199" s="255">
        <f t="shared" si="26"/>
        <v>3.4617220743925032</v>
      </c>
    </row>
    <row r="200" spans="1:7" x14ac:dyDescent="0.3">
      <c r="A200" s="34">
        <v>142</v>
      </c>
      <c r="B200" s="34">
        <v>8</v>
      </c>
      <c r="C200" s="34">
        <v>36</v>
      </c>
      <c r="D200" s="34" t="s">
        <v>54</v>
      </c>
      <c r="E200" s="34" t="str">
        <f>VLOOKUP(B200,Dane!$A$1:$G$1001,6,FALSE)</f>
        <v>wynajem</v>
      </c>
      <c r="F200" s="75">
        <f t="shared" si="25"/>
        <v>2</v>
      </c>
      <c r="G200" s="255">
        <f t="shared" si="26"/>
        <v>3.1623877469640194</v>
      </c>
    </row>
    <row r="201" spans="1:7" x14ac:dyDescent="0.3">
      <c r="A201" s="34">
        <v>143</v>
      </c>
      <c r="B201" s="34">
        <v>832</v>
      </c>
      <c r="C201" s="34">
        <v>18</v>
      </c>
      <c r="D201" s="34" t="s">
        <v>57</v>
      </c>
      <c r="E201" s="34" t="str">
        <f>VLOOKUP(B201,Dane!$A$1:$G$1001,6,FALSE)</f>
        <v>wynajem</v>
      </c>
      <c r="F201" s="75">
        <f t="shared" si="25"/>
        <v>2</v>
      </c>
      <c r="G201" s="255">
        <f t="shared" si="26"/>
        <v>2.8121329199213467</v>
      </c>
    </row>
    <row r="202" spans="1:7" x14ac:dyDescent="0.3">
      <c r="A202" s="34">
        <v>144</v>
      </c>
      <c r="B202" s="34">
        <v>584</v>
      </c>
      <c r="C202" s="34">
        <v>36</v>
      </c>
      <c r="D202" s="34" t="s">
        <v>55</v>
      </c>
      <c r="E202" s="34" t="str">
        <f>VLOOKUP(B202,Dane!$A$1:$G$1001,6,FALSE)</f>
        <v>wynajem</v>
      </c>
      <c r="F202" s="75">
        <f t="shared" si="25"/>
        <v>2</v>
      </c>
      <c r="G202" s="255">
        <f t="shared" si="26"/>
        <v>3.1382745138439323</v>
      </c>
    </row>
    <row r="203" spans="1:7" x14ac:dyDescent="0.3">
      <c r="A203" s="34">
        <v>145</v>
      </c>
      <c r="B203" s="34">
        <v>689</v>
      </c>
      <c r="C203" s="34">
        <v>9</v>
      </c>
      <c r="D203" s="34" t="s">
        <v>54</v>
      </c>
      <c r="E203" s="34" t="str">
        <f>VLOOKUP(B203,Dane!$A$1:$G$1001,6,FALSE)</f>
        <v>własność</v>
      </c>
      <c r="F203" s="75">
        <f t="shared" si="25"/>
        <v>2</v>
      </c>
      <c r="G203" s="255">
        <f t="shared" si="26"/>
        <v>3.4617220743925032</v>
      </c>
    </row>
    <row r="204" spans="1:7" x14ac:dyDescent="0.3">
      <c r="A204" s="34">
        <v>146</v>
      </c>
      <c r="B204" s="34">
        <v>909</v>
      </c>
      <c r="C204" s="34">
        <v>15</v>
      </c>
      <c r="D204" s="34" t="s">
        <v>56</v>
      </c>
      <c r="E204" s="34" t="str">
        <f>VLOOKUP(B204,Dane!$A$1:$G$1001,6,FALSE)</f>
        <v>własność</v>
      </c>
      <c r="F204" s="75">
        <f t="shared" si="25"/>
        <v>2</v>
      </c>
      <c r="G204" s="255">
        <f t="shared" si="26"/>
        <v>3.1526577863618672</v>
      </c>
    </row>
    <row r="205" spans="1:7" x14ac:dyDescent="0.3">
      <c r="A205" s="34">
        <v>147</v>
      </c>
      <c r="B205" s="34">
        <v>31</v>
      </c>
      <c r="C205" s="34">
        <v>18</v>
      </c>
      <c r="D205" s="34" t="s">
        <v>54</v>
      </c>
      <c r="E205" s="34" t="str">
        <f>VLOOKUP(B205,Dane!$A$1:$G$1001,6,FALSE)</f>
        <v>własność</v>
      </c>
      <c r="F205" s="75">
        <f t="shared" si="25"/>
        <v>2</v>
      </c>
      <c r="G205" s="255">
        <f t="shared" si="26"/>
        <v>3.4617220743925032</v>
      </c>
    </row>
    <row r="206" spans="1:7" x14ac:dyDescent="0.3">
      <c r="A206" s="34">
        <v>148</v>
      </c>
      <c r="B206" s="34">
        <v>590</v>
      </c>
      <c r="C206" s="34">
        <v>12</v>
      </c>
      <c r="D206" s="34" t="s">
        <v>55</v>
      </c>
      <c r="E206" s="34" t="str">
        <f>VLOOKUP(B206,Dane!$A$1:$G$1001,6,FALSE)</f>
        <v>własność</v>
      </c>
      <c r="F206" s="75">
        <f t="shared" si="25"/>
        <v>2</v>
      </c>
      <c r="G206" s="255">
        <f t="shared" si="26"/>
        <v>3.4353264145127431</v>
      </c>
    </row>
    <row r="207" spans="1:7" x14ac:dyDescent="0.3">
      <c r="A207" s="34">
        <v>149</v>
      </c>
      <c r="B207" s="34">
        <v>848</v>
      </c>
      <c r="C207" s="34">
        <v>24</v>
      </c>
      <c r="D207" s="34" t="s">
        <v>54</v>
      </c>
      <c r="E207" s="34" t="str">
        <f>VLOOKUP(B207,Dane!$A$1:$G$1001,6,FALSE)</f>
        <v>własność</v>
      </c>
      <c r="F207" s="75">
        <f t="shared" si="25"/>
        <v>2</v>
      </c>
      <c r="G207" s="255">
        <f t="shared" si="26"/>
        <v>3.4617220743925032</v>
      </c>
    </row>
    <row r="208" spans="1:7" x14ac:dyDescent="0.3">
      <c r="A208" s="34">
        <v>150</v>
      </c>
      <c r="B208" s="34">
        <v>137</v>
      </c>
      <c r="C208" s="34">
        <v>27</v>
      </c>
      <c r="D208" s="34" t="s">
        <v>54</v>
      </c>
      <c r="E208" s="34" t="str">
        <f>VLOOKUP(B208,Dane!$A$1:$G$1001,6,FALSE)</f>
        <v>własność</v>
      </c>
      <c r="F208" s="75">
        <f t="shared" si="25"/>
        <v>2</v>
      </c>
      <c r="G208" s="255">
        <f t="shared" si="26"/>
        <v>3.4617220743925032</v>
      </c>
    </row>
    <row r="209" spans="1:7" x14ac:dyDescent="0.3">
      <c r="A209" s="34">
        <v>151</v>
      </c>
      <c r="B209" s="34">
        <v>106</v>
      </c>
      <c r="C209" s="34">
        <v>24</v>
      </c>
      <c r="D209" s="34" t="s">
        <v>55</v>
      </c>
      <c r="E209" s="34" t="str">
        <f>VLOOKUP(B209,Dane!$A$1:$G$1001,6,FALSE)</f>
        <v>własność</v>
      </c>
      <c r="F209" s="75">
        <f t="shared" si="25"/>
        <v>2</v>
      </c>
      <c r="G209" s="255">
        <f t="shared" si="26"/>
        <v>3.4353264145127431</v>
      </c>
    </row>
    <row r="210" spans="1:7" x14ac:dyDescent="0.3">
      <c r="A210" s="34">
        <v>152</v>
      </c>
      <c r="B210" s="34">
        <v>248</v>
      </c>
      <c r="C210" s="34">
        <v>6</v>
      </c>
      <c r="D210" s="34" t="s">
        <v>54</v>
      </c>
      <c r="E210" s="34" t="str">
        <f>VLOOKUP(B210,Dane!$A$1:$G$1001,6,FALSE)</f>
        <v>wynajem</v>
      </c>
      <c r="F210" s="75">
        <f t="shared" si="25"/>
        <v>2</v>
      </c>
      <c r="G210" s="255">
        <f t="shared" si="26"/>
        <v>3.1623877469640194</v>
      </c>
    </row>
    <row r="211" spans="1:7" x14ac:dyDescent="0.3">
      <c r="A211" s="34">
        <v>153</v>
      </c>
      <c r="B211" s="34">
        <v>276</v>
      </c>
      <c r="C211" s="34">
        <v>9</v>
      </c>
      <c r="D211" s="34" t="s">
        <v>54</v>
      </c>
      <c r="E211" s="34" t="str">
        <f>VLOOKUP(B211,Dane!$A$1:$G$1001,6,FALSE)</f>
        <v>własność</v>
      </c>
      <c r="F211" s="75">
        <f t="shared" si="25"/>
        <v>2</v>
      </c>
      <c r="G211" s="255">
        <f t="shared" si="26"/>
        <v>3.4617220743925032</v>
      </c>
    </row>
    <row r="212" spans="1:7" x14ac:dyDescent="0.3">
      <c r="A212" s="34">
        <v>154</v>
      </c>
      <c r="B212" s="34">
        <v>664</v>
      </c>
      <c r="C212" s="34">
        <v>6</v>
      </c>
      <c r="D212" s="34" t="s">
        <v>54</v>
      </c>
      <c r="E212" s="34" t="str">
        <f>VLOOKUP(B212,Dane!$A$1:$G$1001,6,FALSE)</f>
        <v>własność</v>
      </c>
      <c r="F212" s="75">
        <f t="shared" si="25"/>
        <v>2</v>
      </c>
      <c r="G212" s="255">
        <f t="shared" si="26"/>
        <v>3.4617220743925032</v>
      </c>
    </row>
    <row r="213" spans="1:7" x14ac:dyDescent="0.3">
      <c r="A213" s="34">
        <v>155</v>
      </c>
      <c r="B213" s="34">
        <v>850</v>
      </c>
      <c r="C213" s="34">
        <v>12</v>
      </c>
      <c r="D213" s="34" t="s">
        <v>55</v>
      </c>
      <c r="E213" s="34" t="str">
        <f>VLOOKUP(B213,Dane!$A$1:$G$1001,6,FALSE)</f>
        <v>własność</v>
      </c>
      <c r="F213" s="75">
        <f t="shared" si="25"/>
        <v>2</v>
      </c>
      <c r="G213" s="255">
        <f t="shared" si="26"/>
        <v>3.4353264145127431</v>
      </c>
    </row>
    <row r="214" spans="1:7" x14ac:dyDescent="0.3">
      <c r="A214" s="34">
        <v>156</v>
      </c>
      <c r="B214" s="34">
        <v>644</v>
      </c>
      <c r="C214" s="34">
        <v>24</v>
      </c>
      <c r="D214" s="34" t="s">
        <v>54</v>
      </c>
      <c r="E214" s="34" t="str">
        <f>VLOOKUP(B214,Dane!$A$1:$G$1001,6,FALSE)</f>
        <v>własność</v>
      </c>
      <c r="F214" s="75">
        <f t="shared" si="25"/>
        <v>2</v>
      </c>
      <c r="G214" s="255">
        <f t="shared" si="26"/>
        <v>3.4617220743925032</v>
      </c>
    </row>
    <row r="215" spans="1:7" x14ac:dyDescent="0.3">
      <c r="A215" s="34">
        <v>157</v>
      </c>
      <c r="B215" s="34">
        <v>40</v>
      </c>
      <c r="C215" s="34">
        <v>9</v>
      </c>
      <c r="D215" s="34" t="s">
        <v>54</v>
      </c>
      <c r="E215" s="34" t="str">
        <f>VLOOKUP(B215,Dane!$A$1:$G$1001,6,FALSE)</f>
        <v>własność</v>
      </c>
      <c r="F215" s="75">
        <f t="shared" si="25"/>
        <v>2</v>
      </c>
      <c r="G215" s="255">
        <f t="shared" si="26"/>
        <v>3.4617220743925032</v>
      </c>
    </row>
    <row r="216" spans="1:7" x14ac:dyDescent="0.3">
      <c r="A216" s="34">
        <v>158</v>
      </c>
      <c r="B216" s="34">
        <v>46</v>
      </c>
      <c r="C216" s="34">
        <v>11</v>
      </c>
      <c r="D216" s="34" t="s">
        <v>56</v>
      </c>
      <c r="E216" s="34" t="str">
        <f>VLOOKUP(B216,Dane!$A$1:$G$1001,6,FALSE)</f>
        <v>własność</v>
      </c>
      <c r="F216" s="75">
        <f t="shared" si="25"/>
        <v>2</v>
      </c>
      <c r="G216" s="255">
        <f t="shared" si="26"/>
        <v>3.1526577863618672</v>
      </c>
    </row>
    <row r="217" spans="1:7" x14ac:dyDescent="0.3">
      <c r="A217" s="34">
        <v>159</v>
      </c>
      <c r="B217" s="34">
        <v>76</v>
      </c>
      <c r="C217" s="34">
        <v>12</v>
      </c>
      <c r="D217" s="34" t="s">
        <v>54</v>
      </c>
      <c r="E217" s="34" t="str">
        <f>VLOOKUP(B217,Dane!$A$1:$G$1001,6,FALSE)</f>
        <v>za darmo</v>
      </c>
      <c r="F217" s="75">
        <f t="shared" si="25"/>
        <v>2</v>
      </c>
      <c r="G217" s="255">
        <f t="shared" si="26"/>
        <v>3.9675968376047344</v>
      </c>
    </row>
    <row r="218" spans="1:7" x14ac:dyDescent="0.3">
      <c r="A218" s="34">
        <v>160</v>
      </c>
      <c r="B218" s="34">
        <v>889</v>
      </c>
      <c r="C218" s="34">
        <v>36</v>
      </c>
      <c r="D218" s="34" t="s">
        <v>54</v>
      </c>
      <c r="E218" s="34" t="str">
        <f>VLOOKUP(B218,Dane!$A$1:$G$1001,6,FALSE)</f>
        <v>własność</v>
      </c>
      <c r="F218" s="75">
        <f t="shared" si="25"/>
        <v>2</v>
      </c>
      <c r="G218" s="255">
        <f t="shared" si="26"/>
        <v>3.4617220743925032</v>
      </c>
    </row>
    <row r="219" spans="1:7" x14ac:dyDescent="0.3">
      <c r="A219" s="34">
        <v>161</v>
      </c>
      <c r="B219" s="34">
        <v>523</v>
      </c>
      <c r="C219" s="34">
        <v>48</v>
      </c>
      <c r="D219" s="34" t="s">
        <v>55</v>
      </c>
      <c r="E219" s="34" t="str">
        <f>VLOOKUP(B219,Dane!$A$1:$G$1001,6,FALSE)</f>
        <v>za darmo</v>
      </c>
      <c r="F219" s="75">
        <f t="shared" si="25"/>
        <v>2</v>
      </c>
      <c r="G219" s="255">
        <f t="shared" si="26"/>
        <v>3.9373438784084649</v>
      </c>
    </row>
    <row r="220" spans="1:7" x14ac:dyDescent="0.3">
      <c r="A220" s="34">
        <v>162</v>
      </c>
      <c r="B220" s="34">
        <v>730</v>
      </c>
      <c r="C220" s="34">
        <v>24</v>
      </c>
      <c r="D220" s="34" t="s">
        <v>54</v>
      </c>
      <c r="E220" s="34" t="str">
        <f>VLOOKUP(B220,Dane!$A$1:$G$1001,6,FALSE)</f>
        <v>własność</v>
      </c>
      <c r="F220" s="75">
        <f t="shared" si="25"/>
        <v>2</v>
      </c>
      <c r="G220" s="255">
        <f t="shared" si="26"/>
        <v>3.4617220743925032</v>
      </c>
    </row>
    <row r="221" spans="1:7" x14ac:dyDescent="0.3">
      <c r="A221" s="34">
        <v>163</v>
      </c>
      <c r="B221" s="34">
        <v>303</v>
      </c>
      <c r="C221" s="34">
        <v>24</v>
      </c>
      <c r="D221" s="34" t="s">
        <v>55</v>
      </c>
      <c r="E221" s="34" t="str">
        <f>VLOOKUP(B221,Dane!$A$1:$G$1001,6,FALSE)</f>
        <v>własność</v>
      </c>
      <c r="F221" s="75">
        <f t="shared" si="25"/>
        <v>2</v>
      </c>
      <c r="G221" s="255">
        <f t="shared" si="26"/>
        <v>3.4353264145127431</v>
      </c>
    </row>
    <row r="222" spans="1:7" x14ac:dyDescent="0.3">
      <c r="A222" s="34">
        <v>164</v>
      </c>
      <c r="B222" s="34">
        <v>696</v>
      </c>
      <c r="C222" s="34">
        <v>6</v>
      </c>
      <c r="D222" s="34" t="s">
        <v>54</v>
      </c>
      <c r="E222" s="34" t="str">
        <f>VLOOKUP(B222,Dane!$A$1:$G$1001,6,FALSE)</f>
        <v>wynajem</v>
      </c>
      <c r="F222" s="75">
        <f t="shared" si="25"/>
        <v>2</v>
      </c>
      <c r="G222" s="255">
        <f t="shared" si="26"/>
        <v>3.1623877469640194</v>
      </c>
    </row>
    <row r="223" spans="1:7" x14ac:dyDescent="0.3">
      <c r="A223" s="34">
        <v>165</v>
      </c>
      <c r="B223" s="34">
        <v>26</v>
      </c>
      <c r="C223" s="34">
        <v>6</v>
      </c>
      <c r="D223" s="34" t="s">
        <v>54</v>
      </c>
      <c r="E223" s="34" t="str">
        <f>VLOOKUP(B223,Dane!$A$1:$G$1001,6,FALSE)</f>
        <v>własność</v>
      </c>
      <c r="F223" s="75">
        <f t="shared" si="25"/>
        <v>2</v>
      </c>
      <c r="G223" s="255">
        <f t="shared" si="26"/>
        <v>3.4617220743925032</v>
      </c>
    </row>
    <row r="224" spans="1:7" x14ac:dyDescent="0.3">
      <c r="A224" s="34">
        <v>166</v>
      </c>
      <c r="B224" s="34">
        <v>659</v>
      </c>
      <c r="C224" s="34">
        <v>30</v>
      </c>
      <c r="D224" s="34" t="s">
        <v>56</v>
      </c>
      <c r="E224" s="34" t="str">
        <f>VLOOKUP(B224,Dane!$A$1:$G$1001,6,FALSE)</f>
        <v>własność</v>
      </c>
      <c r="F224" s="75">
        <f t="shared" si="25"/>
        <v>2</v>
      </c>
      <c r="G224" s="255">
        <f t="shared" si="26"/>
        <v>3.1526577863618672</v>
      </c>
    </row>
    <row r="225" spans="1:7" x14ac:dyDescent="0.3">
      <c r="A225" s="34">
        <v>167</v>
      </c>
      <c r="B225" s="34">
        <v>170</v>
      </c>
      <c r="C225" s="34">
        <v>24</v>
      </c>
      <c r="D225" s="34" t="s">
        <v>55</v>
      </c>
      <c r="E225" s="34" t="str">
        <f>VLOOKUP(B225,Dane!$A$1:$G$1001,6,FALSE)</f>
        <v>własność</v>
      </c>
      <c r="F225" s="75">
        <f t="shared" si="25"/>
        <v>2</v>
      </c>
      <c r="G225" s="255">
        <f t="shared" si="26"/>
        <v>3.4353264145127431</v>
      </c>
    </row>
    <row r="226" spans="1:7" x14ac:dyDescent="0.3">
      <c r="A226" s="34">
        <v>168</v>
      </c>
      <c r="B226" s="34">
        <v>872</v>
      </c>
      <c r="C226" s="34">
        <v>6</v>
      </c>
      <c r="D226" s="34" t="s">
        <v>54</v>
      </c>
      <c r="E226" s="34" t="str">
        <f>VLOOKUP(B226,Dane!$A$1:$G$1001,6,FALSE)</f>
        <v>własność</v>
      </c>
      <c r="F226" s="75">
        <f t="shared" si="25"/>
        <v>2</v>
      </c>
      <c r="G226" s="255">
        <f t="shared" si="26"/>
        <v>3.4617220743925032</v>
      </c>
    </row>
    <row r="227" spans="1:7" x14ac:dyDescent="0.3">
      <c r="A227" s="34">
        <v>169</v>
      </c>
      <c r="B227" s="34">
        <v>347</v>
      </c>
      <c r="C227" s="34">
        <v>13</v>
      </c>
      <c r="D227" s="34" t="s">
        <v>54</v>
      </c>
      <c r="E227" s="34" t="str">
        <f>VLOOKUP(B227,Dane!$A$1:$G$1001,6,FALSE)</f>
        <v>własność</v>
      </c>
      <c r="F227" s="75">
        <f t="shared" si="25"/>
        <v>2</v>
      </c>
      <c r="G227" s="255">
        <f t="shared" si="26"/>
        <v>3.4617220743925032</v>
      </c>
    </row>
    <row r="228" spans="1:7" x14ac:dyDescent="0.3">
      <c r="A228" s="34">
        <v>170</v>
      </c>
      <c r="B228" s="34">
        <v>928</v>
      </c>
      <c r="C228" s="34">
        <v>48</v>
      </c>
      <c r="D228" s="34" t="s">
        <v>55</v>
      </c>
      <c r="E228" s="34" t="str">
        <f>VLOOKUP(B228,Dane!$A$1:$G$1001,6,FALSE)</f>
        <v>za darmo</v>
      </c>
      <c r="F228" s="75">
        <f t="shared" si="25"/>
        <v>2</v>
      </c>
      <c r="G228" s="255">
        <f t="shared" si="26"/>
        <v>3.9373438784084649</v>
      </c>
    </row>
    <row r="229" spans="1:7" x14ac:dyDescent="0.3">
      <c r="A229" s="34">
        <v>171</v>
      </c>
      <c r="B229" s="34">
        <v>403</v>
      </c>
      <c r="C229" s="34">
        <v>24</v>
      </c>
      <c r="D229" s="34" t="s">
        <v>55</v>
      </c>
      <c r="E229" s="34" t="str">
        <f>VLOOKUP(B229,Dane!$A$1:$G$1001,6,FALSE)</f>
        <v>własność</v>
      </c>
      <c r="F229" s="75">
        <f t="shared" si="25"/>
        <v>2</v>
      </c>
      <c r="G229" s="255">
        <f t="shared" si="26"/>
        <v>3.4353264145127431</v>
      </c>
    </row>
    <row r="230" spans="1:7" x14ac:dyDescent="0.3">
      <c r="A230" s="34">
        <v>172</v>
      </c>
      <c r="B230" s="34">
        <v>368</v>
      </c>
      <c r="C230" s="34">
        <v>18</v>
      </c>
      <c r="D230" s="34" t="s">
        <v>56</v>
      </c>
      <c r="E230" s="34" t="str">
        <f>VLOOKUP(B230,Dane!$A$1:$G$1001,6,FALSE)</f>
        <v>wynajem</v>
      </c>
      <c r="F230" s="75">
        <f t="shared" si="25"/>
        <v>2</v>
      </c>
      <c r="G230" s="255">
        <f t="shared" si="26"/>
        <v>2.8800481782498673</v>
      </c>
    </row>
    <row r="231" spans="1:7" x14ac:dyDescent="0.3">
      <c r="A231" s="34">
        <v>173</v>
      </c>
      <c r="B231" s="34">
        <v>172</v>
      </c>
      <c r="C231" s="34">
        <v>12</v>
      </c>
      <c r="D231" s="34" t="s">
        <v>56</v>
      </c>
      <c r="E231" s="34" t="str">
        <f>VLOOKUP(B231,Dane!$A$1:$G$1001,6,FALSE)</f>
        <v>własność</v>
      </c>
      <c r="F231" s="75">
        <f t="shared" si="25"/>
        <v>2</v>
      </c>
      <c r="G231" s="255">
        <f t="shared" si="26"/>
        <v>3.1526577863618672</v>
      </c>
    </row>
    <row r="232" spans="1:7" x14ac:dyDescent="0.3">
      <c r="A232" s="34">
        <v>174</v>
      </c>
      <c r="B232" s="34">
        <v>300</v>
      </c>
      <c r="C232" s="34">
        <v>21</v>
      </c>
      <c r="D232" s="34" t="s">
        <v>54</v>
      </c>
      <c r="E232" s="34" t="str">
        <f>VLOOKUP(B232,Dane!$A$1:$G$1001,6,FALSE)</f>
        <v>własność</v>
      </c>
      <c r="F232" s="75">
        <f t="shared" si="25"/>
        <v>2</v>
      </c>
      <c r="G232" s="255">
        <f t="shared" si="26"/>
        <v>3.4617220743925032</v>
      </c>
    </row>
    <row r="233" spans="1:7" x14ac:dyDescent="0.3">
      <c r="A233" s="34">
        <v>175</v>
      </c>
      <c r="B233" s="34">
        <v>882</v>
      </c>
      <c r="C233" s="34">
        <v>24</v>
      </c>
      <c r="D233" s="34" t="s">
        <v>54</v>
      </c>
      <c r="E233" s="34" t="str">
        <f>VLOOKUP(B233,Dane!$A$1:$G$1001,6,FALSE)</f>
        <v>za darmo</v>
      </c>
      <c r="F233" s="75">
        <f t="shared" si="25"/>
        <v>2</v>
      </c>
      <c r="G233" s="255">
        <f t="shared" si="26"/>
        <v>3.9675968376047344</v>
      </c>
    </row>
    <row r="234" spans="1:7" x14ac:dyDescent="0.3">
      <c r="A234" s="34">
        <v>176</v>
      </c>
      <c r="B234" s="34">
        <v>396</v>
      </c>
      <c r="C234" s="34">
        <v>39</v>
      </c>
      <c r="D234" s="34" t="s">
        <v>54</v>
      </c>
      <c r="E234" s="34" t="str">
        <f>VLOOKUP(B234,Dane!$A$1:$G$1001,6,FALSE)</f>
        <v>wynajem</v>
      </c>
      <c r="F234" s="75">
        <f t="shared" si="25"/>
        <v>2</v>
      </c>
      <c r="G234" s="255">
        <f t="shared" si="26"/>
        <v>3.1623877469640194</v>
      </c>
    </row>
    <row r="235" spans="1:7" x14ac:dyDescent="0.3">
      <c r="A235" s="34">
        <v>177</v>
      </c>
      <c r="B235" s="34">
        <v>171</v>
      </c>
      <c r="C235" s="34">
        <v>15</v>
      </c>
      <c r="D235" s="34" t="s">
        <v>55</v>
      </c>
      <c r="E235" s="34" t="str">
        <f>VLOOKUP(B235,Dane!$A$1:$G$1001,6,FALSE)</f>
        <v>wynajem</v>
      </c>
      <c r="F235" s="75">
        <f t="shared" si="25"/>
        <v>2</v>
      </c>
      <c r="G235" s="255">
        <f t="shared" si="26"/>
        <v>3.1382745138439323</v>
      </c>
    </row>
    <row r="236" spans="1:7" x14ac:dyDescent="0.3">
      <c r="A236" s="34">
        <v>178</v>
      </c>
      <c r="B236" s="34">
        <v>841</v>
      </c>
      <c r="C236" s="34">
        <v>36</v>
      </c>
      <c r="D236" s="34" t="s">
        <v>55</v>
      </c>
      <c r="E236" s="34" t="str">
        <f>VLOOKUP(B236,Dane!$A$1:$G$1001,6,FALSE)</f>
        <v>własność</v>
      </c>
      <c r="F236" s="75">
        <f t="shared" si="25"/>
        <v>2</v>
      </c>
      <c r="G236" s="255">
        <f t="shared" si="26"/>
        <v>3.4353264145127431</v>
      </c>
    </row>
    <row r="237" spans="1:7" x14ac:dyDescent="0.3">
      <c r="A237" s="34">
        <v>179</v>
      </c>
      <c r="B237" s="34">
        <v>330</v>
      </c>
      <c r="C237" s="34">
        <v>6</v>
      </c>
      <c r="D237" s="34" t="s">
        <v>54</v>
      </c>
      <c r="E237" s="34" t="str">
        <f>VLOOKUP(B237,Dane!$A$1:$G$1001,6,FALSE)</f>
        <v>własność</v>
      </c>
      <c r="F237" s="75">
        <f t="shared" si="25"/>
        <v>2</v>
      </c>
      <c r="G237" s="255">
        <f t="shared" si="26"/>
        <v>3.4617220743925032</v>
      </c>
    </row>
    <row r="238" spans="1:7" x14ac:dyDescent="0.3">
      <c r="A238" s="34">
        <v>180</v>
      </c>
      <c r="B238" s="34">
        <v>704</v>
      </c>
      <c r="C238" s="34">
        <v>30</v>
      </c>
      <c r="D238" s="34" t="s">
        <v>54</v>
      </c>
      <c r="E238" s="34" t="str">
        <f>VLOOKUP(B238,Dane!$A$1:$G$1001,6,FALSE)</f>
        <v>własność</v>
      </c>
      <c r="F238" s="75">
        <f t="shared" si="25"/>
        <v>2</v>
      </c>
      <c r="G238" s="255">
        <f t="shared" si="26"/>
        <v>3.4617220743925032</v>
      </c>
    </row>
    <row r="239" spans="1:7" x14ac:dyDescent="0.3">
      <c r="A239" s="34">
        <v>181</v>
      </c>
      <c r="B239" s="34">
        <v>627</v>
      </c>
      <c r="C239" s="34">
        <v>6</v>
      </c>
      <c r="D239" s="34" t="s">
        <v>54</v>
      </c>
      <c r="E239" s="34" t="str">
        <f>VLOOKUP(B239,Dane!$A$1:$G$1001,6,FALSE)</f>
        <v>własność</v>
      </c>
      <c r="F239" s="75">
        <f t="shared" si="25"/>
        <v>2</v>
      </c>
      <c r="G239" s="255">
        <f t="shared" si="26"/>
        <v>3.4617220743925032</v>
      </c>
    </row>
    <row r="240" spans="1:7" x14ac:dyDescent="0.3">
      <c r="A240" s="34">
        <v>182</v>
      </c>
      <c r="B240" s="34">
        <v>428</v>
      </c>
      <c r="C240" s="34">
        <v>18</v>
      </c>
      <c r="D240" s="34" t="s">
        <v>54</v>
      </c>
      <c r="E240" s="34" t="str">
        <f>VLOOKUP(B240,Dane!$A$1:$G$1001,6,FALSE)</f>
        <v>własność</v>
      </c>
      <c r="F240" s="75">
        <f t="shared" si="25"/>
        <v>2</v>
      </c>
      <c r="G240" s="255">
        <f t="shared" si="26"/>
        <v>3.4617220743925032</v>
      </c>
    </row>
    <row r="241" spans="1:7" x14ac:dyDescent="0.3">
      <c r="A241" s="34">
        <v>183</v>
      </c>
      <c r="B241" s="34">
        <v>874</v>
      </c>
      <c r="C241" s="34">
        <v>15</v>
      </c>
      <c r="D241" s="34" t="s">
        <v>56</v>
      </c>
      <c r="E241" s="34" t="str">
        <f>VLOOKUP(B241,Dane!$A$1:$G$1001,6,FALSE)</f>
        <v>własność</v>
      </c>
      <c r="F241" s="75">
        <f t="shared" si="25"/>
        <v>2</v>
      </c>
      <c r="G241" s="255">
        <f t="shared" si="26"/>
        <v>3.1526577863618672</v>
      </c>
    </row>
    <row r="242" spans="1:7" x14ac:dyDescent="0.3">
      <c r="A242" s="34">
        <v>184</v>
      </c>
      <c r="B242" s="34">
        <v>145</v>
      </c>
      <c r="C242" s="34">
        <v>21</v>
      </c>
      <c r="D242" s="34" t="s">
        <v>56</v>
      </c>
      <c r="E242" s="34" t="str">
        <f>VLOOKUP(B242,Dane!$A$1:$G$1001,6,FALSE)</f>
        <v>własność</v>
      </c>
      <c r="F242" s="75">
        <f t="shared" si="25"/>
        <v>2</v>
      </c>
      <c r="G242" s="255">
        <f t="shared" si="26"/>
        <v>3.1526577863618672</v>
      </c>
    </row>
    <row r="243" spans="1:7" x14ac:dyDescent="0.3">
      <c r="A243" s="34">
        <v>185</v>
      </c>
      <c r="B243" s="34">
        <v>519</v>
      </c>
      <c r="C243" s="34">
        <v>6</v>
      </c>
      <c r="D243" s="34" t="s">
        <v>54</v>
      </c>
      <c r="E243" s="34" t="str">
        <f>VLOOKUP(B243,Dane!$A$1:$G$1001,6,FALSE)</f>
        <v>własność</v>
      </c>
      <c r="F243" s="75">
        <f t="shared" si="25"/>
        <v>2</v>
      </c>
      <c r="G243" s="255">
        <f t="shared" si="26"/>
        <v>3.4617220743925032</v>
      </c>
    </row>
    <row r="244" spans="1:7" x14ac:dyDescent="0.3">
      <c r="A244" s="34">
        <v>186</v>
      </c>
      <c r="B244" s="34">
        <v>531</v>
      </c>
      <c r="C244" s="34">
        <v>36</v>
      </c>
      <c r="D244" s="34" t="s">
        <v>54</v>
      </c>
      <c r="E244" s="34" t="str">
        <f>VLOOKUP(B244,Dane!$A$1:$G$1001,6,FALSE)</f>
        <v>własność</v>
      </c>
      <c r="F244" s="75">
        <f t="shared" si="25"/>
        <v>2</v>
      </c>
      <c r="G244" s="255">
        <f t="shared" si="26"/>
        <v>3.4617220743925032</v>
      </c>
    </row>
    <row r="245" spans="1:7" x14ac:dyDescent="0.3">
      <c r="A245" s="34">
        <v>187</v>
      </c>
      <c r="B245" s="34">
        <v>579</v>
      </c>
      <c r="C245" s="34">
        <v>36</v>
      </c>
      <c r="D245" s="34" t="s">
        <v>55</v>
      </c>
      <c r="E245" s="34" t="str">
        <f>VLOOKUP(B245,Dane!$A$1:$G$1001,6,FALSE)</f>
        <v>własność</v>
      </c>
      <c r="F245" s="75">
        <f t="shared" si="25"/>
        <v>2</v>
      </c>
      <c r="G245" s="255">
        <f t="shared" si="26"/>
        <v>3.4353264145127431</v>
      </c>
    </row>
    <row r="246" spans="1:7" x14ac:dyDescent="0.3">
      <c r="A246" s="34">
        <v>188</v>
      </c>
      <c r="B246" s="34">
        <v>932</v>
      </c>
      <c r="C246" s="34">
        <v>9</v>
      </c>
      <c r="D246" s="34" t="s">
        <v>57</v>
      </c>
      <c r="E246" s="34" t="str">
        <f>VLOOKUP(B246,Dane!$A$1:$G$1001,6,FALSE)</f>
        <v>własność</v>
      </c>
      <c r="F246" s="75">
        <f t="shared" si="25"/>
        <v>2</v>
      </c>
      <c r="G246" s="255">
        <f t="shared" si="26"/>
        <v>3.0783140411428902</v>
      </c>
    </row>
    <row r="247" spans="1:7" x14ac:dyDescent="0.3">
      <c r="A247" s="34">
        <v>189</v>
      </c>
      <c r="B247" s="34">
        <v>861</v>
      </c>
      <c r="C247" s="34">
        <v>24</v>
      </c>
      <c r="D247" s="34" t="s">
        <v>54</v>
      </c>
      <c r="E247" s="34" t="str">
        <f>VLOOKUP(B247,Dane!$A$1:$G$1001,6,FALSE)</f>
        <v>własność</v>
      </c>
      <c r="F247" s="75">
        <f t="shared" si="25"/>
        <v>2</v>
      </c>
      <c r="G247" s="255">
        <f t="shared" si="26"/>
        <v>3.4617220743925032</v>
      </c>
    </row>
    <row r="248" spans="1:7" x14ac:dyDescent="0.3">
      <c r="A248" s="34">
        <v>190</v>
      </c>
      <c r="B248" s="34">
        <v>604</v>
      </c>
      <c r="C248" s="34">
        <v>36</v>
      </c>
      <c r="D248" s="34" t="s">
        <v>57</v>
      </c>
      <c r="E248" s="34" t="str">
        <f>VLOOKUP(B248,Dane!$A$1:$G$1001,6,FALSE)</f>
        <v>własność</v>
      </c>
      <c r="F248" s="75">
        <f t="shared" si="25"/>
        <v>2</v>
      </c>
      <c r="G248" s="255">
        <f t="shared" si="26"/>
        <v>3.0783140411428902</v>
      </c>
    </row>
    <row r="249" spans="1:7" x14ac:dyDescent="0.3">
      <c r="A249" s="34">
        <v>191</v>
      </c>
      <c r="B249" s="34">
        <v>80</v>
      </c>
      <c r="C249" s="34">
        <v>30</v>
      </c>
      <c r="D249" s="34" t="s">
        <v>54</v>
      </c>
      <c r="E249" s="34" t="str">
        <f>VLOOKUP(B249,Dane!$A$1:$G$1001,6,FALSE)</f>
        <v>własność</v>
      </c>
      <c r="F249" s="75">
        <f t="shared" si="25"/>
        <v>2</v>
      </c>
      <c r="G249" s="255">
        <f t="shared" si="26"/>
        <v>3.4617220743925032</v>
      </c>
    </row>
    <row r="250" spans="1:7" x14ac:dyDescent="0.3">
      <c r="A250" s="34">
        <v>192</v>
      </c>
      <c r="B250" s="34">
        <v>676</v>
      </c>
      <c r="C250" s="34">
        <v>30</v>
      </c>
      <c r="D250" s="34" t="s">
        <v>56</v>
      </c>
      <c r="E250" s="34" t="str">
        <f>VLOOKUP(B250,Dane!$A$1:$G$1001,6,FALSE)</f>
        <v>wynajem</v>
      </c>
      <c r="F250" s="75">
        <f t="shared" si="25"/>
        <v>2</v>
      </c>
      <c r="G250" s="255">
        <f t="shared" si="26"/>
        <v>2.8800481782498673</v>
      </c>
    </row>
    <row r="251" spans="1:7" x14ac:dyDescent="0.3">
      <c r="A251" s="34">
        <v>193</v>
      </c>
      <c r="B251" s="34">
        <v>864</v>
      </c>
      <c r="C251" s="34">
        <v>27</v>
      </c>
      <c r="D251" s="34" t="s">
        <v>54</v>
      </c>
      <c r="E251" s="34" t="str">
        <f>VLOOKUP(B251,Dane!$A$1:$G$1001,6,FALSE)</f>
        <v>własność</v>
      </c>
      <c r="F251" s="75">
        <f t="shared" si="25"/>
        <v>2</v>
      </c>
      <c r="G251" s="255">
        <f t="shared" si="26"/>
        <v>3.4617220743925032</v>
      </c>
    </row>
    <row r="252" spans="1:7" x14ac:dyDescent="0.3">
      <c r="A252" s="34">
        <v>194</v>
      </c>
      <c r="B252" s="34">
        <v>758</v>
      </c>
      <c r="C252" s="34">
        <v>15</v>
      </c>
      <c r="D252" s="34" t="s">
        <v>55</v>
      </c>
      <c r="E252" s="34" t="str">
        <f>VLOOKUP(B252,Dane!$A$1:$G$1001,6,FALSE)</f>
        <v>za darmo</v>
      </c>
      <c r="F252" s="75">
        <f t="shared" ref="F252:F315" si="27">$L$18/$L$19</f>
        <v>2</v>
      </c>
      <c r="G252" s="255">
        <f t="shared" ref="G252:G315" si="28">INDEX($C$47:$E$50, MATCH(D252, $B$47:$B$50, 0), MATCH(E252, $C$46:$E$46, 0))</f>
        <v>3.9373438784084649</v>
      </c>
    </row>
    <row r="253" spans="1:7" x14ac:dyDescent="0.3">
      <c r="A253" s="34">
        <v>195</v>
      </c>
      <c r="B253" s="34">
        <v>369</v>
      </c>
      <c r="C253" s="34">
        <v>36</v>
      </c>
      <c r="D253" s="34" t="s">
        <v>55</v>
      </c>
      <c r="E253" s="34" t="str">
        <f>VLOOKUP(B253,Dane!$A$1:$G$1001,6,FALSE)</f>
        <v>własność</v>
      </c>
      <c r="F253" s="75">
        <f t="shared" si="27"/>
        <v>2</v>
      </c>
      <c r="G253" s="255">
        <f t="shared" si="28"/>
        <v>3.4353264145127431</v>
      </c>
    </row>
    <row r="254" spans="1:7" x14ac:dyDescent="0.3">
      <c r="A254" s="34">
        <v>196</v>
      </c>
      <c r="B254" s="34">
        <v>200</v>
      </c>
      <c r="C254" s="34">
        <v>18</v>
      </c>
      <c r="D254" s="34" t="s">
        <v>55</v>
      </c>
      <c r="E254" s="34" t="str">
        <f>VLOOKUP(B254,Dane!$A$1:$G$1001,6,FALSE)</f>
        <v>własność</v>
      </c>
      <c r="F254" s="75">
        <f t="shared" si="27"/>
        <v>2</v>
      </c>
      <c r="G254" s="255">
        <f t="shared" si="28"/>
        <v>3.4353264145127431</v>
      </c>
    </row>
    <row r="255" spans="1:7" x14ac:dyDescent="0.3">
      <c r="A255" s="34">
        <v>197</v>
      </c>
      <c r="B255" s="34">
        <v>240</v>
      </c>
      <c r="C255" s="34">
        <v>30</v>
      </c>
      <c r="D255" s="34" t="s">
        <v>54</v>
      </c>
      <c r="E255" s="34" t="str">
        <f>VLOOKUP(B255,Dane!$A$1:$G$1001,6,FALSE)</f>
        <v>własność</v>
      </c>
      <c r="F255" s="75">
        <f t="shared" si="27"/>
        <v>2</v>
      </c>
      <c r="G255" s="255">
        <f t="shared" si="28"/>
        <v>3.4617220743925032</v>
      </c>
    </row>
    <row r="256" spans="1:7" x14ac:dyDescent="0.3">
      <c r="A256" s="34">
        <v>198</v>
      </c>
      <c r="B256" s="34">
        <v>822</v>
      </c>
      <c r="C256" s="34">
        <v>12</v>
      </c>
      <c r="D256" s="34" t="s">
        <v>54</v>
      </c>
      <c r="E256" s="34" t="str">
        <f>VLOOKUP(B256,Dane!$A$1:$G$1001,6,FALSE)</f>
        <v>własność</v>
      </c>
      <c r="F256" s="75">
        <f t="shared" si="27"/>
        <v>2</v>
      </c>
      <c r="G256" s="255">
        <f t="shared" si="28"/>
        <v>3.4617220743925032</v>
      </c>
    </row>
    <row r="257" spans="1:7" x14ac:dyDescent="0.3">
      <c r="A257" s="34">
        <v>199</v>
      </c>
      <c r="B257" s="34">
        <v>295</v>
      </c>
      <c r="C257" s="34">
        <v>48</v>
      </c>
      <c r="D257" s="34" t="s">
        <v>54</v>
      </c>
      <c r="E257" s="34" t="str">
        <f>VLOOKUP(B257,Dane!$A$1:$G$1001,6,FALSE)</f>
        <v>własność</v>
      </c>
      <c r="F257" s="75">
        <f t="shared" si="27"/>
        <v>2</v>
      </c>
      <c r="G257" s="255">
        <f t="shared" si="28"/>
        <v>3.4617220743925032</v>
      </c>
    </row>
    <row r="258" spans="1:7" x14ac:dyDescent="0.3">
      <c r="A258" s="34">
        <v>200</v>
      </c>
      <c r="B258" s="34">
        <v>751</v>
      </c>
      <c r="C258" s="34">
        <v>6</v>
      </c>
      <c r="D258" s="34" t="s">
        <v>56</v>
      </c>
      <c r="E258" s="34" t="str">
        <f>VLOOKUP(B258,Dane!$A$1:$G$1001,6,FALSE)</f>
        <v>własność</v>
      </c>
      <c r="F258" s="75">
        <f t="shared" si="27"/>
        <v>2</v>
      </c>
      <c r="G258" s="255">
        <f t="shared" si="28"/>
        <v>3.1526577863618672</v>
      </c>
    </row>
    <row r="259" spans="1:7" x14ac:dyDescent="0.3">
      <c r="A259" s="34">
        <v>201</v>
      </c>
      <c r="B259" s="34">
        <v>296</v>
      </c>
      <c r="C259" s="34">
        <v>48</v>
      </c>
      <c r="D259" s="34" t="s">
        <v>57</v>
      </c>
      <c r="E259" s="34" t="str">
        <f>VLOOKUP(B259,Dane!$A$1:$G$1001,6,FALSE)</f>
        <v>własność</v>
      </c>
      <c r="F259" s="75">
        <f t="shared" si="27"/>
        <v>2</v>
      </c>
      <c r="G259" s="255">
        <f t="shared" si="28"/>
        <v>3.0783140411428902</v>
      </c>
    </row>
    <row r="260" spans="1:7" x14ac:dyDescent="0.3">
      <c r="A260" s="34">
        <v>202</v>
      </c>
      <c r="B260" s="34">
        <v>728</v>
      </c>
      <c r="C260" s="34">
        <v>18</v>
      </c>
      <c r="D260" s="34" t="s">
        <v>57</v>
      </c>
      <c r="E260" s="34" t="str">
        <f>VLOOKUP(B260,Dane!$A$1:$G$1001,6,FALSE)</f>
        <v>wynajem</v>
      </c>
      <c r="F260" s="75">
        <f t="shared" si="27"/>
        <v>2</v>
      </c>
      <c r="G260" s="255">
        <f t="shared" si="28"/>
        <v>2.8121329199213467</v>
      </c>
    </row>
    <row r="261" spans="1:7" x14ac:dyDescent="0.3">
      <c r="A261" s="34">
        <v>203</v>
      </c>
      <c r="B261" s="34">
        <v>878</v>
      </c>
      <c r="C261" s="34">
        <v>36</v>
      </c>
      <c r="D261" s="34" t="s">
        <v>54</v>
      </c>
      <c r="E261" s="34" t="str">
        <f>VLOOKUP(B261,Dane!$A$1:$G$1001,6,FALSE)</f>
        <v>własność</v>
      </c>
      <c r="F261" s="75">
        <f t="shared" si="27"/>
        <v>2</v>
      </c>
      <c r="G261" s="255">
        <f t="shared" si="28"/>
        <v>3.4617220743925032</v>
      </c>
    </row>
    <row r="262" spans="1:7" x14ac:dyDescent="0.3">
      <c r="A262" s="34">
        <v>204</v>
      </c>
      <c r="B262" s="34">
        <v>804</v>
      </c>
      <c r="C262" s="34">
        <v>12</v>
      </c>
      <c r="D262" s="34" t="s">
        <v>54</v>
      </c>
      <c r="E262" s="34" t="str">
        <f>VLOOKUP(B262,Dane!$A$1:$G$1001,6,FALSE)</f>
        <v>własność</v>
      </c>
      <c r="F262" s="75">
        <f t="shared" si="27"/>
        <v>2</v>
      </c>
      <c r="G262" s="255">
        <f t="shared" si="28"/>
        <v>3.4617220743925032</v>
      </c>
    </row>
    <row r="263" spans="1:7" x14ac:dyDescent="0.3">
      <c r="A263" s="34">
        <v>205</v>
      </c>
      <c r="B263" s="34">
        <v>207</v>
      </c>
      <c r="C263" s="34">
        <v>12</v>
      </c>
      <c r="D263" s="34" t="s">
        <v>54</v>
      </c>
      <c r="E263" s="34" t="str">
        <f>VLOOKUP(B263,Dane!$A$1:$G$1001,6,FALSE)</f>
        <v>własność</v>
      </c>
      <c r="F263" s="75">
        <f t="shared" si="27"/>
        <v>2</v>
      </c>
      <c r="G263" s="255">
        <f t="shared" si="28"/>
        <v>3.4617220743925032</v>
      </c>
    </row>
    <row r="264" spans="1:7" x14ac:dyDescent="0.3">
      <c r="A264" s="34">
        <v>206</v>
      </c>
      <c r="B264" s="34">
        <v>515</v>
      </c>
      <c r="C264" s="34">
        <v>24</v>
      </c>
      <c r="D264" s="34" t="s">
        <v>54</v>
      </c>
      <c r="E264" s="34" t="str">
        <f>VLOOKUP(B264,Dane!$A$1:$G$1001,6,FALSE)</f>
        <v>własność</v>
      </c>
      <c r="F264" s="75">
        <f t="shared" si="27"/>
        <v>2</v>
      </c>
      <c r="G264" s="255">
        <f t="shared" si="28"/>
        <v>3.4617220743925032</v>
      </c>
    </row>
    <row r="265" spans="1:7" x14ac:dyDescent="0.3">
      <c r="A265" s="34">
        <v>207</v>
      </c>
      <c r="B265" s="34">
        <v>599</v>
      </c>
      <c r="C265" s="34">
        <v>18</v>
      </c>
      <c r="D265" s="34" t="s">
        <v>55</v>
      </c>
      <c r="E265" s="34" t="str">
        <f>VLOOKUP(B265,Dane!$A$1:$G$1001,6,FALSE)</f>
        <v>własność</v>
      </c>
      <c r="F265" s="75">
        <f t="shared" si="27"/>
        <v>2</v>
      </c>
      <c r="G265" s="255">
        <f t="shared" si="28"/>
        <v>3.4353264145127431</v>
      </c>
    </row>
    <row r="266" spans="1:7" x14ac:dyDescent="0.3">
      <c r="A266" s="34">
        <v>208</v>
      </c>
      <c r="B266" s="34">
        <v>805</v>
      </c>
      <c r="C266" s="34">
        <v>12</v>
      </c>
      <c r="D266" s="34" t="s">
        <v>56</v>
      </c>
      <c r="E266" s="34" t="str">
        <f>VLOOKUP(B266,Dane!$A$1:$G$1001,6,FALSE)</f>
        <v>wynajem</v>
      </c>
      <c r="F266" s="75">
        <f t="shared" si="27"/>
        <v>2</v>
      </c>
      <c r="G266" s="255">
        <f t="shared" si="28"/>
        <v>2.8800481782498673</v>
      </c>
    </row>
    <row r="267" spans="1:7" x14ac:dyDescent="0.3">
      <c r="A267" s="34">
        <v>209</v>
      </c>
      <c r="B267" s="34">
        <v>950</v>
      </c>
      <c r="C267" s="34">
        <v>24</v>
      </c>
      <c r="D267" s="34" t="s">
        <v>55</v>
      </c>
      <c r="E267" s="34" t="str">
        <f>VLOOKUP(B267,Dane!$A$1:$G$1001,6,FALSE)</f>
        <v>własność</v>
      </c>
      <c r="F267" s="75">
        <f t="shared" si="27"/>
        <v>2</v>
      </c>
      <c r="G267" s="255">
        <f t="shared" si="28"/>
        <v>3.4353264145127431</v>
      </c>
    </row>
    <row r="268" spans="1:7" x14ac:dyDescent="0.3">
      <c r="A268" s="34">
        <v>210</v>
      </c>
      <c r="B268" s="34">
        <v>22</v>
      </c>
      <c r="C268" s="34">
        <v>6</v>
      </c>
      <c r="D268" s="34" t="s">
        <v>54</v>
      </c>
      <c r="E268" s="34" t="str">
        <f>VLOOKUP(B268,Dane!$A$1:$G$1001,6,FALSE)</f>
        <v>wynajem</v>
      </c>
      <c r="F268" s="75">
        <f t="shared" si="27"/>
        <v>2</v>
      </c>
      <c r="G268" s="255">
        <f t="shared" si="28"/>
        <v>3.1623877469640194</v>
      </c>
    </row>
    <row r="269" spans="1:7" x14ac:dyDescent="0.3">
      <c r="A269" s="34">
        <v>211</v>
      </c>
      <c r="B269" s="34">
        <v>184</v>
      </c>
      <c r="C269" s="34">
        <v>24</v>
      </c>
      <c r="D269" s="34" t="s">
        <v>54</v>
      </c>
      <c r="E269" s="34" t="str">
        <f>VLOOKUP(B269,Dane!$A$1:$G$1001,6,FALSE)</f>
        <v>własność</v>
      </c>
      <c r="F269" s="75">
        <f t="shared" si="27"/>
        <v>2</v>
      </c>
      <c r="G269" s="255">
        <f t="shared" si="28"/>
        <v>3.4617220743925032</v>
      </c>
    </row>
    <row r="270" spans="1:7" x14ac:dyDescent="0.3">
      <c r="A270" s="34">
        <v>212</v>
      </c>
      <c r="B270" s="34">
        <v>333</v>
      </c>
      <c r="C270" s="34">
        <v>60</v>
      </c>
      <c r="D270" s="34" t="s">
        <v>57</v>
      </c>
      <c r="E270" s="34" t="str">
        <f>VLOOKUP(B270,Dane!$A$1:$G$1001,6,FALSE)</f>
        <v>własność</v>
      </c>
      <c r="F270" s="75">
        <f t="shared" si="27"/>
        <v>2</v>
      </c>
      <c r="G270" s="255">
        <f t="shared" si="28"/>
        <v>3.0783140411428902</v>
      </c>
    </row>
    <row r="271" spans="1:7" x14ac:dyDescent="0.3">
      <c r="A271" s="34">
        <v>213</v>
      </c>
      <c r="B271" s="34">
        <v>185</v>
      </c>
      <c r="C271" s="34">
        <v>18</v>
      </c>
      <c r="D271" s="34" t="s">
        <v>55</v>
      </c>
      <c r="E271" s="34" t="str">
        <f>VLOOKUP(B271,Dane!$A$1:$G$1001,6,FALSE)</f>
        <v>własność</v>
      </c>
      <c r="F271" s="75">
        <f t="shared" si="27"/>
        <v>2</v>
      </c>
      <c r="G271" s="255">
        <f t="shared" si="28"/>
        <v>3.4353264145127431</v>
      </c>
    </row>
    <row r="272" spans="1:7" x14ac:dyDescent="0.3">
      <c r="A272" s="34">
        <v>214</v>
      </c>
      <c r="B272" s="34">
        <v>854</v>
      </c>
      <c r="C272" s="34">
        <v>18</v>
      </c>
      <c r="D272" s="34" t="s">
        <v>55</v>
      </c>
      <c r="E272" s="34" t="str">
        <f>VLOOKUP(B272,Dane!$A$1:$G$1001,6,FALSE)</f>
        <v>za darmo</v>
      </c>
      <c r="F272" s="75">
        <f t="shared" si="27"/>
        <v>2</v>
      </c>
      <c r="G272" s="255">
        <f t="shared" si="28"/>
        <v>3.9373438784084649</v>
      </c>
    </row>
    <row r="273" spans="1:7" x14ac:dyDescent="0.3">
      <c r="A273" s="34">
        <v>215</v>
      </c>
      <c r="B273" s="34">
        <v>945</v>
      </c>
      <c r="C273" s="34">
        <v>15</v>
      </c>
      <c r="D273" s="34" t="s">
        <v>56</v>
      </c>
      <c r="E273" s="34" t="str">
        <f>VLOOKUP(B273,Dane!$A$1:$G$1001,6,FALSE)</f>
        <v>wynajem</v>
      </c>
      <c r="F273" s="75">
        <f t="shared" si="27"/>
        <v>2</v>
      </c>
      <c r="G273" s="255">
        <f t="shared" si="28"/>
        <v>2.8800481782498673</v>
      </c>
    </row>
    <row r="274" spans="1:7" x14ac:dyDescent="0.3">
      <c r="A274" s="34">
        <v>216</v>
      </c>
      <c r="B274" s="34">
        <v>890</v>
      </c>
      <c r="C274" s="34">
        <v>28</v>
      </c>
      <c r="D274" s="34" t="s">
        <v>54</v>
      </c>
      <c r="E274" s="34" t="str">
        <f>VLOOKUP(B274,Dane!$A$1:$G$1001,6,FALSE)</f>
        <v>wynajem</v>
      </c>
      <c r="F274" s="75">
        <f t="shared" si="27"/>
        <v>2</v>
      </c>
      <c r="G274" s="255">
        <f t="shared" si="28"/>
        <v>3.1623877469640194</v>
      </c>
    </row>
    <row r="275" spans="1:7" x14ac:dyDescent="0.3">
      <c r="A275" s="34">
        <v>217</v>
      </c>
      <c r="B275" s="34">
        <v>552</v>
      </c>
      <c r="C275" s="34">
        <v>6</v>
      </c>
      <c r="D275" s="34" t="s">
        <v>54</v>
      </c>
      <c r="E275" s="34" t="str">
        <f>VLOOKUP(B275,Dane!$A$1:$G$1001,6,FALSE)</f>
        <v>własność</v>
      </c>
      <c r="F275" s="75">
        <f t="shared" si="27"/>
        <v>2</v>
      </c>
      <c r="G275" s="255">
        <f t="shared" si="28"/>
        <v>3.4617220743925032</v>
      </c>
    </row>
    <row r="276" spans="1:7" x14ac:dyDescent="0.3">
      <c r="A276" s="34">
        <v>218</v>
      </c>
      <c r="B276" s="34">
        <v>520</v>
      </c>
      <c r="C276" s="34">
        <v>6</v>
      </c>
      <c r="D276" s="34" t="s">
        <v>54</v>
      </c>
      <c r="E276" s="34" t="str">
        <f>VLOOKUP(B276,Dane!$A$1:$G$1001,6,FALSE)</f>
        <v>za darmo</v>
      </c>
      <c r="F276" s="75">
        <f t="shared" si="27"/>
        <v>2</v>
      </c>
      <c r="G276" s="255">
        <f t="shared" si="28"/>
        <v>3.9675968376047344</v>
      </c>
    </row>
    <row r="277" spans="1:7" x14ac:dyDescent="0.3">
      <c r="A277" s="34">
        <v>219</v>
      </c>
      <c r="B277" s="34">
        <v>842</v>
      </c>
      <c r="C277" s="34">
        <v>21</v>
      </c>
      <c r="D277" s="34" t="s">
        <v>54</v>
      </c>
      <c r="E277" s="34" t="str">
        <f>VLOOKUP(B277,Dane!$A$1:$G$1001,6,FALSE)</f>
        <v>własność</v>
      </c>
      <c r="F277" s="75">
        <f t="shared" si="27"/>
        <v>2</v>
      </c>
      <c r="G277" s="255">
        <f t="shared" si="28"/>
        <v>3.4617220743925032</v>
      </c>
    </row>
    <row r="278" spans="1:7" x14ac:dyDescent="0.3">
      <c r="A278" s="34">
        <v>220</v>
      </c>
      <c r="B278" s="34">
        <v>282</v>
      </c>
      <c r="C278" s="34">
        <v>12</v>
      </c>
      <c r="D278" s="34" t="s">
        <v>54</v>
      </c>
      <c r="E278" s="34" t="str">
        <f>VLOOKUP(B278,Dane!$A$1:$G$1001,6,FALSE)</f>
        <v>własność</v>
      </c>
      <c r="F278" s="75">
        <f t="shared" si="27"/>
        <v>2</v>
      </c>
      <c r="G278" s="255">
        <f t="shared" si="28"/>
        <v>3.4617220743925032</v>
      </c>
    </row>
    <row r="279" spans="1:7" x14ac:dyDescent="0.3">
      <c r="A279" s="34">
        <v>221</v>
      </c>
      <c r="B279" s="34">
        <v>680</v>
      </c>
      <c r="C279" s="34">
        <v>18</v>
      </c>
      <c r="D279" s="34" t="s">
        <v>56</v>
      </c>
      <c r="E279" s="34" t="str">
        <f>VLOOKUP(B279,Dane!$A$1:$G$1001,6,FALSE)</f>
        <v>własność</v>
      </c>
      <c r="F279" s="75">
        <f t="shared" si="27"/>
        <v>2</v>
      </c>
      <c r="G279" s="255">
        <f t="shared" si="28"/>
        <v>3.1526577863618672</v>
      </c>
    </row>
    <row r="280" spans="1:7" x14ac:dyDescent="0.3">
      <c r="A280" s="34">
        <v>222</v>
      </c>
      <c r="B280" s="34">
        <v>348</v>
      </c>
      <c r="C280" s="34">
        <v>24</v>
      </c>
      <c r="D280" s="34" t="s">
        <v>56</v>
      </c>
      <c r="E280" s="34" t="str">
        <f>VLOOKUP(B280,Dane!$A$1:$G$1001,6,FALSE)</f>
        <v>wynajem</v>
      </c>
      <c r="F280" s="75">
        <f t="shared" si="27"/>
        <v>2</v>
      </c>
      <c r="G280" s="255">
        <f t="shared" si="28"/>
        <v>2.8800481782498673</v>
      </c>
    </row>
    <row r="281" spans="1:7" x14ac:dyDescent="0.3">
      <c r="A281" s="34">
        <v>223</v>
      </c>
      <c r="B281" s="34">
        <v>752</v>
      </c>
      <c r="C281" s="34">
        <v>18</v>
      </c>
      <c r="D281" s="34" t="s">
        <v>57</v>
      </c>
      <c r="E281" s="34" t="str">
        <f>VLOOKUP(B281,Dane!$A$1:$G$1001,6,FALSE)</f>
        <v>własność</v>
      </c>
      <c r="F281" s="75">
        <f t="shared" si="27"/>
        <v>2</v>
      </c>
      <c r="G281" s="255">
        <f t="shared" si="28"/>
        <v>3.0783140411428902</v>
      </c>
    </row>
    <row r="282" spans="1:7" x14ac:dyDescent="0.3">
      <c r="A282" s="34">
        <v>224</v>
      </c>
      <c r="B282" s="34">
        <v>746</v>
      </c>
      <c r="C282" s="34">
        <v>13</v>
      </c>
      <c r="D282" s="34" t="s">
        <v>54</v>
      </c>
      <c r="E282" s="34" t="str">
        <f>VLOOKUP(B282,Dane!$A$1:$G$1001,6,FALSE)</f>
        <v>własność</v>
      </c>
      <c r="F282" s="75">
        <f t="shared" si="27"/>
        <v>2</v>
      </c>
      <c r="G282" s="255">
        <f t="shared" si="28"/>
        <v>3.4617220743925032</v>
      </c>
    </row>
    <row r="283" spans="1:7" x14ac:dyDescent="0.3">
      <c r="A283" s="34">
        <v>225</v>
      </c>
      <c r="B283" s="34">
        <v>510</v>
      </c>
      <c r="C283" s="34">
        <v>39</v>
      </c>
      <c r="D283" s="34" t="s">
        <v>54</v>
      </c>
      <c r="E283" s="34" t="str">
        <f>VLOOKUP(B283,Dane!$A$1:$G$1001,6,FALSE)</f>
        <v>własność</v>
      </c>
      <c r="F283" s="75">
        <f t="shared" si="27"/>
        <v>2</v>
      </c>
      <c r="G283" s="255">
        <f t="shared" si="28"/>
        <v>3.4617220743925032</v>
      </c>
    </row>
    <row r="284" spans="1:7" x14ac:dyDescent="0.3">
      <c r="A284" s="34">
        <v>226</v>
      </c>
      <c r="B284" s="34">
        <v>658</v>
      </c>
      <c r="C284" s="34">
        <v>48</v>
      </c>
      <c r="D284" s="34" t="s">
        <v>54</v>
      </c>
      <c r="E284" s="34" t="str">
        <f>VLOOKUP(B284,Dane!$A$1:$G$1001,6,FALSE)</f>
        <v>własność</v>
      </c>
      <c r="F284" s="75">
        <f t="shared" si="27"/>
        <v>2</v>
      </c>
      <c r="G284" s="255">
        <f t="shared" si="28"/>
        <v>3.4617220743925032</v>
      </c>
    </row>
    <row r="285" spans="1:7" x14ac:dyDescent="0.3">
      <c r="A285" s="34">
        <v>227</v>
      </c>
      <c r="B285" s="34">
        <v>901</v>
      </c>
      <c r="C285" s="34">
        <v>16</v>
      </c>
      <c r="D285" s="34" t="s">
        <v>55</v>
      </c>
      <c r="E285" s="34" t="str">
        <f>VLOOKUP(B285,Dane!$A$1:$G$1001,6,FALSE)</f>
        <v>wynajem</v>
      </c>
      <c r="F285" s="75">
        <f t="shared" si="27"/>
        <v>2</v>
      </c>
      <c r="G285" s="255">
        <f t="shared" si="28"/>
        <v>3.1382745138439323</v>
      </c>
    </row>
    <row r="286" spans="1:7" x14ac:dyDescent="0.3">
      <c r="A286" s="34">
        <v>228</v>
      </c>
      <c r="B286" s="34">
        <v>538</v>
      </c>
      <c r="C286" s="34">
        <v>18</v>
      </c>
      <c r="D286" s="34" t="s">
        <v>56</v>
      </c>
      <c r="E286" s="34" t="str">
        <f>VLOOKUP(B286,Dane!$A$1:$G$1001,6,FALSE)</f>
        <v>własność</v>
      </c>
      <c r="F286" s="75">
        <f t="shared" si="27"/>
        <v>2</v>
      </c>
      <c r="G286" s="255">
        <f t="shared" si="28"/>
        <v>3.1526577863618672</v>
      </c>
    </row>
    <row r="287" spans="1:7" x14ac:dyDescent="0.3">
      <c r="A287" s="34">
        <v>229</v>
      </c>
      <c r="B287" s="34">
        <v>86</v>
      </c>
      <c r="C287" s="34">
        <v>12</v>
      </c>
      <c r="D287" s="34" t="s">
        <v>56</v>
      </c>
      <c r="E287" s="34" t="str">
        <f>VLOOKUP(B287,Dane!$A$1:$G$1001,6,FALSE)</f>
        <v>własność</v>
      </c>
      <c r="F287" s="75">
        <f t="shared" si="27"/>
        <v>2</v>
      </c>
      <c r="G287" s="255">
        <f t="shared" si="28"/>
        <v>3.1526577863618672</v>
      </c>
    </row>
    <row r="288" spans="1:7" x14ac:dyDescent="0.3">
      <c r="A288" s="34">
        <v>230</v>
      </c>
      <c r="B288" s="34">
        <v>505</v>
      </c>
      <c r="C288" s="34">
        <v>24</v>
      </c>
      <c r="D288" s="34" t="s">
        <v>57</v>
      </c>
      <c r="E288" s="34" t="str">
        <f>VLOOKUP(B288,Dane!$A$1:$G$1001,6,FALSE)</f>
        <v>wynajem</v>
      </c>
      <c r="F288" s="75">
        <f t="shared" si="27"/>
        <v>2</v>
      </c>
      <c r="G288" s="255">
        <f t="shared" si="28"/>
        <v>2.8121329199213467</v>
      </c>
    </row>
    <row r="289" spans="1:7" x14ac:dyDescent="0.3">
      <c r="A289" s="34">
        <v>231</v>
      </c>
      <c r="B289" s="34">
        <v>468</v>
      </c>
      <c r="C289" s="34">
        <v>48</v>
      </c>
      <c r="D289" s="34" t="s">
        <v>54</v>
      </c>
      <c r="E289" s="34" t="str">
        <f>VLOOKUP(B289,Dane!$A$1:$G$1001,6,FALSE)</f>
        <v>własność</v>
      </c>
      <c r="F289" s="75">
        <f t="shared" si="27"/>
        <v>2</v>
      </c>
      <c r="G289" s="255">
        <f t="shared" si="28"/>
        <v>3.4617220743925032</v>
      </c>
    </row>
    <row r="290" spans="1:7" x14ac:dyDescent="0.3">
      <c r="A290" s="34">
        <v>232</v>
      </c>
      <c r="B290" s="34">
        <v>480</v>
      </c>
      <c r="C290" s="34">
        <v>15</v>
      </c>
      <c r="D290" s="34" t="s">
        <v>54</v>
      </c>
      <c r="E290" s="34" t="str">
        <f>VLOOKUP(B290,Dane!$A$1:$G$1001,6,FALSE)</f>
        <v>własność</v>
      </c>
      <c r="F290" s="75">
        <f t="shared" si="27"/>
        <v>2</v>
      </c>
      <c r="G290" s="255">
        <f t="shared" si="28"/>
        <v>3.4617220743925032</v>
      </c>
    </row>
    <row r="291" spans="1:7" x14ac:dyDescent="0.3">
      <c r="A291" s="34">
        <v>233</v>
      </c>
      <c r="B291" s="34">
        <v>701</v>
      </c>
      <c r="C291" s="34">
        <v>12</v>
      </c>
      <c r="D291" s="34" t="s">
        <v>57</v>
      </c>
      <c r="E291" s="34" t="str">
        <f>VLOOKUP(B291,Dane!$A$1:$G$1001,6,FALSE)</f>
        <v>wynajem</v>
      </c>
      <c r="F291" s="75">
        <f t="shared" si="27"/>
        <v>2</v>
      </c>
      <c r="G291" s="255">
        <f t="shared" si="28"/>
        <v>2.8121329199213467</v>
      </c>
    </row>
    <row r="292" spans="1:7" x14ac:dyDescent="0.3">
      <c r="A292" s="34">
        <v>234</v>
      </c>
      <c r="B292" s="34">
        <v>367</v>
      </c>
      <c r="C292" s="34">
        <v>18</v>
      </c>
      <c r="D292" s="34" t="s">
        <v>54</v>
      </c>
      <c r="E292" s="34" t="str">
        <f>VLOOKUP(B292,Dane!$A$1:$G$1001,6,FALSE)</f>
        <v>własność</v>
      </c>
      <c r="F292" s="75">
        <f t="shared" si="27"/>
        <v>2</v>
      </c>
      <c r="G292" s="255">
        <f t="shared" si="28"/>
        <v>3.4617220743925032</v>
      </c>
    </row>
    <row r="293" spans="1:7" x14ac:dyDescent="0.3">
      <c r="A293" s="34">
        <v>235</v>
      </c>
      <c r="B293" s="34">
        <v>924</v>
      </c>
      <c r="C293" s="34">
        <v>12</v>
      </c>
      <c r="D293" s="34" t="s">
        <v>54</v>
      </c>
      <c r="E293" s="34" t="str">
        <f>VLOOKUP(B293,Dane!$A$1:$G$1001,6,FALSE)</f>
        <v>wynajem</v>
      </c>
      <c r="F293" s="75">
        <f t="shared" si="27"/>
        <v>2</v>
      </c>
      <c r="G293" s="255">
        <f t="shared" si="28"/>
        <v>3.1623877469640194</v>
      </c>
    </row>
    <row r="294" spans="1:7" x14ac:dyDescent="0.3">
      <c r="A294" s="34">
        <v>236</v>
      </c>
      <c r="B294" s="34">
        <v>241</v>
      </c>
      <c r="C294" s="34">
        <v>24</v>
      </c>
      <c r="D294" s="34" t="s">
        <v>57</v>
      </c>
      <c r="E294" s="34" t="str">
        <f>VLOOKUP(B294,Dane!$A$1:$G$1001,6,FALSE)</f>
        <v>własność</v>
      </c>
      <c r="F294" s="75">
        <f t="shared" si="27"/>
        <v>2</v>
      </c>
      <c r="G294" s="255">
        <f t="shared" si="28"/>
        <v>3.0783140411428902</v>
      </c>
    </row>
    <row r="295" spans="1:7" x14ac:dyDescent="0.3">
      <c r="A295" s="34">
        <v>237</v>
      </c>
      <c r="B295" s="34">
        <v>498</v>
      </c>
      <c r="C295" s="34">
        <v>24</v>
      </c>
      <c r="D295" s="34" t="s">
        <v>54</v>
      </c>
      <c r="E295" s="34" t="str">
        <f>VLOOKUP(B295,Dane!$A$1:$G$1001,6,FALSE)</f>
        <v>własność</v>
      </c>
      <c r="F295" s="75">
        <f t="shared" si="27"/>
        <v>2</v>
      </c>
      <c r="G295" s="255">
        <f t="shared" si="28"/>
        <v>3.4617220743925032</v>
      </c>
    </row>
    <row r="296" spans="1:7" x14ac:dyDescent="0.3">
      <c r="A296" s="34">
        <v>238</v>
      </c>
      <c r="B296" s="34">
        <v>578</v>
      </c>
      <c r="C296" s="34">
        <v>24</v>
      </c>
      <c r="D296" s="34" t="s">
        <v>56</v>
      </c>
      <c r="E296" s="34" t="str">
        <f>VLOOKUP(B296,Dane!$A$1:$G$1001,6,FALSE)</f>
        <v>własność</v>
      </c>
      <c r="F296" s="75">
        <f t="shared" si="27"/>
        <v>2</v>
      </c>
      <c r="G296" s="255">
        <f t="shared" si="28"/>
        <v>3.1526577863618672</v>
      </c>
    </row>
    <row r="297" spans="1:7" x14ac:dyDescent="0.3">
      <c r="A297" s="34">
        <v>239</v>
      </c>
      <c r="B297" s="34">
        <v>534</v>
      </c>
      <c r="C297" s="34">
        <v>24</v>
      </c>
      <c r="D297" s="34" t="s">
        <v>54</v>
      </c>
      <c r="E297" s="34" t="str">
        <f>VLOOKUP(B297,Dane!$A$1:$G$1001,6,FALSE)</f>
        <v>własność</v>
      </c>
      <c r="F297" s="75">
        <f t="shared" si="27"/>
        <v>2</v>
      </c>
      <c r="G297" s="255">
        <f t="shared" si="28"/>
        <v>3.4617220743925032</v>
      </c>
    </row>
    <row r="298" spans="1:7" x14ac:dyDescent="0.3">
      <c r="A298" s="34">
        <v>240</v>
      </c>
      <c r="B298" s="34">
        <v>943</v>
      </c>
      <c r="C298" s="34">
        <v>24</v>
      </c>
      <c r="D298" s="34" t="s">
        <v>54</v>
      </c>
      <c r="E298" s="34" t="str">
        <f>VLOOKUP(B298,Dane!$A$1:$G$1001,6,FALSE)</f>
        <v>własność</v>
      </c>
      <c r="F298" s="75">
        <f t="shared" si="27"/>
        <v>2</v>
      </c>
      <c r="G298" s="255">
        <f t="shared" si="28"/>
        <v>3.4617220743925032</v>
      </c>
    </row>
    <row r="299" spans="1:7" x14ac:dyDescent="0.3">
      <c r="A299" s="34">
        <v>241</v>
      </c>
      <c r="B299" s="34">
        <v>635</v>
      </c>
      <c r="C299" s="34">
        <v>24</v>
      </c>
      <c r="D299" s="34" t="s">
        <v>57</v>
      </c>
      <c r="E299" s="34" t="str">
        <f>VLOOKUP(B299,Dane!$A$1:$G$1001,6,FALSE)</f>
        <v>własność</v>
      </c>
      <c r="F299" s="75">
        <f t="shared" si="27"/>
        <v>2</v>
      </c>
      <c r="G299" s="255">
        <f t="shared" si="28"/>
        <v>3.0783140411428902</v>
      </c>
    </row>
    <row r="300" spans="1:7" x14ac:dyDescent="0.3">
      <c r="A300" s="34">
        <v>242</v>
      </c>
      <c r="B300" s="34">
        <v>634</v>
      </c>
      <c r="C300" s="34">
        <v>9</v>
      </c>
      <c r="D300" s="34" t="s">
        <v>57</v>
      </c>
      <c r="E300" s="34" t="str">
        <f>VLOOKUP(B300,Dane!$A$1:$G$1001,6,FALSE)</f>
        <v>wynajem</v>
      </c>
      <c r="F300" s="75">
        <f t="shared" si="27"/>
        <v>2</v>
      </c>
      <c r="G300" s="255">
        <f t="shared" si="28"/>
        <v>2.8121329199213467</v>
      </c>
    </row>
    <row r="301" spans="1:7" x14ac:dyDescent="0.3">
      <c r="A301" s="34">
        <v>243</v>
      </c>
      <c r="B301" s="34">
        <v>517</v>
      </c>
      <c r="C301" s="34">
        <v>6</v>
      </c>
      <c r="D301" s="34" t="s">
        <v>54</v>
      </c>
      <c r="E301" s="34" t="str">
        <f>VLOOKUP(B301,Dane!$A$1:$G$1001,6,FALSE)</f>
        <v>własność</v>
      </c>
      <c r="F301" s="75">
        <f t="shared" si="27"/>
        <v>2</v>
      </c>
      <c r="G301" s="255">
        <f t="shared" si="28"/>
        <v>3.4617220743925032</v>
      </c>
    </row>
    <row r="302" spans="1:7" x14ac:dyDescent="0.3">
      <c r="A302" s="34">
        <v>244</v>
      </c>
      <c r="B302" s="34">
        <v>766</v>
      </c>
      <c r="C302" s="34">
        <v>12</v>
      </c>
      <c r="D302" s="34" t="s">
        <v>54</v>
      </c>
      <c r="E302" s="34" t="str">
        <f>VLOOKUP(B302,Dane!$A$1:$G$1001,6,FALSE)</f>
        <v>własność</v>
      </c>
      <c r="F302" s="75">
        <f t="shared" si="27"/>
        <v>2</v>
      </c>
      <c r="G302" s="255">
        <f t="shared" si="28"/>
        <v>3.4617220743925032</v>
      </c>
    </row>
    <row r="303" spans="1:7" x14ac:dyDescent="0.3">
      <c r="A303" s="34">
        <v>245</v>
      </c>
      <c r="B303" s="34">
        <v>712</v>
      </c>
      <c r="C303" s="34">
        <v>6</v>
      </c>
      <c r="D303" s="34" t="s">
        <v>57</v>
      </c>
      <c r="E303" s="34" t="str">
        <f>VLOOKUP(B303,Dane!$A$1:$G$1001,6,FALSE)</f>
        <v>za darmo</v>
      </c>
      <c r="F303" s="75">
        <f t="shared" si="27"/>
        <v>2</v>
      </c>
      <c r="G303" s="255">
        <f t="shared" si="28"/>
        <v>3.5281599135702226</v>
      </c>
    </row>
    <row r="304" spans="1:7" x14ac:dyDescent="0.3">
      <c r="A304" s="34">
        <v>246</v>
      </c>
      <c r="B304" s="34">
        <v>148</v>
      </c>
      <c r="C304" s="34">
        <v>12</v>
      </c>
      <c r="D304" s="34" t="s">
        <v>56</v>
      </c>
      <c r="E304" s="34" t="str">
        <f>VLOOKUP(B304,Dane!$A$1:$G$1001,6,FALSE)</f>
        <v>własność</v>
      </c>
      <c r="F304" s="75">
        <f t="shared" si="27"/>
        <v>2</v>
      </c>
      <c r="G304" s="255">
        <f t="shared" si="28"/>
        <v>3.1526577863618672</v>
      </c>
    </row>
    <row r="305" spans="1:7" x14ac:dyDescent="0.3">
      <c r="A305" s="34">
        <v>247</v>
      </c>
      <c r="B305" s="34">
        <v>374</v>
      </c>
      <c r="C305" s="34">
        <v>60</v>
      </c>
      <c r="D305" s="34" t="s">
        <v>54</v>
      </c>
      <c r="E305" s="34" t="str">
        <f>VLOOKUP(B305,Dane!$A$1:$G$1001,6,FALSE)</f>
        <v>za darmo</v>
      </c>
      <c r="F305" s="75">
        <f t="shared" si="27"/>
        <v>2</v>
      </c>
      <c r="G305" s="255">
        <f t="shared" si="28"/>
        <v>3.9675968376047344</v>
      </c>
    </row>
    <row r="306" spans="1:7" x14ac:dyDescent="0.3">
      <c r="A306" s="34">
        <v>248</v>
      </c>
      <c r="B306" s="34">
        <v>603</v>
      </c>
      <c r="C306" s="34">
        <v>24</v>
      </c>
      <c r="D306" s="34" t="s">
        <v>57</v>
      </c>
      <c r="E306" s="34" t="str">
        <f>VLOOKUP(B306,Dane!$A$1:$G$1001,6,FALSE)</f>
        <v>za darmo</v>
      </c>
      <c r="F306" s="75">
        <f t="shared" si="27"/>
        <v>2</v>
      </c>
      <c r="G306" s="255">
        <f t="shared" si="28"/>
        <v>3.5281599135702226</v>
      </c>
    </row>
    <row r="307" spans="1:7" x14ac:dyDescent="0.3">
      <c r="A307" s="34">
        <v>249</v>
      </c>
      <c r="B307" s="34">
        <v>306</v>
      </c>
      <c r="C307" s="34">
        <v>6</v>
      </c>
      <c r="D307" s="34" t="s">
        <v>54</v>
      </c>
      <c r="E307" s="34" t="str">
        <f>VLOOKUP(B307,Dane!$A$1:$G$1001,6,FALSE)</f>
        <v>własność</v>
      </c>
      <c r="F307" s="75">
        <f t="shared" si="27"/>
        <v>2</v>
      </c>
      <c r="G307" s="255">
        <f t="shared" si="28"/>
        <v>3.4617220743925032</v>
      </c>
    </row>
    <row r="308" spans="1:7" x14ac:dyDescent="0.3">
      <c r="A308" s="34">
        <v>250</v>
      </c>
      <c r="B308" s="34">
        <v>470</v>
      </c>
      <c r="C308" s="34">
        <v>24</v>
      </c>
      <c r="D308" s="34" t="s">
        <v>54</v>
      </c>
      <c r="E308" s="34" t="str">
        <f>VLOOKUP(B308,Dane!$A$1:$G$1001,6,FALSE)</f>
        <v>własność</v>
      </c>
      <c r="F308" s="75">
        <f t="shared" si="27"/>
        <v>2</v>
      </c>
      <c r="G308" s="255">
        <f t="shared" si="28"/>
        <v>3.4617220743925032</v>
      </c>
    </row>
    <row r="309" spans="1:7" x14ac:dyDescent="0.3">
      <c r="A309" s="34">
        <v>251</v>
      </c>
      <c r="B309" s="34">
        <v>721</v>
      </c>
      <c r="C309" s="34">
        <v>9</v>
      </c>
      <c r="D309" s="34" t="s">
        <v>55</v>
      </c>
      <c r="E309" s="34" t="str">
        <f>VLOOKUP(B309,Dane!$A$1:$G$1001,6,FALSE)</f>
        <v>własność</v>
      </c>
      <c r="F309" s="75">
        <f t="shared" si="27"/>
        <v>2</v>
      </c>
      <c r="G309" s="255">
        <f t="shared" si="28"/>
        <v>3.4353264145127431</v>
      </c>
    </row>
    <row r="310" spans="1:7" x14ac:dyDescent="0.3">
      <c r="A310" s="34">
        <v>252</v>
      </c>
      <c r="B310" s="34">
        <v>175</v>
      </c>
      <c r="C310" s="34">
        <v>21</v>
      </c>
      <c r="D310" s="34" t="s">
        <v>55</v>
      </c>
      <c r="E310" s="34" t="str">
        <f>VLOOKUP(B310,Dane!$A$1:$G$1001,6,FALSE)</f>
        <v>własność</v>
      </c>
      <c r="F310" s="75">
        <f t="shared" si="27"/>
        <v>2</v>
      </c>
      <c r="G310" s="255">
        <f t="shared" si="28"/>
        <v>3.4353264145127431</v>
      </c>
    </row>
    <row r="311" spans="1:7" x14ac:dyDescent="0.3">
      <c r="A311" s="34">
        <v>253</v>
      </c>
      <c r="B311" s="34">
        <v>84</v>
      </c>
      <c r="C311" s="34">
        <v>24</v>
      </c>
      <c r="D311" s="34" t="s">
        <v>56</v>
      </c>
      <c r="E311" s="34" t="str">
        <f>VLOOKUP(B311,Dane!$A$1:$G$1001,6,FALSE)</f>
        <v>własność</v>
      </c>
      <c r="F311" s="75">
        <f t="shared" si="27"/>
        <v>2</v>
      </c>
      <c r="G311" s="255">
        <f t="shared" si="28"/>
        <v>3.1526577863618672</v>
      </c>
    </row>
    <row r="312" spans="1:7" x14ac:dyDescent="0.3">
      <c r="A312" s="34">
        <v>254</v>
      </c>
      <c r="B312" s="34">
        <v>237</v>
      </c>
      <c r="C312" s="34">
        <v>6</v>
      </c>
      <c r="D312" s="34" t="s">
        <v>55</v>
      </c>
      <c r="E312" s="34" t="str">
        <f>VLOOKUP(B312,Dane!$A$1:$G$1001,6,FALSE)</f>
        <v>własność</v>
      </c>
      <c r="F312" s="75">
        <f t="shared" si="27"/>
        <v>2</v>
      </c>
      <c r="G312" s="255">
        <f t="shared" si="28"/>
        <v>3.4353264145127431</v>
      </c>
    </row>
    <row r="313" spans="1:7" x14ac:dyDescent="0.3">
      <c r="A313" s="34">
        <v>255</v>
      </c>
      <c r="B313" s="34">
        <v>533</v>
      </c>
      <c r="C313" s="34">
        <v>12</v>
      </c>
      <c r="D313" s="34" t="s">
        <v>54</v>
      </c>
      <c r="E313" s="34" t="str">
        <f>VLOOKUP(B313,Dane!$A$1:$G$1001,6,FALSE)</f>
        <v>wynajem</v>
      </c>
      <c r="F313" s="75">
        <f t="shared" si="27"/>
        <v>2</v>
      </c>
      <c r="G313" s="255">
        <f t="shared" si="28"/>
        <v>3.1623877469640194</v>
      </c>
    </row>
    <row r="314" spans="1:7" x14ac:dyDescent="0.3">
      <c r="A314" s="34">
        <v>256</v>
      </c>
      <c r="B314" s="34">
        <v>138</v>
      </c>
      <c r="C314" s="34">
        <v>12</v>
      </c>
      <c r="D314" s="34" t="s">
        <v>55</v>
      </c>
      <c r="E314" s="34" t="str">
        <f>VLOOKUP(B314,Dane!$A$1:$G$1001,6,FALSE)</f>
        <v>własność</v>
      </c>
      <c r="F314" s="75">
        <f t="shared" si="27"/>
        <v>2</v>
      </c>
      <c r="G314" s="255">
        <f t="shared" si="28"/>
        <v>3.4353264145127431</v>
      </c>
    </row>
    <row r="315" spans="1:7" x14ac:dyDescent="0.3">
      <c r="A315" s="34">
        <v>257</v>
      </c>
      <c r="B315" s="34">
        <v>502</v>
      </c>
      <c r="C315" s="34">
        <v>36</v>
      </c>
      <c r="D315" s="34" t="s">
        <v>54</v>
      </c>
      <c r="E315" s="34" t="str">
        <f>VLOOKUP(B315,Dane!$A$1:$G$1001,6,FALSE)</f>
        <v>za darmo</v>
      </c>
      <c r="F315" s="75">
        <f t="shared" si="27"/>
        <v>2</v>
      </c>
      <c r="G315" s="255">
        <f t="shared" si="28"/>
        <v>3.9675968376047344</v>
      </c>
    </row>
    <row r="316" spans="1:7" x14ac:dyDescent="0.3">
      <c r="A316" s="34">
        <v>258</v>
      </c>
      <c r="B316" s="34">
        <v>814</v>
      </c>
      <c r="C316" s="34">
        <v>48</v>
      </c>
      <c r="D316" s="34" t="s">
        <v>55</v>
      </c>
      <c r="E316" s="34" t="str">
        <f>VLOOKUP(B316,Dane!$A$1:$G$1001,6,FALSE)</f>
        <v>własność</v>
      </c>
      <c r="F316" s="75">
        <f t="shared" ref="F316:F358" si="29">$L$18/$L$19</f>
        <v>2</v>
      </c>
      <c r="G316" s="255">
        <f t="shared" ref="G316:G358" si="30">INDEX($C$47:$E$50, MATCH(D316, $B$47:$B$50, 0), MATCH(E316, $C$46:$E$46, 0))</f>
        <v>3.4353264145127431</v>
      </c>
    </row>
    <row r="317" spans="1:7" x14ac:dyDescent="0.3">
      <c r="A317" s="34">
        <v>259</v>
      </c>
      <c r="B317" s="34">
        <v>147</v>
      </c>
      <c r="C317" s="34">
        <v>6</v>
      </c>
      <c r="D317" s="34" t="s">
        <v>56</v>
      </c>
      <c r="E317" s="34" t="str">
        <f>VLOOKUP(B317,Dane!$A$1:$G$1001,6,FALSE)</f>
        <v>własność</v>
      </c>
      <c r="F317" s="75">
        <f t="shared" si="29"/>
        <v>2</v>
      </c>
      <c r="G317" s="255">
        <f t="shared" si="30"/>
        <v>3.1526577863618672</v>
      </c>
    </row>
    <row r="318" spans="1:7" x14ac:dyDescent="0.3">
      <c r="A318" s="34">
        <v>260</v>
      </c>
      <c r="B318" s="34">
        <v>547</v>
      </c>
      <c r="C318" s="34">
        <v>24</v>
      </c>
      <c r="D318" s="34" t="s">
        <v>56</v>
      </c>
      <c r="E318" s="34" t="str">
        <f>VLOOKUP(B318,Dane!$A$1:$G$1001,6,FALSE)</f>
        <v>własność</v>
      </c>
      <c r="F318" s="75">
        <f t="shared" si="29"/>
        <v>2</v>
      </c>
      <c r="G318" s="255">
        <f t="shared" si="30"/>
        <v>3.1526577863618672</v>
      </c>
    </row>
    <row r="319" spans="1:7" x14ac:dyDescent="0.3">
      <c r="A319" s="34">
        <v>261</v>
      </c>
      <c r="B319" s="34">
        <v>871</v>
      </c>
      <c r="C319" s="34">
        <v>36</v>
      </c>
      <c r="D319" s="34" t="s">
        <v>56</v>
      </c>
      <c r="E319" s="34" t="str">
        <f>VLOOKUP(B319,Dane!$A$1:$G$1001,6,FALSE)</f>
        <v>własność</v>
      </c>
      <c r="F319" s="75">
        <f t="shared" si="29"/>
        <v>2</v>
      </c>
      <c r="G319" s="255">
        <f t="shared" si="30"/>
        <v>3.1526577863618672</v>
      </c>
    </row>
    <row r="320" spans="1:7" x14ac:dyDescent="0.3">
      <c r="A320" s="34">
        <v>262</v>
      </c>
      <c r="B320" s="34">
        <v>756</v>
      </c>
      <c r="C320" s="34">
        <v>24</v>
      </c>
      <c r="D320" s="34" t="s">
        <v>57</v>
      </c>
      <c r="E320" s="34" t="str">
        <f>VLOOKUP(B320,Dane!$A$1:$G$1001,6,FALSE)</f>
        <v>wynajem</v>
      </c>
      <c r="F320" s="75">
        <f t="shared" si="29"/>
        <v>2</v>
      </c>
      <c r="G320" s="255">
        <f t="shared" si="30"/>
        <v>2.8121329199213467</v>
      </c>
    </row>
    <row r="321" spans="1:7" x14ac:dyDescent="0.3">
      <c r="A321" s="34">
        <v>263</v>
      </c>
      <c r="B321" s="34">
        <v>229</v>
      </c>
      <c r="C321" s="34">
        <v>9</v>
      </c>
      <c r="D321" s="34" t="s">
        <v>55</v>
      </c>
      <c r="E321" s="34" t="str">
        <f>VLOOKUP(B321,Dane!$A$1:$G$1001,6,FALSE)</f>
        <v>własność</v>
      </c>
      <c r="F321" s="75">
        <f t="shared" si="29"/>
        <v>2</v>
      </c>
      <c r="G321" s="255">
        <f t="shared" si="30"/>
        <v>3.4353264145127431</v>
      </c>
    </row>
    <row r="322" spans="1:7" x14ac:dyDescent="0.3">
      <c r="A322" s="34">
        <v>264</v>
      </c>
      <c r="B322" s="34">
        <v>507</v>
      </c>
      <c r="C322" s="34">
        <v>15</v>
      </c>
      <c r="D322" s="34" t="s">
        <v>54</v>
      </c>
      <c r="E322" s="34" t="str">
        <f>VLOOKUP(B322,Dane!$A$1:$G$1001,6,FALSE)</f>
        <v>własność</v>
      </c>
      <c r="F322" s="75">
        <f t="shared" si="29"/>
        <v>2</v>
      </c>
      <c r="G322" s="255">
        <f t="shared" si="30"/>
        <v>3.4617220743925032</v>
      </c>
    </row>
    <row r="323" spans="1:7" x14ac:dyDescent="0.3">
      <c r="A323" s="34">
        <v>265</v>
      </c>
      <c r="B323" s="34">
        <v>404</v>
      </c>
      <c r="C323" s="34">
        <v>14</v>
      </c>
      <c r="D323" s="34" t="s">
        <v>54</v>
      </c>
      <c r="E323" s="34" t="str">
        <f>VLOOKUP(B323,Dane!$A$1:$G$1001,6,FALSE)</f>
        <v>własność</v>
      </c>
      <c r="F323" s="75">
        <f t="shared" si="29"/>
        <v>2</v>
      </c>
      <c r="G323" s="255">
        <f t="shared" si="30"/>
        <v>3.4617220743925032</v>
      </c>
    </row>
    <row r="324" spans="1:7" x14ac:dyDescent="0.3">
      <c r="A324" s="34">
        <v>266</v>
      </c>
      <c r="B324" s="34">
        <v>127</v>
      </c>
      <c r="C324" s="34">
        <v>12</v>
      </c>
      <c r="D324" s="34" t="s">
        <v>54</v>
      </c>
      <c r="E324" s="34" t="str">
        <f>VLOOKUP(B324,Dane!$A$1:$G$1001,6,FALSE)</f>
        <v>własność</v>
      </c>
      <c r="F324" s="75">
        <f t="shared" si="29"/>
        <v>2</v>
      </c>
      <c r="G324" s="255">
        <f t="shared" si="30"/>
        <v>3.4617220743925032</v>
      </c>
    </row>
    <row r="325" spans="1:7" x14ac:dyDescent="0.3">
      <c r="A325" s="34">
        <v>267</v>
      </c>
      <c r="B325" s="34">
        <v>16</v>
      </c>
      <c r="C325" s="34">
        <v>24</v>
      </c>
      <c r="D325" s="34" t="s">
        <v>57</v>
      </c>
      <c r="E325" s="34" t="str">
        <f>VLOOKUP(B325,Dane!$A$1:$G$1001,6,FALSE)</f>
        <v>własność</v>
      </c>
      <c r="F325" s="75">
        <f t="shared" si="29"/>
        <v>2</v>
      </c>
      <c r="G325" s="255">
        <f t="shared" si="30"/>
        <v>3.0783140411428902</v>
      </c>
    </row>
    <row r="326" spans="1:7" x14ac:dyDescent="0.3">
      <c r="A326" s="34">
        <v>268</v>
      </c>
      <c r="B326" s="34">
        <v>164</v>
      </c>
      <c r="C326" s="34">
        <v>10</v>
      </c>
      <c r="D326" s="34" t="s">
        <v>54</v>
      </c>
      <c r="E326" s="34" t="str">
        <f>VLOOKUP(B326,Dane!$A$1:$G$1001,6,FALSE)</f>
        <v>za darmo</v>
      </c>
      <c r="F326" s="75">
        <f t="shared" si="29"/>
        <v>2</v>
      </c>
      <c r="G326" s="255">
        <f t="shared" si="30"/>
        <v>3.9675968376047344</v>
      </c>
    </row>
    <row r="327" spans="1:7" x14ac:dyDescent="0.3">
      <c r="A327" s="34">
        <v>269</v>
      </c>
      <c r="B327" s="34">
        <v>370</v>
      </c>
      <c r="C327" s="34">
        <v>18</v>
      </c>
      <c r="D327" s="34" t="s">
        <v>56</v>
      </c>
      <c r="E327" s="34" t="str">
        <f>VLOOKUP(B327,Dane!$A$1:$G$1001,6,FALSE)</f>
        <v>wynajem</v>
      </c>
      <c r="F327" s="75">
        <f t="shared" si="29"/>
        <v>2</v>
      </c>
      <c r="G327" s="255">
        <f t="shared" si="30"/>
        <v>2.8800481782498673</v>
      </c>
    </row>
    <row r="328" spans="1:7" x14ac:dyDescent="0.3">
      <c r="A328" s="34">
        <v>270</v>
      </c>
      <c r="B328" s="34">
        <v>583</v>
      </c>
      <c r="C328" s="34">
        <v>9</v>
      </c>
      <c r="D328" s="34" t="s">
        <v>56</v>
      </c>
      <c r="E328" s="34" t="str">
        <f>VLOOKUP(B328,Dane!$A$1:$G$1001,6,FALSE)</f>
        <v>wynajem</v>
      </c>
      <c r="F328" s="75">
        <f t="shared" si="29"/>
        <v>2</v>
      </c>
      <c r="G328" s="255">
        <f t="shared" si="30"/>
        <v>2.8800481782498673</v>
      </c>
    </row>
    <row r="329" spans="1:7" x14ac:dyDescent="0.3">
      <c r="A329" s="34">
        <v>271</v>
      </c>
      <c r="B329" s="34">
        <v>70</v>
      </c>
      <c r="C329" s="34">
        <v>36</v>
      </c>
      <c r="D329" s="34" t="s">
        <v>56</v>
      </c>
      <c r="E329" s="34" t="str">
        <f>VLOOKUP(B329,Dane!$A$1:$G$1001,6,FALSE)</f>
        <v>własność</v>
      </c>
      <c r="F329" s="75">
        <f t="shared" si="29"/>
        <v>2</v>
      </c>
      <c r="G329" s="255">
        <f t="shared" si="30"/>
        <v>3.1526577863618672</v>
      </c>
    </row>
    <row r="330" spans="1:7" x14ac:dyDescent="0.3">
      <c r="A330" s="34">
        <v>272</v>
      </c>
      <c r="B330" s="34">
        <v>806</v>
      </c>
      <c r="C330" s="34">
        <v>36</v>
      </c>
      <c r="D330" s="34" t="s">
        <v>55</v>
      </c>
      <c r="E330" s="34" t="str">
        <f>VLOOKUP(B330,Dane!$A$1:$G$1001,6,FALSE)</f>
        <v>własność</v>
      </c>
      <c r="F330" s="75">
        <f t="shared" si="29"/>
        <v>2</v>
      </c>
      <c r="G330" s="255">
        <f t="shared" si="30"/>
        <v>3.4353264145127431</v>
      </c>
    </row>
    <row r="331" spans="1:7" x14ac:dyDescent="0.3">
      <c r="A331" s="34">
        <v>273</v>
      </c>
      <c r="B331" s="34">
        <v>354</v>
      </c>
      <c r="C331" s="34">
        <v>12</v>
      </c>
      <c r="D331" s="34" t="s">
        <v>55</v>
      </c>
      <c r="E331" s="34" t="str">
        <f>VLOOKUP(B331,Dane!$A$1:$G$1001,6,FALSE)</f>
        <v>wynajem</v>
      </c>
      <c r="F331" s="75">
        <f t="shared" si="29"/>
        <v>2</v>
      </c>
      <c r="G331" s="255">
        <f t="shared" si="30"/>
        <v>3.1382745138439323</v>
      </c>
    </row>
    <row r="332" spans="1:7" x14ac:dyDescent="0.3">
      <c r="A332" s="34">
        <v>274</v>
      </c>
      <c r="B332" s="34">
        <v>513</v>
      </c>
      <c r="C332" s="34">
        <v>15</v>
      </c>
      <c r="D332" s="34" t="s">
        <v>54</v>
      </c>
      <c r="E332" s="34" t="str">
        <f>VLOOKUP(B332,Dane!$A$1:$G$1001,6,FALSE)</f>
        <v>wynajem</v>
      </c>
      <c r="F332" s="75">
        <f t="shared" si="29"/>
        <v>2</v>
      </c>
      <c r="G332" s="255">
        <f t="shared" si="30"/>
        <v>3.1623877469640194</v>
      </c>
    </row>
    <row r="333" spans="1:7" x14ac:dyDescent="0.3">
      <c r="A333" s="34">
        <v>275</v>
      </c>
      <c r="B333" s="34">
        <v>748</v>
      </c>
      <c r="C333" s="34">
        <v>12</v>
      </c>
      <c r="D333" s="34" t="s">
        <v>57</v>
      </c>
      <c r="E333" s="34" t="str">
        <f>VLOOKUP(B333,Dane!$A$1:$G$1001,6,FALSE)</f>
        <v>własność</v>
      </c>
      <c r="F333" s="75">
        <f t="shared" si="29"/>
        <v>2</v>
      </c>
      <c r="G333" s="255">
        <f t="shared" si="30"/>
        <v>3.0783140411428902</v>
      </c>
    </row>
    <row r="334" spans="1:7" x14ac:dyDescent="0.3">
      <c r="A334" s="34">
        <v>276</v>
      </c>
      <c r="B334" s="34">
        <v>852</v>
      </c>
      <c r="C334" s="34">
        <v>24</v>
      </c>
      <c r="D334" s="34" t="s">
        <v>54</v>
      </c>
      <c r="E334" s="34" t="str">
        <f>VLOOKUP(B334,Dane!$A$1:$G$1001,6,FALSE)</f>
        <v>własność</v>
      </c>
      <c r="F334" s="75">
        <f t="shared" si="29"/>
        <v>2</v>
      </c>
      <c r="G334" s="255">
        <f t="shared" si="30"/>
        <v>3.4617220743925032</v>
      </c>
    </row>
    <row r="335" spans="1:7" x14ac:dyDescent="0.3">
      <c r="A335" s="34">
        <v>277</v>
      </c>
      <c r="B335" s="34">
        <v>243</v>
      </c>
      <c r="C335" s="34">
        <v>48</v>
      </c>
      <c r="D335" s="34" t="s">
        <v>55</v>
      </c>
      <c r="E335" s="34" t="str">
        <f>VLOOKUP(B335,Dane!$A$1:$G$1001,6,FALSE)</f>
        <v>za darmo</v>
      </c>
      <c r="F335" s="75">
        <f t="shared" si="29"/>
        <v>2</v>
      </c>
      <c r="G335" s="255">
        <f t="shared" si="30"/>
        <v>3.9373438784084649</v>
      </c>
    </row>
    <row r="336" spans="1:7" x14ac:dyDescent="0.3">
      <c r="A336" s="34">
        <v>278</v>
      </c>
      <c r="B336" s="34">
        <v>110</v>
      </c>
      <c r="C336" s="34">
        <v>14</v>
      </c>
      <c r="D336" s="34" t="s">
        <v>54</v>
      </c>
      <c r="E336" s="34" t="str">
        <f>VLOOKUP(B336,Dane!$A$1:$G$1001,6,FALSE)</f>
        <v>własność</v>
      </c>
      <c r="F336" s="75">
        <f t="shared" si="29"/>
        <v>2</v>
      </c>
      <c r="G336" s="255">
        <f t="shared" si="30"/>
        <v>3.4617220743925032</v>
      </c>
    </row>
    <row r="337" spans="1:7" x14ac:dyDescent="0.3">
      <c r="A337" s="34">
        <v>279</v>
      </c>
      <c r="B337" s="34">
        <v>264</v>
      </c>
      <c r="C337" s="34">
        <v>12</v>
      </c>
      <c r="D337" s="34" t="s">
        <v>56</v>
      </c>
      <c r="E337" s="34" t="str">
        <f>VLOOKUP(B337,Dane!$A$1:$G$1001,6,FALSE)</f>
        <v>za darmo</v>
      </c>
      <c r="F337" s="75">
        <f t="shared" si="29"/>
        <v>2</v>
      </c>
      <c r="G337" s="255">
        <f t="shared" si="30"/>
        <v>3.6133677962620374</v>
      </c>
    </row>
    <row r="338" spans="1:7" x14ac:dyDescent="0.3">
      <c r="A338" s="34">
        <v>280</v>
      </c>
      <c r="B338" s="34">
        <v>419</v>
      </c>
      <c r="C338" s="34">
        <v>21</v>
      </c>
      <c r="D338" s="34" t="s">
        <v>56</v>
      </c>
      <c r="E338" s="34" t="str">
        <f>VLOOKUP(B338,Dane!$A$1:$G$1001,6,FALSE)</f>
        <v>własność</v>
      </c>
      <c r="F338" s="75">
        <f t="shared" si="29"/>
        <v>2</v>
      </c>
      <c r="G338" s="255">
        <f t="shared" si="30"/>
        <v>3.1526577863618672</v>
      </c>
    </row>
    <row r="339" spans="1:7" x14ac:dyDescent="0.3">
      <c r="A339" s="34">
        <v>281</v>
      </c>
      <c r="B339" s="34">
        <v>445</v>
      </c>
      <c r="C339" s="34">
        <v>48</v>
      </c>
      <c r="D339" s="34" t="s">
        <v>57</v>
      </c>
      <c r="E339" s="34" t="str">
        <f>VLOOKUP(B339,Dane!$A$1:$G$1001,6,FALSE)</f>
        <v>własność</v>
      </c>
      <c r="F339" s="75">
        <f t="shared" si="29"/>
        <v>2</v>
      </c>
      <c r="G339" s="255">
        <f t="shared" si="30"/>
        <v>3.0783140411428902</v>
      </c>
    </row>
    <row r="340" spans="1:7" x14ac:dyDescent="0.3">
      <c r="A340" s="34">
        <v>282</v>
      </c>
      <c r="B340" s="34">
        <v>527</v>
      </c>
      <c r="C340" s="34">
        <v>15</v>
      </c>
      <c r="D340" s="34" t="s">
        <v>56</v>
      </c>
      <c r="E340" s="34" t="str">
        <f>VLOOKUP(B340,Dane!$A$1:$G$1001,6,FALSE)</f>
        <v>własność</v>
      </c>
      <c r="F340" s="75">
        <f t="shared" si="29"/>
        <v>2</v>
      </c>
      <c r="G340" s="255">
        <f t="shared" si="30"/>
        <v>3.1526577863618672</v>
      </c>
    </row>
    <row r="341" spans="1:7" x14ac:dyDescent="0.3">
      <c r="A341" s="34">
        <v>283</v>
      </c>
      <c r="B341" s="34">
        <v>250</v>
      </c>
      <c r="C341" s="34">
        <v>18</v>
      </c>
      <c r="D341" s="34" t="s">
        <v>57</v>
      </c>
      <c r="E341" s="34" t="str">
        <f>VLOOKUP(B341,Dane!$A$1:$G$1001,6,FALSE)</f>
        <v>wynajem</v>
      </c>
      <c r="F341" s="75">
        <f t="shared" si="29"/>
        <v>2</v>
      </c>
      <c r="G341" s="255">
        <f t="shared" si="30"/>
        <v>2.8121329199213467</v>
      </c>
    </row>
    <row r="342" spans="1:7" x14ac:dyDescent="0.3">
      <c r="A342" s="34">
        <v>284</v>
      </c>
      <c r="B342" s="34">
        <v>567</v>
      </c>
      <c r="C342" s="34">
        <v>12</v>
      </c>
      <c r="D342" s="34" t="s">
        <v>55</v>
      </c>
      <c r="E342" s="34" t="str">
        <f>VLOOKUP(B342,Dane!$A$1:$G$1001,6,FALSE)</f>
        <v>własność</v>
      </c>
      <c r="F342" s="75">
        <f t="shared" si="29"/>
        <v>2</v>
      </c>
      <c r="G342" s="255">
        <f t="shared" si="30"/>
        <v>3.4353264145127431</v>
      </c>
    </row>
    <row r="343" spans="1:7" x14ac:dyDescent="0.3">
      <c r="A343" s="34">
        <v>285</v>
      </c>
      <c r="B343" s="34">
        <v>320</v>
      </c>
      <c r="C343" s="34">
        <v>15</v>
      </c>
      <c r="D343" s="34" t="s">
        <v>56</v>
      </c>
      <c r="E343" s="34" t="str">
        <f>VLOOKUP(B343,Dane!$A$1:$G$1001,6,FALSE)</f>
        <v>własność</v>
      </c>
      <c r="F343" s="75">
        <f t="shared" si="29"/>
        <v>2</v>
      </c>
      <c r="G343" s="255">
        <f t="shared" si="30"/>
        <v>3.1526577863618672</v>
      </c>
    </row>
    <row r="344" spans="1:7" x14ac:dyDescent="0.3">
      <c r="A344" s="34">
        <v>286</v>
      </c>
      <c r="B344" s="34">
        <v>893</v>
      </c>
      <c r="C344" s="34">
        <v>12</v>
      </c>
      <c r="D344" s="34" t="s">
        <v>54</v>
      </c>
      <c r="E344" s="34" t="str">
        <f>VLOOKUP(B344,Dane!$A$1:$G$1001,6,FALSE)</f>
        <v>własność</v>
      </c>
      <c r="F344" s="75">
        <f t="shared" si="29"/>
        <v>2</v>
      </c>
      <c r="G344" s="255">
        <f t="shared" si="30"/>
        <v>3.4617220743925032</v>
      </c>
    </row>
    <row r="345" spans="1:7" x14ac:dyDescent="0.3">
      <c r="A345" s="34">
        <v>287</v>
      </c>
      <c r="B345" s="34">
        <v>843</v>
      </c>
      <c r="C345" s="34">
        <v>18</v>
      </c>
      <c r="D345" s="34" t="s">
        <v>57</v>
      </c>
      <c r="E345" s="34" t="str">
        <f>VLOOKUP(B345,Dane!$A$1:$G$1001,6,FALSE)</f>
        <v>własność</v>
      </c>
      <c r="F345" s="75">
        <f t="shared" si="29"/>
        <v>2</v>
      </c>
      <c r="G345" s="255">
        <f t="shared" si="30"/>
        <v>3.0783140411428902</v>
      </c>
    </row>
    <row r="346" spans="1:7" x14ac:dyDescent="0.3">
      <c r="A346" s="34">
        <v>288</v>
      </c>
      <c r="B346" s="34">
        <v>639</v>
      </c>
      <c r="C346" s="34">
        <v>12</v>
      </c>
      <c r="D346" s="34" t="s">
        <v>56</v>
      </c>
      <c r="E346" s="34" t="str">
        <f>VLOOKUP(B346,Dane!$A$1:$G$1001,6,FALSE)</f>
        <v>własność</v>
      </c>
      <c r="F346" s="75">
        <f t="shared" si="29"/>
        <v>2</v>
      </c>
      <c r="G346" s="255">
        <f t="shared" si="30"/>
        <v>3.1526577863618672</v>
      </c>
    </row>
    <row r="347" spans="1:7" x14ac:dyDescent="0.3">
      <c r="A347" s="34">
        <v>289</v>
      </c>
      <c r="B347" s="34">
        <v>376</v>
      </c>
      <c r="C347" s="34">
        <v>48</v>
      </c>
      <c r="D347" s="34" t="s">
        <v>57</v>
      </c>
      <c r="E347" s="34" t="str">
        <f>VLOOKUP(B347,Dane!$A$1:$G$1001,6,FALSE)</f>
        <v>wynajem</v>
      </c>
      <c r="F347" s="75">
        <f t="shared" si="29"/>
        <v>2</v>
      </c>
      <c r="G347" s="255">
        <f t="shared" si="30"/>
        <v>2.8121329199213467</v>
      </c>
    </row>
    <row r="348" spans="1:7" x14ac:dyDescent="0.3">
      <c r="A348" s="34">
        <v>290</v>
      </c>
      <c r="B348" s="34">
        <v>112</v>
      </c>
      <c r="C348" s="34">
        <v>15</v>
      </c>
      <c r="D348" s="34" t="s">
        <v>56</v>
      </c>
      <c r="E348" s="34" t="str">
        <f>VLOOKUP(B348,Dane!$A$1:$G$1001,6,FALSE)</f>
        <v>wynajem</v>
      </c>
      <c r="F348" s="75">
        <f t="shared" si="29"/>
        <v>2</v>
      </c>
      <c r="G348" s="255">
        <f t="shared" si="30"/>
        <v>2.8800481782498673</v>
      </c>
    </row>
    <row r="349" spans="1:7" x14ac:dyDescent="0.3">
      <c r="A349" s="34">
        <v>291</v>
      </c>
      <c r="B349" s="34">
        <v>625</v>
      </c>
      <c r="C349" s="34">
        <v>18</v>
      </c>
      <c r="D349" s="34" t="s">
        <v>55</v>
      </c>
      <c r="E349" s="34" t="str">
        <f>VLOOKUP(B349,Dane!$A$1:$G$1001,6,FALSE)</f>
        <v>za darmo</v>
      </c>
      <c r="F349" s="75">
        <f t="shared" si="29"/>
        <v>2</v>
      </c>
      <c r="G349" s="255">
        <f t="shared" si="30"/>
        <v>3.9373438784084649</v>
      </c>
    </row>
    <row r="350" spans="1:7" x14ac:dyDescent="0.3">
      <c r="A350" s="34">
        <v>292</v>
      </c>
      <c r="B350" s="34">
        <v>705</v>
      </c>
      <c r="C350" s="34">
        <v>27</v>
      </c>
      <c r="D350" s="34" t="s">
        <v>56</v>
      </c>
      <c r="E350" s="34" t="str">
        <f>VLOOKUP(B350,Dane!$A$1:$G$1001,6,FALSE)</f>
        <v>własność</v>
      </c>
      <c r="F350" s="75">
        <f t="shared" si="29"/>
        <v>2</v>
      </c>
      <c r="G350" s="255">
        <f t="shared" si="30"/>
        <v>3.1526577863618672</v>
      </c>
    </row>
    <row r="351" spans="1:7" x14ac:dyDescent="0.3">
      <c r="A351" s="34">
        <v>293</v>
      </c>
      <c r="B351" s="34">
        <v>908</v>
      </c>
      <c r="C351" s="34">
        <v>36</v>
      </c>
      <c r="D351" s="34" t="s">
        <v>54</v>
      </c>
      <c r="E351" s="34" t="str">
        <f>VLOOKUP(B351,Dane!$A$1:$G$1001,6,FALSE)</f>
        <v>własność</v>
      </c>
      <c r="F351" s="75">
        <f t="shared" si="29"/>
        <v>2</v>
      </c>
      <c r="G351" s="255">
        <f t="shared" si="30"/>
        <v>3.4617220743925032</v>
      </c>
    </row>
    <row r="352" spans="1:7" x14ac:dyDescent="0.3">
      <c r="A352" s="34">
        <v>294</v>
      </c>
      <c r="B352" s="34">
        <v>487</v>
      </c>
      <c r="C352" s="34">
        <v>12</v>
      </c>
      <c r="D352" s="34" t="s">
        <v>54</v>
      </c>
      <c r="E352" s="34" t="str">
        <f>VLOOKUP(B352,Dane!$A$1:$G$1001,6,FALSE)</f>
        <v>własność</v>
      </c>
      <c r="F352" s="75">
        <f t="shared" si="29"/>
        <v>2</v>
      </c>
      <c r="G352" s="255">
        <f t="shared" si="30"/>
        <v>3.4617220743925032</v>
      </c>
    </row>
    <row r="353" spans="1:7" x14ac:dyDescent="0.3">
      <c r="A353" s="34">
        <v>295</v>
      </c>
      <c r="B353" s="34">
        <v>771</v>
      </c>
      <c r="C353" s="34">
        <v>24</v>
      </c>
      <c r="D353" s="34" t="s">
        <v>56</v>
      </c>
      <c r="E353" s="34" t="str">
        <f>VLOOKUP(B353,Dane!$A$1:$G$1001,6,FALSE)</f>
        <v>wynajem</v>
      </c>
      <c r="F353" s="75">
        <f t="shared" si="29"/>
        <v>2</v>
      </c>
      <c r="G353" s="255">
        <f t="shared" si="30"/>
        <v>2.8800481782498673</v>
      </c>
    </row>
    <row r="354" spans="1:7" x14ac:dyDescent="0.3">
      <c r="A354" s="34">
        <v>296</v>
      </c>
      <c r="B354" s="34">
        <v>281</v>
      </c>
      <c r="C354" s="34">
        <v>15</v>
      </c>
      <c r="D354" s="34" t="s">
        <v>54</v>
      </c>
      <c r="E354" s="34" t="str">
        <f>VLOOKUP(B354,Dane!$A$1:$G$1001,6,FALSE)</f>
        <v>wynajem</v>
      </c>
      <c r="F354" s="75">
        <f t="shared" si="29"/>
        <v>2</v>
      </c>
      <c r="G354" s="255">
        <f t="shared" si="30"/>
        <v>3.1623877469640194</v>
      </c>
    </row>
    <row r="355" spans="1:7" x14ac:dyDescent="0.3">
      <c r="A355" s="34">
        <v>297</v>
      </c>
      <c r="B355" s="34">
        <v>867</v>
      </c>
      <c r="C355" s="34">
        <v>18</v>
      </c>
      <c r="D355" s="34" t="s">
        <v>56</v>
      </c>
      <c r="E355" s="34" t="str">
        <f>VLOOKUP(B355,Dane!$A$1:$G$1001,6,FALSE)</f>
        <v>własność</v>
      </c>
      <c r="F355" s="75">
        <f t="shared" si="29"/>
        <v>2</v>
      </c>
      <c r="G355" s="255">
        <f t="shared" si="30"/>
        <v>3.1526577863618672</v>
      </c>
    </row>
    <row r="356" spans="1:7" x14ac:dyDescent="0.3">
      <c r="A356" s="34">
        <v>298</v>
      </c>
      <c r="B356" s="34">
        <v>485</v>
      </c>
      <c r="C356" s="34">
        <v>12</v>
      </c>
      <c r="D356" s="34" t="s">
        <v>54</v>
      </c>
      <c r="E356" s="34" t="str">
        <f>VLOOKUP(B356,Dane!$A$1:$G$1001,6,FALSE)</f>
        <v>własność</v>
      </c>
      <c r="F356" s="75">
        <f t="shared" si="29"/>
        <v>2</v>
      </c>
      <c r="G356" s="255">
        <f t="shared" si="30"/>
        <v>3.4617220743925032</v>
      </c>
    </row>
    <row r="357" spans="1:7" x14ac:dyDescent="0.3">
      <c r="A357" s="34">
        <v>299</v>
      </c>
      <c r="B357" s="34">
        <v>326</v>
      </c>
      <c r="C357" s="34">
        <v>8</v>
      </c>
      <c r="D357" s="34" t="s">
        <v>54</v>
      </c>
      <c r="E357" s="34" t="str">
        <f>VLOOKUP(B357,Dane!$A$1:$G$1001,6,FALSE)</f>
        <v>własność</v>
      </c>
      <c r="F357" s="75">
        <f t="shared" si="29"/>
        <v>2</v>
      </c>
      <c r="G357" s="255">
        <f t="shared" si="30"/>
        <v>3.4617220743925032</v>
      </c>
    </row>
    <row r="358" spans="1:7" x14ac:dyDescent="0.3">
      <c r="A358" s="35">
        <v>300</v>
      </c>
      <c r="B358" s="35">
        <v>782</v>
      </c>
      <c r="C358" s="35">
        <v>24</v>
      </c>
      <c r="D358" s="35" t="s">
        <v>54</v>
      </c>
      <c r="E358" s="35" t="str">
        <f>VLOOKUP(B358,Dane!$A$1:$G$1001,6,FALSE)</f>
        <v>własność</v>
      </c>
      <c r="F358" s="13">
        <f t="shared" si="29"/>
        <v>2</v>
      </c>
      <c r="G358" s="256">
        <f t="shared" si="30"/>
        <v>3.4617220743925032</v>
      </c>
    </row>
  </sheetData>
  <mergeCells count="22">
    <mergeCell ref="B2:K2"/>
    <mergeCell ref="B3:K6"/>
    <mergeCell ref="I35:L35"/>
    <mergeCell ref="I36:K36"/>
    <mergeCell ref="B8:F8"/>
    <mergeCell ref="H8:L8"/>
    <mergeCell ref="B9:B10"/>
    <mergeCell ref="H9:H10"/>
    <mergeCell ref="B18:B19"/>
    <mergeCell ref="B27:B28"/>
    <mergeCell ref="H27:H28"/>
    <mergeCell ref="C9:E9"/>
    <mergeCell ref="I9:K9"/>
    <mergeCell ref="C18:E18"/>
    <mergeCell ref="C27:E27"/>
    <mergeCell ref="I27:K27"/>
    <mergeCell ref="C45:E45"/>
    <mergeCell ref="B36:B37"/>
    <mergeCell ref="H36:H37"/>
    <mergeCell ref="B45:B46"/>
    <mergeCell ref="B44:E44"/>
    <mergeCell ref="C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24</vt:i4>
      </vt:variant>
    </vt:vector>
  </HeadingPairs>
  <TitlesOfParts>
    <vt:vector size="24" baseType="lpstr">
      <vt:lpstr>Projekt</vt:lpstr>
      <vt:lpstr>Dane</vt:lpstr>
      <vt:lpstr>1.1 Losowanie proste</vt:lpstr>
      <vt:lpstr>lpbz</vt:lpstr>
      <vt:lpstr>1.2 Losowanie proste ez</vt:lpstr>
      <vt:lpstr>2. Losowanie proste frakcji</vt:lpstr>
      <vt:lpstr>lw</vt:lpstr>
      <vt:lpstr>MD</vt:lpstr>
      <vt:lpstr>MZ</vt:lpstr>
      <vt:lpstr>KD</vt:lpstr>
      <vt:lpstr>KZ</vt:lpstr>
      <vt:lpstr>3.1 Losowanie warstwowe PROP</vt:lpstr>
      <vt:lpstr>3.2 Losowanie warstwowe RÓW</vt:lpstr>
      <vt:lpstr>3.3 Losowanie warstwowe OPT</vt:lpstr>
      <vt:lpstr>3.4 Losowanie warstwowe POST</vt:lpstr>
      <vt:lpstr>lz</vt:lpstr>
      <vt:lpstr>4.1 Losowanie zespołowe RÓW</vt:lpstr>
      <vt:lpstr>lz2</vt:lpstr>
      <vt:lpstr>4.2 Losowanie zespołowe RÓŻN</vt:lpstr>
      <vt:lpstr>5.1 Kalibracja wag PROP</vt:lpstr>
      <vt:lpstr>5.2 Kalibracja wag RÓWN</vt:lpstr>
      <vt:lpstr>dane_wagi</vt:lpstr>
      <vt:lpstr>5.3 Kalibracja wag InfoS</vt:lpstr>
      <vt:lpstr>5.4 Kalibracja wag RAKING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X</dc:creator>
  <cp:lastModifiedBy>Stanisław Starosta</cp:lastModifiedBy>
  <dcterms:created xsi:type="dcterms:W3CDTF">2026-05-25T09:17:39Z</dcterms:created>
  <dcterms:modified xsi:type="dcterms:W3CDTF">2026-10-04T12:19:15Z</dcterms:modified>
</cp:coreProperties>
</file>